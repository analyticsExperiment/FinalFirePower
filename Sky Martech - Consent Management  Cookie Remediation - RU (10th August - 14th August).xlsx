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ustomProperty9.bin" ContentType="application/vnd.openxmlformats-officedocument.spreadsheetml.customProperty"/>
  <Override PartName="/xl/customProperty10.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xr:revisionPtr revIDLastSave="0" documentId="13_ncr:1_{909B5F37-64C0-44D9-9726-D445ED6A6DC8}" xr6:coauthVersionLast="47" xr6:coauthVersionMax="47" xr10:uidLastSave="{00000000-0000-0000-0000-000000000000}"/>
  <bookViews>
    <workbookView xWindow="-108" yWindow="-108" windowWidth="23256" windowHeight="12456" xr2:uid="{00000000-000D-0000-FFFF-FFFF00000000}"/>
  </bookViews>
  <sheets>
    <sheet name="RU" sheetId="1" r:id="rId1"/>
    <sheet name="DA" sheetId="3" r:id="rId2"/>
    <sheet name="Task Tracker" sheetId="5" r:id="rId3"/>
    <sheet name="Calc" sheetId="2" state="hidden" r:id="rId4"/>
  </sheets>
  <externalReferences>
    <externalReference r:id="rId5"/>
    <externalReference r:id="rId6"/>
  </externalReferences>
  <definedNames>
    <definedName name="_xlnm._FilterDatabase" localSheetId="3" hidden="1">Calc!$Y$11:$Y$16</definedName>
    <definedName name="_xlnm._FilterDatabase" localSheetId="1" hidden="1">DA!$A$1:$L$612</definedName>
    <definedName name="_xlnm._FilterDatabase" localSheetId="2" hidden="1">'Task Tracker'!$A$1:$M$174</definedName>
    <definedName name="Total_Minutes_Worked">DA!$L:$L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2" l="1"/>
  <c r="D3" i="2" l="1"/>
  <c r="J19" i="1" l="1"/>
  <c r="K19" i="1"/>
  <c r="L19" i="1"/>
  <c r="O14" i="1" l="1"/>
  <c r="L18" i="1"/>
  <c r="K18" i="1"/>
  <c r="J18" i="1"/>
  <c r="L17" i="1"/>
  <c r="K17" i="1"/>
  <c r="J17" i="1"/>
  <c r="L16" i="1"/>
  <c r="K16" i="1"/>
  <c r="J16" i="1"/>
  <c r="L15" i="1"/>
  <c r="K15" i="1"/>
  <c r="J15" i="1"/>
  <c r="L14" i="1"/>
  <c r="K14" i="1"/>
  <c r="J14" i="1"/>
  <c r="E4" i="2" l="1"/>
  <c r="D16" i="2" l="1"/>
  <c r="H3" i="2"/>
  <c r="I3" i="2" s="1"/>
  <c r="D4" i="2"/>
  <c r="E5" i="2"/>
  <c r="F4" i="2"/>
  <c r="H4" i="2" s="1"/>
  <c r="I4" i="2" s="1"/>
  <c r="K3" i="2" l="1"/>
  <c r="M3" i="2"/>
  <c r="K4" i="2"/>
  <c r="E16" i="2" s="1"/>
  <c r="D17" i="2"/>
  <c r="M4" i="2"/>
  <c r="F16" i="2" s="1"/>
  <c r="E6" i="2"/>
  <c r="J4" i="2"/>
  <c r="D5" i="2"/>
  <c r="F5" i="2"/>
  <c r="H5" i="2" s="1"/>
  <c r="I5" i="2" s="1"/>
  <c r="J5" i="2" s="1"/>
  <c r="D6" i="2" l="1"/>
  <c r="E7" i="2"/>
  <c r="N4" i="2"/>
  <c r="D18" i="2"/>
  <c r="M5" i="2"/>
  <c r="K5" i="2"/>
  <c r="L4" i="2"/>
  <c r="F6" i="2"/>
  <c r="H6" i="2" l="1"/>
  <c r="K6" i="2" s="1"/>
  <c r="D19" i="2"/>
  <c r="F7" i="2"/>
  <c r="H7" i="2" s="1"/>
  <c r="E8" i="2"/>
  <c r="D7" i="2"/>
  <c r="L5" i="2"/>
  <c r="E17" i="2"/>
  <c r="N5" i="2"/>
  <c r="F17" i="2"/>
  <c r="M6" i="2" l="1"/>
  <c r="I6" i="2"/>
  <c r="F8" i="2"/>
  <c r="H8" i="2" s="1"/>
  <c r="M7" i="2"/>
  <c r="I7" i="2"/>
  <c r="D20" i="2"/>
  <c r="E9" i="2"/>
  <c r="D8" i="2"/>
  <c r="K7" i="2"/>
  <c r="E19" i="2" s="1"/>
  <c r="L6" i="2"/>
  <c r="E18" i="2"/>
  <c r="J7" i="2" l="1"/>
  <c r="J6" i="2"/>
  <c r="F18" i="2"/>
  <c r="N6" i="2"/>
  <c r="N7" i="2"/>
  <c r="I8" i="2"/>
  <c r="J8" i="2" s="1"/>
  <c r="K8" i="2"/>
  <c r="E20" i="2" s="1"/>
  <c r="F9" i="2"/>
  <c r="M8" i="2"/>
  <c r="N8" i="2" s="1"/>
  <c r="D9" i="2"/>
  <c r="G11" i="2" s="1"/>
  <c r="D21" i="2"/>
  <c r="L7" i="2"/>
  <c r="F19" i="2"/>
  <c r="L8" i="2" l="1"/>
  <c r="H9" i="2"/>
  <c r="M9" i="2" s="1"/>
  <c r="M11" i="2" s="1"/>
  <c r="N10" i="1" s="1"/>
  <c r="F20" i="2"/>
  <c r="E11" i="2"/>
  <c r="R10" i="1"/>
  <c r="H11" i="2" l="1"/>
  <c r="T10" i="1" s="1"/>
  <c r="X10" i="1" s="1"/>
  <c r="I9" i="2"/>
  <c r="J9" i="2" s="1"/>
  <c r="J11" i="2" s="1"/>
  <c r="H10" i="1" s="1"/>
  <c r="N9" i="2"/>
  <c r="F11" i="2" s="1"/>
  <c r="F21" i="2"/>
  <c r="K9" i="2"/>
  <c r="R7" i="2" l="1"/>
  <c r="N11" i="2"/>
  <c r="P10" i="1" s="1"/>
  <c r="V10" i="1"/>
  <c r="I11" i="2"/>
  <c r="F10" i="1" s="1"/>
  <c r="E21" i="2"/>
  <c r="K11" i="2"/>
  <c r="J10" i="1" s="1"/>
  <c r="R5" i="2"/>
  <c r="R4" i="2"/>
  <c r="V9" i="2"/>
  <c r="R6" i="2"/>
  <c r="V11" i="2"/>
  <c r="R9" i="2"/>
  <c r="V7" i="2"/>
  <c r="R3" i="2"/>
  <c r="R8" i="2"/>
  <c r="B1" i="2"/>
  <c r="V4" i="2"/>
  <c r="R11" i="2"/>
  <c r="V3" i="2"/>
  <c r="R10" i="2"/>
  <c r="V10" i="2"/>
  <c r="V6" i="2"/>
  <c r="V5" i="2"/>
  <c r="V8" i="2"/>
  <c r="L9" i="2"/>
  <c r="L11" i="2" s="1"/>
  <c r="L10" i="1" s="1"/>
  <c r="P11" i="2" l="1"/>
  <c r="P3" i="2"/>
  <c r="P4" i="2"/>
  <c r="P5" i="2"/>
  <c r="P6" i="2"/>
  <c r="P8" i="2"/>
  <c r="P10" i="2"/>
  <c r="P9" i="2"/>
  <c r="P7" i="2"/>
  <c r="T9" i="2"/>
  <c r="T6" i="2"/>
  <c r="T10" i="2"/>
  <c r="T7" i="2"/>
  <c r="T3" i="2"/>
  <c r="T4" i="2"/>
  <c r="T11" i="2"/>
  <c r="T5" i="2"/>
  <c r="T8" i="2"/>
  <c r="Q18" i="2" l="1"/>
  <c r="D18" i="1" s="1"/>
  <c r="Q14" i="2"/>
  <c r="D14" i="1" s="1"/>
  <c r="R15" i="2"/>
  <c r="F15" i="1" s="1"/>
  <c r="Q16" i="2"/>
  <c r="D16" i="1" s="1"/>
  <c r="R18" i="2"/>
  <c r="F18" i="1" s="1"/>
  <c r="R20" i="2"/>
  <c r="R22" i="2"/>
  <c r="R14" i="2"/>
  <c r="F14" i="1" s="1"/>
  <c r="R17" i="2"/>
  <c r="F17" i="1" s="1"/>
  <c r="U14" i="2"/>
  <c r="H14" i="1" s="1"/>
  <c r="Q15" i="2"/>
  <c r="D15" i="1" s="1"/>
  <c r="R16" i="2"/>
  <c r="F16" i="1" s="1"/>
  <c r="V18" i="2"/>
  <c r="I18" i="1" s="1"/>
  <c r="V16" i="2"/>
  <c r="N16" i="1" s="1"/>
  <c r="Q17" i="2"/>
  <c r="D17" i="1" s="1"/>
  <c r="U15" i="2"/>
  <c r="H15" i="1" s="1"/>
  <c r="R21" i="2"/>
  <c r="R19" i="2"/>
  <c r="U21" i="2"/>
  <c r="V22" i="2"/>
  <c r="U19" i="2"/>
  <c r="H19" i="1" s="1"/>
  <c r="V21" i="2"/>
  <c r="V20" i="2"/>
  <c r="V19" i="2"/>
  <c r="I19" i="1" s="1"/>
  <c r="U17" i="2"/>
  <c r="H17" i="1" s="1"/>
  <c r="V17" i="2"/>
  <c r="I17" i="1" s="1"/>
  <c r="U18" i="2"/>
  <c r="H18" i="1" s="1"/>
  <c r="V14" i="2"/>
  <c r="N14" i="1" s="1"/>
  <c r="U16" i="2"/>
  <c r="H16" i="1" s="1"/>
  <c r="V15" i="2"/>
  <c r="N15" i="1" s="1"/>
  <c r="U20" i="2"/>
  <c r="U22" i="2"/>
  <c r="I16" i="1" l="1"/>
  <c r="N18" i="1"/>
  <c r="N19" i="1"/>
  <c r="N17" i="1"/>
  <c r="I14" i="1"/>
  <c r="I15" i="1"/>
</calcChain>
</file>

<file path=xl/sharedStrings.xml><?xml version="1.0" encoding="utf-8"?>
<sst xmlns="http://schemas.openxmlformats.org/spreadsheetml/2006/main" count="5571" uniqueCount="736">
  <si>
    <t>TaskRelatedTo</t>
  </si>
  <si>
    <t>Task</t>
  </si>
  <si>
    <t>Requestor</t>
  </si>
  <si>
    <t>Status</t>
  </si>
  <si>
    <t>Date</t>
  </si>
  <si>
    <t>Emp Name</t>
  </si>
  <si>
    <t>Time Taken</t>
  </si>
  <si>
    <t>Start Time</t>
  </si>
  <si>
    <t>End Time</t>
  </si>
  <si>
    <t>Total Minutes Worked</t>
  </si>
  <si>
    <t>Completed</t>
  </si>
  <si>
    <t># FTEs</t>
  </si>
  <si>
    <t>Work Days</t>
  </si>
  <si>
    <t>Work Hours</t>
  </si>
  <si>
    <t>Holidays</t>
  </si>
  <si>
    <t>Overall RU</t>
  </si>
  <si>
    <t>Select Week</t>
  </si>
  <si>
    <t>Week</t>
  </si>
  <si>
    <t>Week Start Date</t>
  </si>
  <si>
    <t>Week End Date</t>
  </si>
  <si>
    <t>Selected week</t>
  </si>
  <si>
    <t>WorkDays</t>
  </si>
  <si>
    <t>FTE</t>
  </si>
  <si>
    <t>RU%</t>
  </si>
  <si>
    <t>% Change</t>
  </si>
  <si>
    <t>-</t>
  </si>
  <si>
    <t>Chart</t>
  </si>
  <si>
    <t>Eclerx Holiday</t>
  </si>
  <si>
    <t>Holi</t>
  </si>
  <si>
    <t>Christmas</t>
  </si>
  <si>
    <t>Workstream</t>
  </si>
  <si>
    <t>Task Type</t>
  </si>
  <si>
    <t>Rank</t>
  </si>
  <si>
    <t>Web</t>
  </si>
  <si>
    <t>Sr. No.</t>
  </si>
  <si>
    <t>Task Name</t>
  </si>
  <si>
    <t>Request
Date</t>
  </si>
  <si>
    <t>Start 
Date</t>
  </si>
  <si>
    <t>Target Delivery  
Date</t>
  </si>
  <si>
    <t>Actual Delivery 
Date</t>
  </si>
  <si>
    <t>Remarks</t>
  </si>
  <si>
    <t>Task Owner</t>
  </si>
  <si>
    <t>James</t>
  </si>
  <si>
    <t>Good Friday</t>
  </si>
  <si>
    <t>Ganesh Chaturthi</t>
  </si>
  <si>
    <t>In Progress</t>
  </si>
  <si>
    <t>Consent Management</t>
  </si>
  <si>
    <t>Susmitha Donthi</t>
  </si>
  <si>
    <t>API Tests</t>
  </si>
  <si>
    <t>Detailed Test Cases</t>
  </si>
  <si>
    <t>Quality Assurance</t>
  </si>
  <si>
    <t>Automation Test Scripts</t>
  </si>
  <si>
    <t>Consent Management RU</t>
  </si>
  <si>
    <t>Overall</t>
  </si>
  <si>
    <t>Consent Management Task List</t>
  </si>
  <si>
    <t>Consent Management RU%</t>
  </si>
  <si>
    <t>Meetings</t>
  </si>
  <si>
    <t>Analysis/Documentation</t>
  </si>
  <si>
    <t>Others</t>
  </si>
  <si>
    <t>Summary</t>
  </si>
  <si>
    <t>Cookie Remediation</t>
  </si>
  <si>
    <t xml:space="preserve"> Cookie Remediation RU</t>
  </si>
  <si>
    <t>Sky Martech - Consent Management &amp; Cookie Remediation Resource Utilization</t>
  </si>
  <si>
    <t>Auditing/ObservePoint Setup</t>
  </si>
  <si>
    <t>Analysis &amp; Documentation</t>
  </si>
  <si>
    <t>Meetings - CR</t>
  </si>
  <si>
    <t>Cookie Remediation Task List</t>
  </si>
  <si>
    <t>Cookie Remediation RU%</t>
  </si>
  <si>
    <t>Quality Assurance - CR</t>
  </si>
  <si>
    <t>Shilpa R</t>
  </si>
  <si>
    <t>Grafana Dashboard</t>
  </si>
  <si>
    <t>Coding for Automation</t>
  </si>
  <si>
    <t>ObservePoint Setup</t>
  </si>
  <si>
    <t xml:space="preserve">Analyzed root cause and gathered additional request URLs </t>
  </si>
  <si>
    <t>Document criteria to detect client side processing for Tik Tok  and Configured audit and rules in observe point for Tik Tok</t>
  </si>
  <si>
    <t>Document criteria to detect client side processing for Trade Desk</t>
  </si>
  <si>
    <t>Configured Trade Desk rules in OP, Collected all request URLs for rest of the vendors and documented</t>
  </si>
  <si>
    <t xml:space="preserve">ADDRESSABL-118 Document the criteria to detect client-side processing for TV Squared - went through vendor documentation , analysed implementation on Sky, validated TV Squared through various consent modes and documented the same </t>
  </si>
  <si>
    <t>Configure observe point to detect TV Squared- created rule for present scenario , validated on test audits</t>
  </si>
  <si>
    <t xml:space="preserve">
ADDRESSABL-111 Document the criteria to detect client-side processing for Flash Talking</t>
  </si>
  <si>
    <t>ADDRESSABL-118 Document the criteria to detect client-side processing for TV Squared &amp; Configure observe point to detect TV Squared</t>
  </si>
  <si>
    <t xml:space="preserve">ADDRESSABL-111 Document the criteria to detect client-side processing for Flash Talking </t>
  </si>
  <si>
    <t>New Year's Day</t>
  </si>
  <si>
    <t>Republic Day</t>
  </si>
  <si>
    <t>Eid-ul Fitr</t>
  </si>
  <si>
    <t>International Worker's Day</t>
  </si>
  <si>
    <t>Mahatma Gandhi Jayanti</t>
  </si>
  <si>
    <t>Dussehra</t>
  </si>
  <si>
    <t>Diwali holiday</t>
  </si>
  <si>
    <t>Martech Consent Standup</t>
  </si>
  <si>
    <t>Martech Consent Stand Up</t>
  </si>
  <si>
    <t>Updates to consent test cases to retrieve the list of approved domains using ObservePoint API</t>
  </si>
  <si>
    <t>Updates to consent test cases to retrieve the list of approved domains</t>
  </si>
  <si>
    <t>Updates to consent test cases to retrieve the list of approved domains utilizing ObservePoint API</t>
  </si>
  <si>
    <t>Martech 2026 Q1 Planning Day 1 - Placeholder</t>
  </si>
  <si>
    <t>Martech 2026 Q1 Planning Day 2 - Placeholder</t>
  </si>
  <si>
    <t xml:space="preserve">TT Planning Day 1 </t>
  </si>
  <si>
    <t xml:space="preserve">
TT Planning Day 2</t>
  </si>
  <si>
    <t>Configure observe point to detect Flash Talking- created rule for present scenario , validated on test audits</t>
  </si>
  <si>
    <t xml:space="preserve">ADDRESSABL-121 Document the criteria to detect client-side processing for Quantcast  - went through vendor documentation , </t>
  </si>
  <si>
    <t xml:space="preserve">ADDRESSABL-121 analysed implementation on Sky, validated Quantcast through various consent modes and documented the same </t>
  </si>
  <si>
    <t>Configure observe point to detect Quantcast - created rule for present scenario , validated on test audits</t>
  </si>
  <si>
    <t xml:space="preserve">
ADDRESSABL-117  Document the criteria to detect client-side processing for Xcorp</t>
  </si>
  <si>
    <t xml:space="preserve">ADDRESSABL-118  Configure observe point to detect Flash Talking </t>
  </si>
  <si>
    <t>ADDRESSABL-121 Document the criteria to detect client-side processing for Quant cast &amp; Configure observe point to detect  Quant cast</t>
  </si>
  <si>
    <t>ADDRESSABL-117 Document the criteria to detect client-side processing for Xcorp</t>
  </si>
  <si>
    <t>Configured audit and rules in observe point for Flash Talking</t>
  </si>
  <si>
    <t>Document criteria to detect client side processing for Quantcast  and Configured audit and rules in observe point for Quantcast</t>
  </si>
  <si>
    <t>Document criteria to detect client side processing for Xcorp</t>
  </si>
  <si>
    <t>Martech 2026 Q1 planning meeting Day 1</t>
  </si>
  <si>
    <t>Martech 2026 Q1 planning meeting Day 2</t>
  </si>
  <si>
    <t>Martech 2026 Q1 planning meeting Day 3</t>
  </si>
  <si>
    <t>Catch up with Tamiz</t>
  </si>
  <si>
    <t>ObservePoint Rules API analysis</t>
  </si>
  <si>
    <t>POC to utilize Observepoint Rules API in automation test scripts</t>
  </si>
  <si>
    <t>consent test cases code changes to utilize rules API</t>
  </si>
  <si>
    <t>Maharashtra elections</t>
  </si>
  <si>
    <t>POC to utilize Observepoint rules API in consent tests</t>
  </si>
  <si>
    <t>ADDRESSABL-117  Document the criteria to detect client-side processing for Xcorp &amp;Configure observe point to detect XCorp - created rule for present scenario , validated on test audits</t>
  </si>
  <si>
    <t>ADDRESSABL-117 Document the criteria to detect client-side processing for Xcorp &amp; Configure observe point to detect  XCorp</t>
  </si>
  <si>
    <t>Document criteria to detect client side processing for Xcorp   and Configured audit and rules in observe point for Xcorp</t>
  </si>
  <si>
    <t>Chat with Unni</t>
  </si>
  <si>
    <t>OP Cookie monitoring</t>
  </si>
  <si>
    <t>Unni</t>
  </si>
  <si>
    <t>Masoud</t>
  </si>
  <si>
    <t>Code changes to utilize Observepoint rules API in consent tests</t>
  </si>
  <si>
    <t>Changes to consent automation test scripts to utilize Rules API</t>
  </si>
  <si>
    <t>Consent test cases code changes to utilize rules API</t>
  </si>
  <si>
    <t>Tracking technology solutions - capability standup</t>
  </si>
  <si>
    <t>Unni:Shilpa catch-up</t>
  </si>
  <si>
    <t>Consent services - CMP Migration,Tenants &amp; Hygeine Capability Stand-up</t>
  </si>
  <si>
    <t xml:space="preserve">CONSENT-911 analysed implementation on Sky, validated Amazon through various consent modes and documented the same </t>
  </si>
  <si>
    <t>CONSENT-911  Documentation of criterias and cookies for detecting various consent scenarios for Amazon ads pixel.</t>
  </si>
  <si>
    <t>Configure observe point to detect Amazon - created rule for present,absent scenario , validated on test audits and assigned to main audit</t>
  </si>
  <si>
    <t>CONSENT-911  Documentation of criterias and cookies for detecting various consent scenarios for Clicktale session recorder pixel.</t>
  </si>
  <si>
    <t>Configure observe point to detect clicktale - created rule for present scenario,absent scenario , validated on test audits</t>
  </si>
  <si>
    <t>CONSENT-911 Document the criteria to detect client-side processing for Amazon &amp; Configure observe point to detect  Amazon</t>
  </si>
  <si>
    <t>CONSENT-1006 Document the criteria to detect client-side processing for Clicktale &amp; Configure observe point to detect  Clicktale</t>
  </si>
  <si>
    <t>Document criteria to detect client side processing for Amazon   and Configured audit and rules in observe point for Amazon</t>
  </si>
  <si>
    <t>Document criteria to detect client side processing for Clicktale   and Configured audit and rules in observe point for Clicktale</t>
  </si>
  <si>
    <t>CONSENT-927 Started working on documentation of criterias and cookies for detecting various consent scenarios for BrightCove tracker</t>
  </si>
  <si>
    <t>CONSENT-927 Document the criteria to detect client-side processing for Brightcove</t>
  </si>
  <si>
    <t xml:space="preserve">Document criteria to detect client side processing for Brightcove  </t>
  </si>
  <si>
    <t>Catch up with Masoud</t>
  </si>
  <si>
    <t>Demo test for cookies</t>
  </si>
  <si>
    <t>Analysis on how OneTrust identifies unique visitors</t>
  </si>
  <si>
    <t>Adobe Analytics data analysis for sky.com</t>
  </si>
  <si>
    <t>ObservePoint audit analysis to identify the new unapproved cookies created for the latest audit runs</t>
  </si>
  <si>
    <t>Tamiz</t>
  </si>
  <si>
    <t>Analyzing OneTrust documentation and understanding cross domain and cross device identification for OneTrust</t>
  </si>
  <si>
    <t>OneTrust documentation analysis to understand how OneTrust calculates daily unique visitors and analyzing cross domain and cross device consent feature in OneTrust</t>
  </si>
  <si>
    <t>OneTrust documentation analysis</t>
  </si>
  <si>
    <t>Reviewing ObservePoint Audit scans and documenting new unapproved cookies identified</t>
  </si>
  <si>
    <t xml:space="preserve">Observepoint audit scans review </t>
  </si>
  <si>
    <t>Adobe Analytics data analysis and dashboard creation for sky.com data</t>
  </si>
  <si>
    <t>Adobe Analytics dashboard creation and traffic analysis for sky.com</t>
  </si>
  <si>
    <t xml:space="preserve">CONSENT-927 analysed implementation on Sky, validated brightcove through various consent modes and documented the same </t>
  </si>
  <si>
    <t>CONSENT-927 Configured observe point to detect brightcove - created rule for present scenario,absent scenario , validated on test audits and assigned to main audit</t>
  </si>
  <si>
    <t>CONSENT-963 Documentation of criterias and cookies for detecting various consent scenarios for Xandr pixel is completed.</t>
  </si>
  <si>
    <t>CONSENT-963 Configured observe point to detect Xandr - created rule for present scenario,absent scenario , validated on test audits and assigned to main audit</t>
  </si>
  <si>
    <t>CONSENT-914  Documentation of criterias and cookies for detecting various consent scenarios for Liveperson session recorder pixel.</t>
  </si>
  <si>
    <t>CONSENT-927 Document the criteria to detect client-side processing for Brightcove &amp;  Configure observe point to detect Brightcove</t>
  </si>
  <si>
    <t>CONSENT-963 Document the criteria to detect client-side processing for Xandr &amp; Configure observe point to detect  Xandr</t>
  </si>
  <si>
    <t>CONSENT-914 Document the criteria to detect client-side processing for Liveperson</t>
  </si>
  <si>
    <t>Document criteria to detect client side processing for Brightcove   and Configured audit and rules in observe point for Brightcove</t>
  </si>
  <si>
    <t>Document criteria to detect client side processing for Xandr   and Configured audit and rules in observe point for Xandr</t>
  </si>
  <si>
    <t xml:space="preserve">Document criteria to detect client side processing for Liveperson  </t>
  </si>
  <si>
    <t>Updated dashboard to include average unique visitors for Sky Sports website and apps</t>
  </si>
  <si>
    <t>Updated dashboard to include average unique visitors for Sky website and MyskyApp</t>
  </si>
  <si>
    <t>Calculated Estimated unique visitors count for Sky, Sky Sports website and apps, MyskyApp and Sky news website and apps based on SourcePoint acceptance rate</t>
  </si>
  <si>
    <t>Updated dashboard to include average unique visitors for Sky News website and apps</t>
  </si>
  <si>
    <t>Reviewed the data for all reportsuites of Sky Sports to identify the report suite that has the data for Skysports website and apps</t>
  </si>
  <si>
    <t>Reviewed the data of all reportsuites of Sky News to identify the report suite has the data for Sky News website and apps</t>
  </si>
  <si>
    <t>Reviewed Observepoint audit scans to identify new unapproved cookies created for the latest audit run and prepared the documentation for the same</t>
  </si>
  <si>
    <t>Calculate Estimated daily unique visitors to Sky.com, Sky Sports and Sky News Websites and apps</t>
  </si>
  <si>
    <t>Calculated Estimated daily unique visitors to Sky.com, Sky Sports and Sky News Websites and apps based on the average unique visitors in Adobe analytics and acceptance rate in SourcePoint</t>
  </si>
  <si>
    <t>Adobe Analytics Dashboard to calculate the average unique visitors for Sky.com, Sky Sports and Sky News - Websites and Apps</t>
  </si>
  <si>
    <t>CONSENT-914 Configured observe point to detect Liveperson - created rule for present scenario,absent scenario , validated on test audits and assigned to main audit</t>
  </si>
  <si>
    <t>Observepoint review - Monthly Updates</t>
  </si>
  <si>
    <t>Tracking technology solutions capability Stand-up</t>
  </si>
  <si>
    <t>CONSENT-923 Documentation of criterias and cookies for detecting various consent scenarios for Adobe launch  is completed.</t>
  </si>
  <si>
    <t>CONSENT-923 Configured observe point to detect Adobe launch - created rule for present scenario,absent scenario , validated on test audits and assigned to main audit</t>
  </si>
  <si>
    <t>CONSENT-943 Documentation of criterias and cookies for detecting various consent scenarios for Dynatrace  is completed.</t>
  </si>
  <si>
    <t>CONSENT-914 Configure observe point to detect Liveperson</t>
  </si>
  <si>
    <t>Configured audit and rules in observe point for Liveperson</t>
  </si>
  <si>
    <t>CONSENT-923 Document the criteria to detect client-side processing for Adobe Launch &amp; Configure observe point to detect  Adobe Launch</t>
  </si>
  <si>
    <t xml:space="preserve">CONSENT-943 Document the criteria to detect client-side processing for Dynatrace </t>
  </si>
  <si>
    <t>Tracking Technologies - Capability Standup</t>
  </si>
  <si>
    <t>Updating Consent Categories</t>
  </si>
  <si>
    <t>Reviewed Observepoint audit scans to 
- Identify new unapproved cookies created for the latest audit run for all UKI audits
 and prepared the documentation for the same</t>
  </si>
  <si>
    <t>Updates to ObservePoint audits where pre-audit actions are incorrectly configured</t>
  </si>
  <si>
    <t>Reviewing ObservePoint Audit scans, document new unapproved cookies identified, identify the vendor of the cookies identified, verify if the vendor is listed on CMP</t>
  </si>
  <si>
    <t>Updated pre-audit actions of the Observepoint audits where incorrect details are added</t>
  </si>
  <si>
    <t>Reviewed Observepoint audit scans to 
- Identify the vendor of the cookie for audit scans of 19th January
- Review if the vendor is added under essential/non-essential technologies on CMP for audit scans of 19th January</t>
  </si>
  <si>
    <t>Reviewed Observepoint audit scans to 
- Identify the vendor of the cookie for audit scans of 26th January
- Review if the vendor is added under essential/non-essential technologies on CMP for audit scans of 26th January</t>
  </si>
  <si>
    <t xml:space="preserve">Reviewed Observepoint audit scans to 
- Identify the vendor of the cookie for audit scans of 26th January
- Review if the vendor is added under essential/non-essential technologies on CMP for audit scans of 26th January
</t>
  </si>
  <si>
    <t xml:space="preserve">Reviewed Observepoint audit scans to 
- Identify new unapproved cookies created for the latest audit run for all UKI audits
- Identify the vendor of the cookie for audit scans of past 2nd Feb
- Review if the vendor is added under essential/non-essential technologies on CMP for audit scans of 2nd February
</t>
  </si>
  <si>
    <t>Updated pre-audit actions of the Observepoint audits where incorrect website details are added</t>
  </si>
  <si>
    <t>CONSENT-943 Configured observe point to detect Dynatrace - created rule for present scenario,absent scenario , validated on test audits and assigned to main audit</t>
  </si>
  <si>
    <t>CONSENT-1007 Configured observe point to detect Qualtrics - created rule for present scenario,absent scenario , validated on test audits and assigned to main audit</t>
  </si>
  <si>
    <t>CONSENT-922 Documentation of criterias and cookies for detecting various consent scenarios,analyzing  implementation method in Sky for Bing  is completed.</t>
  </si>
  <si>
    <t>CONSENT-922 Configured observe point to detect Bing - created rule for present scenario,absent scenario , validated on test audits and assigned to main audit</t>
  </si>
  <si>
    <t>CONSENT-907 Documentation of criterias and cookies for detecting various consent scenarios,analyzing  implementation method in Sky for Awin</t>
  </si>
  <si>
    <t>CONSENT-1007 Documentation for detecting various consent scenarios, analyzing the implementation in Sky, and identifying Qualtrics cookies dropped in Sky has been completed.</t>
  </si>
  <si>
    <t>CONSENT-943 Configure observe point to detect Dynatrace</t>
  </si>
  <si>
    <t>CONSENT-1007 Document the criteria to detect client-side processing for Qualtrics &amp; Configure observe point to detect  Qualtrics</t>
  </si>
  <si>
    <t>CONSENT-922 Document the criteria to detect client-side processing for Bing &amp; Configure observe point to detect  Bing</t>
  </si>
  <si>
    <t>Configured audit and rules in observe point for Dynatrace</t>
  </si>
  <si>
    <t>Document criteria to detect client side processing for Qualtrics   and Configured audit and rules in observe point for Qualtrics</t>
  </si>
  <si>
    <t>Document criteria to detect client side processing for Bing   and Configured audit and rules in observe point for Bing</t>
  </si>
  <si>
    <t>Document criteria to detect client side processing for Awin</t>
  </si>
  <si>
    <t>CONSENT-907 Document the criteria to detect client-side processing for Awin</t>
  </si>
  <si>
    <t>Reviewed Observepoint audit scans of 9th Feb
- Created document with list of new cookies identified in the current scan
- Updated vendor details with the details from Tracking Technologies Scope documentation
- Verified if the vendor is disclosed under the essential/non-essential vendor on CMP</t>
  </si>
  <si>
    <t>Updates to Tracking Technologies scope documentation to include the details of newly approved cookies</t>
  </si>
  <si>
    <t>Cookies firing before Consent meeting with Sky Business</t>
  </si>
  <si>
    <t xml:space="preserve">OP audits review </t>
  </si>
  <si>
    <t>Recalculated SourcePoint acceptance rates and estimated unique visitors to websites and apps taking into account of previous accept rate and no choices made scenarios</t>
  </si>
  <si>
    <t>Analysis of Sky Business issue</t>
  </si>
  <si>
    <t>Updates to SourcePoint acceptance rates considering No choices made and Previous Accept All details and recalculated the associated estimated users on the websites/apps based on the revised acceptance rate</t>
  </si>
  <si>
    <t>CONSENT-907 Completed documentation of criterias and cookies for detecting various consent scenarios,analyzing  implementation method in Sky for Awin</t>
  </si>
  <si>
    <t>CONSENT-907 Configured observe point to detect Awin - created rule for present scenario,absent scenario , validated on test audits and assigned to main audit</t>
  </si>
  <si>
    <t>Documented vendor compliance issues, technical issues and potential fix. Mailed to James and team.</t>
  </si>
  <si>
    <t>CONSENT-933 Analyzed Pinterest implementation on Sky. However pinterest tags were not present in both site as well as observe point. Documented observation.</t>
  </si>
  <si>
    <t>Ticket review call with Unni - Reviewed and closed Meta, Found issue in optimizely and logged in ticket. Reviwed issues in Bing and connected with developer regarding fix.</t>
  </si>
  <si>
    <t>CONSENT-919 Analysed Adobe target implementation on Sky. Upon debugging in site and validating in observe point - Target library is present , however no response is received from target servers</t>
  </si>
  <si>
    <t>CONSENT-997 Documentation of criterias and cookies for detecting various consent scenarios,analyzing  implementation method in Sky for Source point</t>
  </si>
  <si>
    <t>CONSENT-907 Document the criteria to detect client-side processing for Awin &amp; Configure observe point to detect  Awin</t>
  </si>
  <si>
    <t>Document criteria to detect client side processing for Awin   and Configured audit and rules in observe point for Awin</t>
  </si>
  <si>
    <t>CONSENT-997 Document the criteria to detect client-side processing for Source point</t>
  </si>
  <si>
    <t>CONSENT-919 Document the criteria to detect client-side processing for Adobe Target</t>
  </si>
  <si>
    <t>CONSENT-933 Document the criteria to detect client-side processing for Pinterest</t>
  </si>
  <si>
    <t>Document criteria to detect client side processing for pinterest</t>
  </si>
  <si>
    <t>Document criteria to detect client side processing for Adobe Target</t>
  </si>
  <si>
    <t>Document criteria to detect client side processing for Source point</t>
  </si>
  <si>
    <t>ADDRESSABL- 331- Documenting the list cookies for which regex pattern is enabled for Sky Italy 6 consent categories in Jira</t>
  </si>
  <si>
    <t>ADDRESSABL- 336- Documenting the list cookies for which regex pattern is enabled for Sky Italy 6 consent categories in Jira</t>
  </si>
  <si>
    <t>ADDRESSABL- 347 - Setting up audits for authenticated journeys in ObservePoint. Testing the audits for 20 pages and updating the configuration based on issues identified</t>
  </si>
  <si>
    <t>ADDRESSABL- 347 - Setting up audits for authenticated journeys in ObservePoint for different products</t>
  </si>
  <si>
    <t>ADDRESSABL- 347 - Creation of action sets for login using different product test credentials in ObservePoint</t>
  </si>
  <si>
    <t>ADDRESSABL- 347 - Setting up audits for authenticated journeys in ObservePoint</t>
  </si>
  <si>
    <t>ADDRESSABL- 331- Reviewing the cookies and updating regex pattern for cookies in Sky Italy Consumer and Editorial Consent Categories</t>
  </si>
  <si>
    <t>ADDRESSABL- 331 - Review of cookies and regex pattern updates to Sky Italy Consent Categories</t>
  </si>
  <si>
    <t>ADDRESSABL- 336 - Review of cookies and regex pattern updates to Sky Italy Consent Categories</t>
  </si>
  <si>
    <t>ADDRESSABL- 347 - Create ObservePoint audits for authenticated journeys on www.sky.com</t>
  </si>
  <si>
    <t>Review of cookies and regex pattern updates to Sky Italy Consent Categories</t>
  </si>
  <si>
    <t>Create ObservePoint audits for accept all, reject all, preselect and essential cookie only scenarios for authenticated journeys on www.sky.com</t>
  </si>
  <si>
    <t>CONSENT-997 Completed documentation of criterias and cookies for detecting various consent scenarios,analyzing  implementation method in Sky for Source point</t>
  </si>
  <si>
    <t>CONSENT-997 Configured observe point to detect Source point - created rule for present scenario,absent scenario , validated on test audits and assigned to main audit</t>
  </si>
  <si>
    <t>CONSENT-929 Documentation of criterias and cookies for detecting various consent scenarios,analyzing  implementation method in Sky for Medallia</t>
  </si>
  <si>
    <t>CONSENT-929 Configured observe point to detect Medallia - created rule for present scenario,absent scenario , validated on test audits and assigned to main audit</t>
  </si>
  <si>
    <t>Connected with Unni for dflow cookie analysis and adobe launch access request creation</t>
  </si>
  <si>
    <t>Created 6 bugs in jira for  vendor compliance issues and technical issues and linked to MTTRKTECH-21</t>
  </si>
  <si>
    <t>CONSENT-958 Started documentation of criterias and cookies for detecting various consent scenarios,analyzing  implementation method in Sky for Taggstar</t>
  </si>
  <si>
    <t>CONSENT-997 Document the criteria to detect client-side processing for Source point  &amp; Configure observe point to detect Source point</t>
  </si>
  <si>
    <t>CONSENT-929 Document the criteria to detect client-side processing for Medallia  &amp; Configure observe point to detect Medallia</t>
  </si>
  <si>
    <t>CONSENT-958 Document the criteria to detect client-side processing for Taggstar</t>
  </si>
  <si>
    <t>Document criteria to detect client side processing for Source point  and Configured audit and rules in observe point for Source point</t>
  </si>
  <si>
    <t>Document criteria to detect client side processing for Medallia  and Configured audit and rules in observe point for Medallia</t>
  </si>
  <si>
    <t>Document criteria to detect client side processing for Taggstar</t>
  </si>
  <si>
    <t>ADDRESSABL- 331- Reprocessing consent categories for Italy audits for the time period of consent categories updates</t>
  </si>
  <si>
    <t>ADDRESSABL- 336- Reprocessing consent categories for Italy audits for the time period of consent categories updates</t>
  </si>
  <si>
    <t>ADDRESSABL- 331 - Reprocessing consent categories for Italy audits for the time period of consent categories updates</t>
  </si>
  <si>
    <t>ADDRESSABL- 336 - Reprocessing consent categories for Italy audits for the time period of consent categories updates</t>
  </si>
  <si>
    <t>Reprocessing consent categories for Italy audits for the time period of consent categories updates</t>
  </si>
  <si>
    <t>Reviewing Authenticated journey scans in ObservePoint and troubleshooting the issues</t>
  </si>
  <si>
    <t>CONSENT-958 Completed documentation of criterias and cookies for detecting various consent scenarios,analyzing  implementation method in Sky for Taggstar</t>
  </si>
  <si>
    <t>CONSENT-958 Configured observe point to detect Taggstar - created rule for present scenario,absent scenario , validated on test audits and assigned to main audit</t>
  </si>
  <si>
    <t>CONSENT-913 Documentation of criterias and cookies for detecting various consent scenarios,analyzing  implementation method in Sky for Smarterclick
Checked vendor presence on site , validated same on OP via custom code set up, documented findings and assigned for review</t>
  </si>
  <si>
    <t>CONSENT-939 Started documentation of criterias and cookies for detecting various consent scenarios,analyzing  implementation method in Sky for Akamai</t>
  </si>
  <si>
    <t>CONSENT-958 Document the criteria to detect client-side processing for Taggstar  &amp; Configure observe point to detect Taggstar</t>
  </si>
  <si>
    <t xml:space="preserve">CONSENT-913 Document the criteria to detect client-side processing for Smarterclick  </t>
  </si>
  <si>
    <t xml:space="preserve">CONSENT-939 Document the criteria to detect client-side processing for Akamai  </t>
  </si>
  <si>
    <t>Document criteria to detect client side processing for Taggstar  and Configured audit and rules in observe point for Taggstar</t>
  </si>
  <si>
    <t>Document criteria to detect client side processing for Smarterclick</t>
  </si>
  <si>
    <t>Document criteria to detect client side processing for Akamai</t>
  </si>
  <si>
    <t>Meeting with Sky Business team for the issue with consent behaviour on business.sky.com</t>
  </si>
  <si>
    <t>Worked on Custom code required to resolve the consent behavior issue on business.sky.com for staging and production and tested on browser console</t>
  </si>
  <si>
    <t>Reviewed analysis from ObservePoint Support team and responded with details</t>
  </si>
  <si>
    <t xml:space="preserve">Updated consent categories for Italy Customer properties. Reprocessed consent categories for the audits post 17.02.2026 </t>
  </si>
  <si>
    <t>Analysis on GTM vs Firebase integration on mobile apps</t>
  </si>
  <si>
    <t>ADDRESSABL- 331 - Reprocessing customer consent categories for Italy audits for the time period of consent categories updates for 17.02.2026 version</t>
  </si>
  <si>
    <t>Analysis and coding for consent behavior issue on Sky Business</t>
  </si>
  <si>
    <t>Reprocessing consent categories for Italy audits for the time period of consent categories updates for 17.02.2026 version</t>
  </si>
  <si>
    <t>Analyzed the consent behavior issue on Sky Business and worked on code that needs to be used in GTM to resolve this issue</t>
  </si>
  <si>
    <t>CONSENT-939 Completed documentation of criterias and cookies for detecting various consent scenarios,analyzing  implementation method in Sky for Redeye</t>
  </si>
  <si>
    <t>CONSENT-939 Configured observe point to detect Redeye - created rule for present scenario,absent scenario , validated on test audits and assigned to main audit</t>
  </si>
  <si>
    <t>Connected with Unni for reviewing cookie documentation and OP rules for vendors and closed tickets</t>
  </si>
  <si>
    <t>CONSENT-934 Documentation of criterias and cookies for detecting various consent scenarios,analyzing  implementation method in Sky for Adobe CJA</t>
  </si>
  <si>
    <t>CONSENT-934 Configured observe point to detect Adobe CJA - created rule for present scenario,absent scenario , validated on test audits and assigned to main audit</t>
  </si>
  <si>
    <t>CONSENT-937 Started documentation of criterias and cookies for detecting various consent scenarios,analyzing  implementation method in Sky for Adobe Audience Manager</t>
  </si>
  <si>
    <t>CONSENT-939 Document the criteria to detect client-side processing for Redeye  &amp; Configure observe point to detect Redeye</t>
  </si>
  <si>
    <t xml:space="preserve">CONSENT-934 Document the criteria to detect client-side processing for Adobe CJA &amp; Configure observe point to detect Adobe CJA   </t>
  </si>
  <si>
    <t xml:space="preserve">CONSENT-937 Document the criteria to detect client-side processing for Adobe Audience Manager </t>
  </si>
  <si>
    <t>Document criteria to detect client side processing for Redeye  and Configured audit and rules in observe point for Redeye</t>
  </si>
  <si>
    <t>Document criteria to detect client side processing for CJA and Configured audit and rules in observe point for CJA</t>
  </si>
  <si>
    <t>Document criteria to detect client side processing for AAM</t>
  </si>
  <si>
    <t>Meeting with Didomi - Technical Integration Demo</t>
  </si>
  <si>
    <t>ObservePoint And Sky Account Review</t>
  </si>
  <si>
    <t>Continuation of GTM Cookie Setup</t>
  </si>
  <si>
    <t>Meeting with OneTrust - Technical integration demo</t>
  </si>
  <si>
    <t>Connect with Tamiz on app log validation using HAR analyzer</t>
  </si>
  <si>
    <t>Created action set and authenticated audits for sky store</t>
  </si>
  <si>
    <t>Created action set and  authenticated audits for helpforum</t>
  </si>
  <si>
    <t>Creating a guide to retrieve consent categories via the API and testing the approach</t>
  </si>
  <si>
    <t>Testing authenticated audits for sky store and fixing the issues identified</t>
  </si>
  <si>
    <t>Testing authenticated audits for helpforum and fixing the issues identified</t>
  </si>
  <si>
    <t>Confluence documentation creation for ObservePoint HAR analyzer</t>
  </si>
  <si>
    <t>Confluence documentation for how to extract HAR files in mobile apps</t>
  </si>
  <si>
    <t>Testing the approach documented in the guide for retrieving consent categories via API</t>
  </si>
  <si>
    <t>Created action set and created audits for Sky Business for authentication</t>
  </si>
  <si>
    <t>Testing the authenticated audits created for Sky Business and fixing the errors identified</t>
  </si>
  <si>
    <t>Adobe Analytics dashboard to retrieve the highest traffic over a year for Sky Sports and Sky News</t>
  </si>
  <si>
    <t>ObservePoint API documentation analysis to retrieve the consent categories for Italy audits</t>
  </si>
  <si>
    <t>Updated on page actions for sky store, sky, sky business and helpforum authenticated audits</t>
  </si>
  <si>
    <t>Working with monitoring Observability team to regain the access to vault keys to update the new api key</t>
  </si>
  <si>
    <t>Validating the Grafana dashboard data to see if the data is loading as the new API key is created for ObservePoint</t>
  </si>
  <si>
    <t>Created one Jira ticket for each app and uploaded the logs available
Created Jira tickets for authenticated journeys setup in ObservePoint for Sky Store, helpforum and Sky Business</t>
  </si>
  <si>
    <t>Sky Wifi app logs validation using ObservePoint HAR analyzer and sharing the analysis to Maurizio</t>
  </si>
  <si>
    <t>Created configuration under HAR Analyzer section for windows. 
Converted .chls sessions provided for Sky Go Italy Windows and uploaded them to HAR Analyzer
Uploaded News iOS App logs to HAR Analyzer</t>
  </si>
  <si>
    <t>Created action sets and authenticated audits for Sky Store and helpforum</t>
  </si>
  <si>
    <t>Confluence documentation for retrieving Consent Categories via API for Italy</t>
  </si>
  <si>
    <t>Confluence documentation for utilizing ObservePoint HAR Analyzer</t>
  </si>
  <si>
    <t>Confluence documentation for utilizing ObservePoint HAR Analyzer and how to extract charles logs for mobile apps</t>
  </si>
  <si>
    <t>Created action sets and authenticated audits for Sky Business</t>
  </si>
  <si>
    <t>Sky Wifi app logs validation</t>
  </si>
  <si>
    <t>Shared the Observations from Sky Wifi app log analysis</t>
  </si>
  <si>
    <t>Configuration creation for HAR analyzer and uploaded logs</t>
  </si>
  <si>
    <t>CONSENT-937 Completed documentation of criterias and cookies for detecting various consent scenarios,analyzing  implementation method in Sky for Adobe Audience Manager</t>
  </si>
  <si>
    <t>Observepoint &amp; Sky account review</t>
  </si>
  <si>
    <t>OneTrust CMP Technical Integration Demo - Session 1</t>
  </si>
  <si>
    <t>CONSENT-937 Identified limitations to write rules for CJA &amp; AAM tags validation in OP. Sent email to Callum addressing the same.</t>
  </si>
  <si>
    <t>CONSENT-926 Documentation of criterias and cookies for detecting various consent scenarios,analyzing  implementation method in Sky for Likewize</t>
  </si>
  <si>
    <t>CONSENT-926 Configured observe point to detect Likewize - created rule for present scenario,absent scenario , validated on test audits and assigned to main audit</t>
  </si>
  <si>
    <t>CONSENT-944  Started documentation of criterias and cookies for detecting various consent scenarios,analyzing  implementation method in Sky for Yahoo</t>
  </si>
  <si>
    <t xml:space="preserve">CONSENT-937 Document the criteria to detect client-side processing for &amp; Configure observe point to detect Adobe Audience Manager </t>
  </si>
  <si>
    <t>Document criteria to detect client side processing for  AAM  and Configured audit and rules in observe point for  AAM</t>
  </si>
  <si>
    <t xml:space="preserve">CONSENT-926 Document the criteria to detect client-side processing for Likewize &amp; Configure observe point to detect Likewize </t>
  </si>
  <si>
    <t>Document criteria to detect client side processing for Likewize and Configured audit and rules in observe point for Likewize</t>
  </si>
  <si>
    <t>CONSENT-944 Document the criteria to detect client-side processing for Yahoo</t>
  </si>
  <si>
    <t>Document criteria to detect client side processing for Yahoo</t>
  </si>
  <si>
    <t>Document the criteria to detect client-side processing for Queue-it &amp; Configure observe point to detect Queue-it</t>
  </si>
  <si>
    <t>Document the criteria to detect client-side processing for Lexis Nexis &amp; Configure observe point to detect Lexis Nexis</t>
  </si>
  <si>
    <t>Configured Observe point Rules for vendors that are missing in Authenticated Audits by comparing with Main and test audits</t>
  </si>
  <si>
    <t>Configured Observepoint Rules for vendors that are missing in Authenticated Audits by comparing with Main and test audits</t>
  </si>
  <si>
    <t>CONSENT-951 Started documentation of analyzing various implementation methods and cookies associated with Lexis Nexis generally and on sky pages</t>
  </si>
  <si>
    <t>CONSENT-951 Completed documentation of analyzing various implementation methods and cookies associated with Lexis Nexis generally and on sky pages</t>
  </si>
  <si>
    <t>CONSENT-957 Started documentation of analyzing various implementation methods and cookies associated with Queue-it generally and on sky pages</t>
  </si>
  <si>
    <t>CONSENT-957 Completed documentation of analyzing various implementation methods and cookies associated with Queue-it generally and on sky pages</t>
  </si>
  <si>
    <t>CONSENT-957 Document the criteria to detect client-side processing for Queue-it &amp; Configure observe point to detect Queue-it</t>
  </si>
  <si>
    <t>CONSENT-951 Document the criteria to detect client-side processing for Lexis Nexis &amp; Configure observe point to detect Lexis Nexis</t>
  </si>
  <si>
    <t>ADDRESSABL-370 - App logs validation using HAR analyzer for UKI MSA iOS and Android apps</t>
  </si>
  <si>
    <t>ADDRESSABL-332 - Sky Go Italy iOS app - Converted .chls sessions to .har and uploaded the logs to HAR analyzer and updated the observations to the jira</t>
  </si>
  <si>
    <t>ADDRESSABL-333 - Sky Go Italy Android app - Converted .chls sessions to .har and uploaded the logs to HAR analyzer and updated the observations to the jira</t>
  </si>
  <si>
    <t>Sky Italy My Sky APP logs analysis</t>
  </si>
  <si>
    <t>Raised a ticket with ObservePoint as many of the logs are not being categorized as tags in HAR analyzer</t>
  </si>
  <si>
    <t>ADDRESSABL-370 - App logs validation using HAR analyzer for UKI MSA iOS. Shared the observations over Jira ticket</t>
  </si>
  <si>
    <t>ADDRESSABL-370 - App logs validation using HAR analyzer for UKI MSA Android apps. Shared the observations over Jira ticket</t>
  </si>
  <si>
    <t>ObservePoint Scans review and documenting the new unapproved cookies identified for the current scan
Documented vendor details and verified if vendor is listed or not listed on CMP</t>
  </si>
  <si>
    <t>ADDRESSABL-332 - Sky Go Italy iOS app logs validation</t>
  </si>
  <si>
    <t>ADDRESSABL-333 - Sky Go Italy Android app logs validation</t>
  </si>
  <si>
    <t>App logs validation using HAR analyzer for UKI MSA iOS and Android apps</t>
  </si>
  <si>
    <t>Sky Go Italy iOS app logs validation</t>
  </si>
  <si>
    <t>Sky Go Italy Android app logs validation</t>
  </si>
  <si>
    <t>UKI Sky News App logs analysis</t>
  </si>
  <si>
    <t>CONSENT-942 Started documentation of analyzing various implementation methods and cookies associated with chartbeat generally and on sky pages</t>
  </si>
  <si>
    <t>CONSENT-942 Completed documentation of criterias and cookies for detecting various consent scenarios,analyzing  implementation method in Sky for chartbeat</t>
  </si>
  <si>
    <t>CONSENT-954 Completed documentation of analyzing various implementation methods and cookies associated with Stripe generally and on sky pages</t>
  </si>
  <si>
    <t>CONSENT-942 Document the criteria to detect client-side processing for Chartbeat</t>
  </si>
  <si>
    <t>CONSENT-954 Document the criteria to detect client-side processing for Stripe</t>
  </si>
  <si>
    <t>Document the criteria to detect client-side processing for Chartbeat</t>
  </si>
  <si>
    <t>Document the criteria to detect client-side processing for Stripe</t>
  </si>
  <si>
    <t>ADDRESSABL-369 - App logs validation using HAR analyzer for UKI Sky News App. Shared the observations over Jira ticket</t>
  </si>
  <si>
    <t>ADDRESSABL-371 - App logs validation using HAR analyzer for UKI Sky Store App. Shared the observations over Jira ticket</t>
  </si>
  <si>
    <t xml:space="preserve">Installed and configured Charles latest version to support validation of Charles 5.x.0 logs. Converted .chls logs to .har </t>
  </si>
  <si>
    <t>ADDRESSABL-371 - App logs validation using HAR analyzer for UKI Sky Store App - Contents of the file are not readable due to version of Charles used</t>
  </si>
  <si>
    <t>Analyzing the process to create authenticated audits for the websites using MFA</t>
  </si>
  <si>
    <t>Working with ObservePoint Support team to understand the root cause of the request logs not being identified as tags for App logs</t>
  </si>
  <si>
    <t>Understanding the vendors loading on App logs - Firebase Crashlytics, Firebase Telemetry, Adobe audience manager</t>
  </si>
  <si>
    <t>ADDRESSABL-369 - App logs validation using HAR analyzer for UKI Sky News App</t>
  </si>
  <si>
    <t>ADDRESSABL-371 - App logs validation using HAR analyzer for UKI Sky Store App</t>
  </si>
  <si>
    <t>App logs validation using HAR analyzer for UKI Sky News App</t>
  </si>
  <si>
    <t>App logs validation using HAR analyzer for UKI Sky Store App</t>
  </si>
  <si>
    <t>CONSENT-1011 Started  documentation of analyzing various implementation methods and cookies associated with Storyteller generally and on sky pages</t>
  </si>
  <si>
    <t>CONSENT-1011 Completed documentation of analyzing various implementation methods and cookies associated with Storyteller generally and on sky pages</t>
  </si>
  <si>
    <t>CONSENT-906 Started documentation of analyzing various implementation methods and cookies associated with F5 networks generally and on sky pages</t>
  </si>
  <si>
    <t>Observe point review - monthly updates</t>
  </si>
  <si>
    <t>CONSENT-906 Completed documentation of analyzing various implementation methods and cookies associated with F5 networks generally and on sky pages</t>
  </si>
  <si>
    <t>CONSENT-906 Explored ways to write rules to detect F5 networks, will send email to OP support on the same</t>
  </si>
  <si>
    <t>CONSENT-964 Started  documentation of analyzing various implementation methods and cookies associated with Khoros generally and on sky pages</t>
  </si>
  <si>
    <t>Tracking tech P12 - readiness</t>
  </si>
  <si>
    <t>CONSENT-964 Completed  documentation of analyzing various implementation methods and cookies associated with Khoros generally and on sky pages</t>
  </si>
  <si>
    <t>Replied to callum's email regarding OP enhancement requriremnts for Adobe CJA &amp; AAM rules</t>
  </si>
  <si>
    <t xml:space="preserve">CONSENT-1011 Document the criteria to detect client-side processing for Storyteller </t>
  </si>
  <si>
    <t>CONSENT-906 Document the criteria to detect client-side processing for F5 networks &amp; Explored configuring observe point to detect F5 networks</t>
  </si>
  <si>
    <t xml:space="preserve">CONSENT-964 Document the criteria to detect client-side processing for Khoros </t>
  </si>
  <si>
    <t xml:space="preserve">Document the criteria to detect client-side processing for Story teller </t>
  </si>
  <si>
    <t>Document the criteria to detect client-side processing for Khoros</t>
  </si>
  <si>
    <t>Document the criteria to detect client-side processing for F5 networks &amp; explored observe point to detect F5 networks</t>
  </si>
  <si>
    <t>Reviewed ObservePoint weekly scans to identify any new unapproved cookies and documented the details</t>
  </si>
  <si>
    <t>Reviewing the cookie list and vendor list shared for Sky Go Italy and replied over the email regarding the issue with logs</t>
  </si>
  <si>
    <t>ObservePoint - Monthly Review</t>
  </si>
  <si>
    <t>Nick</t>
  </si>
  <si>
    <t>Created Audits for Essential cookies only, Reject all and Accept All consent scenarios for  truenorth.tv website</t>
  </si>
  <si>
    <t>Created Audits for Essential cookies only, Reject all and Accept All consent scenarios for   truenorthpost.tv website</t>
  </si>
  <si>
    <t>Created Audits for Essential cookies only, Reject all and Accept All consent scenarios for  thegreatbritishbakeoff.co.uk website</t>
  </si>
  <si>
    <t>Created Action set and configured audits for authenticated journeys for analytics.sky and performed testing</t>
  </si>
  <si>
    <t>Created Action set and configured audits for authenticated journeys for portal.sky.com and performed testing</t>
  </si>
  <si>
    <t>Connect with Mas regarding current challenges for app validation</t>
  </si>
  <si>
    <t>Documenting the current challenges and next steps for App Logs validation requests</t>
  </si>
  <si>
    <t>ADDRESSABL-395 - Create web audits for the authenticated environment of portal.sky.com</t>
  </si>
  <si>
    <t>ADDRESSABL-396 - Create web audits for the authenticated environment of analytics.sky</t>
  </si>
  <si>
    <t>Authenticated audits for portal.sky.com for all the consent scenarios</t>
  </si>
  <si>
    <t>Authenticated audits for analytics.sky for all the consent scenarios</t>
  </si>
  <si>
    <t>Audits creation for Essential cookies only, Reject all and Accept All consent scenarios for  truenorth.tv, truenorthpost.tv and thegreatbritishbakeoff.co.uk websites</t>
  </si>
  <si>
    <t>Essential cookies only, accept all, reject all scenario audits for truenorth.tv, truenorthpost.tv and thegreatbritishbakeoff.co.uk websites</t>
  </si>
  <si>
    <t>CONSENT-938 Completed documentation of analyzing various implementation methods and cookies associated with Freewheel generally and on sky pages</t>
  </si>
  <si>
    <t>CONSENT-938 Configured observe point to detect Freewheel - created rule for present scenario,absent scenario , validated on test audits</t>
  </si>
  <si>
    <t>CONSENT-935 Completed documentation of analyzing various implementation methods and cookies associated with Global Media Group generally and on sky pages</t>
  </si>
  <si>
    <t>CONSENT-935 Configured observe point to detect Global Media Group - created rule for present scenario,absent scenario , validated on test audits</t>
  </si>
  <si>
    <t>MarTech Quarterly Planning &amp; PI2 breakout</t>
  </si>
  <si>
    <t>CONSENT-938 Document the criteria to detect client-side processing for Freewheel &amp; Explored configuring observe point to detect Freewheel</t>
  </si>
  <si>
    <t>CONSENT-935 Document the criteria to detect client-side processing for Global Media Group &amp; Explored configuring observe point to detect Global Media Group</t>
  </si>
  <si>
    <t>Document the criteria to detect client-side processing for Freewheel &amp; explored observe point to detect Freewheel</t>
  </si>
  <si>
    <t>Document the criteria to detect client-side processing for Global Media Group &amp; explored observe point to detect Global Media Group</t>
  </si>
  <si>
    <t>Review of Italy MSA logs and sharing the observations with Italy Team</t>
  </si>
  <si>
    <t>Converted Sky News - Android and iOS app logs from .chls to .har and uploaded to ObservePoint</t>
  </si>
  <si>
    <t>Converted tg24 - Android and iOS app logs from .chls to .har and uploaded to ObservePoint</t>
  </si>
  <si>
    <t>Reached out to Italy Mac OS app team to get the latest Wiki page for app logs. Converted Sky Go Italy Mac OS .chls logs to .har. Uploaded the logs to ObservePoint and updated the Observations over jira ticket</t>
  </si>
  <si>
    <t xml:space="preserve">Analysing the approach to automate the Observepoint weekly scan review </t>
  </si>
  <si>
    <t>Troubleshooting issue with Grafana dashboards</t>
  </si>
  <si>
    <t>ADDRESSABL-334 - Go: Audit Test Results of Italy MacOS app</t>
  </si>
  <si>
    <t>Sky Go MSA App logs validation</t>
  </si>
  <si>
    <t>Sky News and TG24 App logs validation for iOS and Android</t>
  </si>
  <si>
    <t>CONSENT-950 Started  documentation of analyzing various implementation methods and cookies associated with Epsilon generally and on sky pages</t>
  </si>
  <si>
    <t>CONSENT-950 Completed documentation of analyzing various implementation methods and cookies associated with Epsilon generally and on sky pages</t>
  </si>
  <si>
    <t>CONSENT-909 Started documentation of analyzing various implementation methods and cookies associated with Live Engage generally and on sky pages</t>
  </si>
  <si>
    <t>CONSENT-909 Completed documentation of analyzing various implementation methods and cookies associated with Live Engage generally and on sky pages</t>
  </si>
  <si>
    <t>CONSENT-909 Configured observe point to detect  Live Engage - created rule for present scenario,absent scenario , validated on test audits</t>
  </si>
  <si>
    <t>CONSENT-921 Started  documentation of analyzing various implementation methods and cookies associated with Lucid CX generally and on sky pages</t>
  </si>
  <si>
    <t>CONSENT-921 Completed  documentation of analyzing various implementation methods and cookies associated with Lucid CX generally and on sky pages</t>
  </si>
  <si>
    <t>CONSENT-950 Document the criteria to detect client-side processing for Epsilon</t>
  </si>
  <si>
    <t>CONSENT-909 Document the criteria to detect client-side processing for Live Engage &amp; Explored configuring observe point to detect Live Engage</t>
  </si>
  <si>
    <t>CONSENT-921 Document the criteria to detect client-side processing for Lucid CX</t>
  </si>
  <si>
    <t xml:space="preserve">Document the criteria to detect client-side processing for Epsilon </t>
  </si>
  <si>
    <t>Document the criteria to detect client-side processing for Live Engage &amp; explored observe point to detect Live Engage</t>
  </si>
  <si>
    <t>Document the criteria to detect client-side processing for Lucid CX</t>
  </si>
  <si>
    <t>Meeting on Sky Wifi App - Cookie Policy check for Comcast</t>
  </si>
  <si>
    <t>Sky News and TG24 App logs validation and adding observations to the jira ticket</t>
  </si>
  <si>
    <t>Meeting with Tulliola and Team regarding MSA app logs validation</t>
  </si>
  <si>
    <t>ObservePoint weekly audit scans review</t>
  </si>
  <si>
    <t>Authenticated Journeys for smarthome.sky in ObservePoint</t>
  </si>
  <si>
    <t>Creating Secrets in new vault path and worked with monitoring-observability team to update the data sources with the new secret path</t>
  </si>
  <si>
    <t>Validated Grafana dashboards once the data sources are updated with new secret path</t>
  </si>
  <si>
    <t>Created bugs for the issues identified with app logs validation and updated the Jira tickets with necessary labels</t>
  </si>
  <si>
    <t>Code changes for automating Observepoint audit scans review</t>
  </si>
  <si>
    <t>Uploaded revised iOS app logs shared for Sky Italy MSA in ObservePoint and shared the observations</t>
  </si>
  <si>
    <t>Provided support for Sky Business to handle the consent condition for skyforbusiness.sky.com and cloud.info.skyforbusiness.com</t>
  </si>
  <si>
    <t>Tracking tech - Daily Standup</t>
  </si>
  <si>
    <t>Uploaded latest logs shared for Sky News and TG24 in ObservePoint</t>
  </si>
  <si>
    <t>Connect with Nick to troubleshoot Spark access issue</t>
  </si>
  <si>
    <t>ADDRESSAB-408 - Authenticated Journeys for smarthome.sky in ObservePoint</t>
  </si>
  <si>
    <t>ADDRESSABL-408 - ObservePoint Audits creation for smarthome.sky.com</t>
  </si>
  <si>
    <t>App log validation for Sky Italy MSA</t>
  </si>
  <si>
    <t>Created audits in ObservePoint for Accept All, Reject All, Essential Cookies Only and Preselect scenarios</t>
  </si>
  <si>
    <t>Sky Italy MSA App logs validation</t>
  </si>
  <si>
    <t>Created Secrets for ObservePoint and SourcePoint in new vault and co-ordinated with monitoring-Observability teams to update the data sources with new secret paths</t>
  </si>
  <si>
    <t>CONSENT-921 Configured observe point to detect  LucidCX - created rule for present scenario,absent scenario , validated on test audits</t>
  </si>
  <si>
    <t>CONSENT-944 Addressed review comment for Yahoo,by intensely analyzing dflow cookie present in sky mail page and its functionality</t>
  </si>
  <si>
    <t xml:space="preserve">CONSENT-934 AdobeCJA rules failed in OP for few pages due to inconsistent schema pattern . Reported this behavior and assigned to Unni for review </t>
  </si>
  <si>
    <t>CONSENT-1012 Started  documentation of analyzing various implementation methods and cookies associated with OpenX generally and on sky &amp; skysports pages</t>
  </si>
  <si>
    <t>CONSENT-1012 Completed documentation of analyzing various implementation methods and cookies associated with OpenX generally and on sky &amp; skysports pages</t>
  </si>
  <si>
    <t>CONSENT-916 Started  documentation of analyzing various implementation methods and cookies associated with Spatial Buzz generally and on sky pages</t>
  </si>
  <si>
    <t>CONSENT-916 Completed  documentation of analyzing various implementation methods and cookies associated with Spatial Buzz generally and on sky pages</t>
  </si>
  <si>
    <t>CONSENT-921 Configuring observe point to detect LucidCX</t>
  </si>
  <si>
    <t xml:space="preserve">CONSENT-1012 Document the criteria to detect client-side processing for OpenX </t>
  </si>
  <si>
    <t>Document the criteria to detect client-side processing for OpenX</t>
  </si>
  <si>
    <t>Document the criteria to detect client-side processing for Spatial Buzz</t>
  </si>
  <si>
    <t xml:space="preserve">Configured OP rules to detect LucidCX </t>
  </si>
  <si>
    <t>CONSENT-916 Configured observe point to detect  Spatial Buzz - created rule for present scenario,absent scenario , validated on test audits</t>
  </si>
  <si>
    <t>CONSENT-941 Started  documentation of analyzing various implementation methods and cookies associated with Content Stack generally and on sky pages</t>
  </si>
  <si>
    <t>CONSENT-941 Completed  documentation of analyzing various implementation methods and cookies associated with Content Stack generally and on sky pages</t>
  </si>
  <si>
    <t>CONSENT-941 Configured observe point to detect  Content Stack - created rule for present scenario,absent scenario , validated on test audits</t>
  </si>
  <si>
    <t>Created updated rules for taggstart, created request in OP for medallia vendor</t>
  </si>
  <si>
    <t>CONSENT-916 Configuring observe point to detect Spatial Buzz</t>
  </si>
  <si>
    <t>CONSENT-916 Document the criteria to detect client-side processing for Spatial Buzz</t>
  </si>
  <si>
    <t>CONSENT-936 Started  documentation of analyzing various implementation methods and cookies associated with CND Motion media gmbh generally and on sky pages</t>
  </si>
  <si>
    <t>CONSENT-936 Completed documentation of analyzing various implementation methods and cookies associated with CND Motion media gmbh generally and on sky &amp; skysports pages</t>
  </si>
  <si>
    <t>CONSENT-920 Started  documentation of analyzing various implementation methods and cookies associated with Intercom generally and on sky pages</t>
  </si>
  <si>
    <t>CONSENT-936 Document the criteria to detect client-side processing for CND Motion media gmbh</t>
  </si>
  <si>
    <t>CONSENT-920 Document the criteria to detect client-side processing for Intercom</t>
  </si>
  <si>
    <t>Configured OP rules to detect Spatial Buzz</t>
  </si>
  <si>
    <t>CONSENT-941 Document the criteria to detect client-side processing for Content Stack and Configuring observe point to detect Content Stack</t>
  </si>
  <si>
    <t>Analysis on Sky News failed audits. Worked with ObservePoint support for issue identification</t>
  </si>
  <si>
    <t>ADDRESSABL- 406 : Cookie dropped prior to user consent - __Host-authjs.csrf-token on all corporate sites
- Added cookies to tracking technology scope sheet
- Added cookies to the approved list for skymediavillage, skystudioselstree, Fullstoryfilms, bestreamwise, skyup, , skygroup &amp; skynewsdistribution</t>
  </si>
  <si>
    <t xml:space="preserve">ADDRESSABL-409 - Create new Consent Categories for Sky Italia properties by 07/05
- Uploaded Technical, Analytics and Performance cookies for Editorial and Consumer categories    to the ObservePoint
</t>
  </si>
  <si>
    <r>
      <t xml:space="preserve">ADDRESSABL-409 - Create new Consent Categories for Sky Italia properties by 07/05
</t>
    </r>
    <r>
      <rPr>
        <b/>
        <sz val="9"/>
        <color theme="1"/>
        <rFont val="Calibri"/>
        <family val="2"/>
        <scheme val="minor"/>
      </rPr>
      <t xml:space="preserve">- </t>
    </r>
    <r>
      <rPr>
        <sz val="9"/>
        <color theme="1"/>
        <rFont val="Calibri"/>
        <family val="2"/>
        <scheme val="minor"/>
      </rPr>
      <t xml:space="preserve">Updated Regex patterns for the cookies in consent categories
</t>
    </r>
    <r>
      <rPr>
        <b/>
        <sz val="9"/>
        <color theme="1"/>
        <rFont val="Calibri"/>
        <family val="2"/>
        <scheme val="minor"/>
      </rPr>
      <t>-</t>
    </r>
    <r>
      <rPr>
        <sz val="9"/>
        <color theme="1"/>
        <rFont val="Calibri"/>
        <family val="2"/>
        <scheme val="minor"/>
      </rPr>
      <t xml:space="preserve"> Assigned the consent categories for Italy audits</t>
    </r>
  </si>
  <si>
    <t xml:space="preserve">ADDRESSABL-409 - Create new Consent Categories for Sky Italia properties by 07/05
</t>
  </si>
  <si>
    <t>Uploaded Technical, Analytics and Performance cookies for Editorial and Consumer categories to the ObservePoint
Updated Regex patterns for the cookies in consent categories
Assigned the consent categories for Italy audits</t>
  </si>
  <si>
    <t xml:space="preserve">ADDRESSABL- 406 : Cookie dropped prior to user consent - __Host-authjs.csrf-token on all corporate sites
</t>
  </si>
  <si>
    <t>Added cookies to tracking technology scope sheet
Added cookies to the approved list for skymediavillage, skystudioselstree, Fullstoryfilms, bestreamwise, skyup, , skygroup &amp; skynewsdistribution</t>
  </si>
  <si>
    <t>CONSENT-920 Completed  documentation of analyzing various implementation methods and cookies associated with Intercom generally and on sky pages</t>
  </si>
  <si>
    <t>CONSENT-920 Configured observe point to detect  Intercom - created rule for present scenario,absent scenario , validated on test audits &amp; assigned to main audit</t>
  </si>
  <si>
    <t>CONSENT-961 Started  documentation of analyzing various implementation methods and cookies associated with Cloudfront generally and on sky pages</t>
  </si>
  <si>
    <t>CONSENT-961 Completed  documentation of analyzing various implementation methods and cookies associated with cloudfront generally and on sky pages</t>
  </si>
  <si>
    <t>CONSENT-953 Started  documentation of analyzing various implementation methods and cookies associated with Yext generally and on sky pages</t>
  </si>
  <si>
    <t>CONSENT-953 Completed  documentation of analyzing various implementation methods and cookies associated with Yext generally and on sky pages</t>
  </si>
  <si>
    <t>CONSENT-920 Document the criteria to detect client-side processing for Intercom and Configuring observe point to detect Intercom</t>
  </si>
  <si>
    <t>CONSENT-961 Document the criteria to detect client-side processing for Cloudfront</t>
  </si>
  <si>
    <t>CONSENT-953 Document the criteria to detect client-side processing for Yext</t>
  </si>
  <si>
    <t>Document the criteria to detect client-side processing for Intercom and OP rule configuration</t>
  </si>
  <si>
    <t>Document the criteria to detect client-side processing for Cloudfront</t>
  </si>
  <si>
    <t>Document the criteria to detect client-side processing for Yext</t>
  </si>
  <si>
    <t>CONSENT-953 Configured observe point to detect  Yext - created rule for present scenario,absent scenario , validated on test audits &amp; assigned to main audit</t>
  </si>
  <si>
    <t>CONSENT-948 Started  documentation of analyzing various implementation methods and cookies associated with Doubleverify generally and on sky pages</t>
  </si>
  <si>
    <t>CONSENT-948 Completed  documentation of analyzing various implementation methods and cookies associated with Doubleverify generally and on sky pages</t>
  </si>
  <si>
    <t>CONSENT-910 Started  documentation of analyzing various implementation methods and cookies associated with Amazon Hosting generally and on sky pages</t>
  </si>
  <si>
    <t>CONSENT-910 Completed  documentation of analyzing various implementation methods and cookies associated with Amazon Hosting generally and on sky pages</t>
  </si>
  <si>
    <t>CONSENT-953 Configuring observe point rules to detect Yext</t>
  </si>
  <si>
    <t>CONSENT-948 Document the criteria to detect client-side processing for Doubleverify</t>
  </si>
  <si>
    <t>CONSENT-910 Document the criteria to detect client-side processing for Amazon Hosting</t>
  </si>
  <si>
    <t>Yext OP rule configuration</t>
  </si>
  <si>
    <t>Document the criteria to detect client-side processing for Double verify</t>
  </si>
  <si>
    <t>Document the criteria to detect client-side processing for Amazon Hosting</t>
  </si>
  <si>
    <t>Analysis on fullstoryfilms failed audits. Worked with ObservePoint support for issue identification</t>
  </si>
  <si>
    <t>Rerun the news audits to check if the IP blocking issue is resolved</t>
  </si>
  <si>
    <t>App log validation updates in Jira tickets</t>
  </si>
  <si>
    <t>ADDRESSABL- 440 - Sports, News, Elections, BoxOffice Consent Categories checks
- Compare the approved cookies in ObservePoint with the cookies/vendors listed on SourcePoint</t>
  </si>
  <si>
    <t>ADDRESSABL - 440 - Sports, News, Elections, BoxOffice Consent Categories checks
- Compare the approved cookies in ObservePoint with the cookies/vendors listed on SourcePoint</t>
  </si>
  <si>
    <t>Updates to Jira tickets/bugs for app logs to include parameter level confirmations</t>
  </si>
  <si>
    <t>Uploaded revised iOS app logs for UKI Sky News to ObservePoint and added observations to the Jira ticket</t>
  </si>
  <si>
    <t>Performed ObservePoint audit scans review for the pending weeks and uploaded the document into the Shared Folder</t>
  </si>
  <si>
    <t>App Log validation for Sky News iOS and parameter level confirmation for the other app log validation tickets</t>
  </si>
  <si>
    <t>Analyzed revised app logs received for Sky News iOS. Updated observations for app log tickets and bugs to include parameter level confirmation</t>
  </si>
  <si>
    <t xml:space="preserve">ObservePoint Audit scans review
</t>
  </si>
  <si>
    <t>Performed Audit scans review for pending weeks and uploaded the documents in the SharePoint folder</t>
  </si>
  <si>
    <t>Analysis on fullstoryfilms failed audits</t>
  </si>
  <si>
    <t>CONSENT-946 Started  documentation of analyzing various implementation methods and cookies associated with Echobox generally and on sky pages</t>
  </si>
  <si>
    <t>CONSENT-946 Completed  documentation of analyzing various implementation methods and cookies associated with Echobox generally and on sky pages</t>
  </si>
  <si>
    <t>ADDRESSABL-441 Completed maping icomply numbers to corresponding vendors</t>
  </si>
  <si>
    <t>ADDRESSABL-441 Map TTIA vendors to iComply list - Analyzed provided conluence link and mapped icomply numbers to corresponding vendors</t>
  </si>
  <si>
    <t>CONSENT-917 Started  documentation of analyzing various implementation methods and cookies associated with XAD spot effects GMBH generally and on sky pages</t>
  </si>
  <si>
    <t>CONSENT-946 Document the criteria to detect client-side processing for Echobox</t>
  </si>
  <si>
    <t>ADDRESSABL-441 Map TTIA vendors to iComply list</t>
  </si>
  <si>
    <t>CONSENT-917 Document the criteria to detect client-side processing for XAD spot effects GMBH</t>
  </si>
  <si>
    <t>Document the criteria to detect client-side processing for Echobox</t>
  </si>
  <si>
    <t>Mapped TTIA vendors to corresponding iComply numbers</t>
  </si>
  <si>
    <t>Document the criteria to detect client-side processing for XAD spot effects GMBH</t>
  </si>
  <si>
    <t>CONSENT-917 Completed  documentation of analyzing various implementation methods and cookies associated with XAD spot effects GMBH generally and on sky pages</t>
  </si>
  <si>
    <t>ObservePoint review monthly updates</t>
  </si>
  <si>
    <t>CONSENT-924 Started analyzing sky.com cookies processing in sky for unauthenticated flow for mobile shop pages and documented the cookie</t>
  </si>
  <si>
    <t xml:space="preserve">CONSENT-924 Sky cookies processing in sky request / cookie analysis and documentation for unauthenticated flow in home help support pages </t>
  </si>
  <si>
    <t>CONSENT-924 Started analyzing sky.com cookies processing in sky for authenticated flow for mobile shop pages and documented the cookie</t>
  </si>
  <si>
    <t>CONSENT-924 Sky.com processing under sky</t>
  </si>
  <si>
    <t xml:space="preserve">Sky.com processing under Sky </t>
  </si>
  <si>
    <t>Audit configuration for mobileblock.sky.com and debt.sky.com</t>
  </si>
  <si>
    <t>ObservePoint Audit scans Review</t>
  </si>
  <si>
    <t>Audit configuration of hotclub.sky.it</t>
  </si>
  <si>
    <t>Audit configurations for www.sky.com/ie. Validating Grafana dashboards are pulling the data for www.sky.com/ie</t>
  </si>
  <si>
    <t>Updates to Tracking Technology Scope documentation with new cookies identified on election.news.sky.com, news.sky.com, sports box office and sky sports</t>
  </si>
  <si>
    <t>Created new consent categories for test.analytics.sky website and reprocessed the consent categories</t>
  </si>
  <si>
    <t>Audit configuration for test.analytics.sky for accept all, reject all, essential cookies only and preselect scenarios</t>
  </si>
  <si>
    <t>Retrieved the list of top 50 pages for www.sky.com/ie from Adobe Analytics reporting and configured in starting URLs list in ObservePoint Audit setup</t>
  </si>
  <si>
    <t>Updates to Grafana UKI and Sky.com dashboards to consider sky.com acceptance rate for Sky.com IE website</t>
  </si>
  <si>
    <t>Meeting with Mas and David Keywood regarding Sky Sports and news cookies</t>
  </si>
  <si>
    <t>Updates to Sports and News cookies documentation</t>
  </si>
  <si>
    <t>ObservePoint Monthly meeting with Callum</t>
  </si>
  <si>
    <t>Audits creation for careers.sky.com/pt, getintotech.sky.com and lost.sky.com</t>
  </si>
  <si>
    <t xml:space="preserve">ObservePoint Audit configurations for test.analytics.sky
</t>
  </si>
  <si>
    <t xml:space="preserve">ObservePoint Audit configurations for mobileblock.sky.com, hotclub.sky.it, </t>
  </si>
  <si>
    <t xml:space="preserve">ObservePoint Audit configurations for www.sky.com/ie websites
</t>
  </si>
  <si>
    <t>Updates to Grafana UKI and Sky.com dashboards</t>
  </si>
  <si>
    <t>ObservePoint Audit configurations for getintotech.sky.com, careers.sky.com/ie, lost.sky.com</t>
  </si>
  <si>
    <t>Updated Grafana UKI and Sky.com dashboards to include Sky.com UK acceptance rate for Sky.com Ireland</t>
  </si>
  <si>
    <t>Sky Sports and News Cookie Analysis and Documentation updates</t>
  </si>
  <si>
    <t>CONSENT-924 Compared OP cookie inventory report with manual cookies and documented</t>
  </si>
  <si>
    <t>CONSENT-924 Compared manually collected cookies with TTIA sheet and documented findings</t>
  </si>
  <si>
    <t>CONSENT-924 Compared full list of marketing cookies with the previously cookie list and documented essential cookies in Sky</t>
  </si>
  <si>
    <t>CONSENT-925 Reevaluated consent scenarios and tags behavior for redeye and documented</t>
  </si>
  <si>
    <t>CONSENT-951 Evaluated audit results in OP for lexis nexis and closed the ticket</t>
  </si>
  <si>
    <t>CONSENT-915 Document the criteria to detect client-side processing for Redeye</t>
  </si>
  <si>
    <t>CONSENT-951 Document the criteria to detect client-side processing for Lexis Nexis</t>
  </si>
  <si>
    <t>Document the criteria to detect client-side processing for Red eye</t>
  </si>
  <si>
    <t>Document the criteria to detect client-side processing for Lexis Nexis</t>
  </si>
  <si>
    <t>Documenting Sky Sports &amp; News Cookies, Associated vendors, presence or absence on CMP</t>
  </si>
  <si>
    <t>Catch up with Mas</t>
  </si>
  <si>
    <t>Updates to careers.sky.com/pt, getintotech.sky.com and lost.sky.com audits</t>
  </si>
  <si>
    <t>ObservePoint weekly scan review</t>
  </si>
  <si>
    <t>Re-organizing HAR Analyzer folders</t>
  </si>
  <si>
    <t>Uploading app logs to new folders in HAR Analyzer</t>
  </si>
  <si>
    <t>Updating Consent Categories for Sky Sports and News for the cookies confirmed by David</t>
  </si>
  <si>
    <t>Reprocessing Consent Categories for Sports and News</t>
  </si>
  <si>
    <t>Catch up with Mas on current week ObservePoint audit scan review</t>
  </si>
  <si>
    <t>Uploading Sky News iOS, Android, Amazon Fire, Android TV app logs to new folders in HAR Analyzer</t>
  </si>
  <si>
    <t>Uploading Sky Sports iOS, Android app logs to new folders for UK, DE and IT in HAR Analyzer</t>
  </si>
  <si>
    <t>Uploading My Sky APP Italy, My Sky App UK, UK Sky Store app logs to new folders in HAR Analyzer</t>
  </si>
  <si>
    <t>Created jira tickets for new vendors present in sky sports and configured test audits in OP for sky sports</t>
  </si>
  <si>
    <t>CONSENT-1014 Started  documentation of analyzing various implementation methods and cookies associated with A.mob generally and on sky sports pages</t>
  </si>
  <si>
    <t>CONSENT-1014 Completed  documentation of analyzing various implementation methods and cookies associated with A.mob generally and on sky sports pages</t>
  </si>
  <si>
    <t>CONSENT-1016 Started  documentation of analyzing various implementation methods and cookies associated with ADYOULIKE SA generally and on sky sports pages</t>
  </si>
  <si>
    <t>CONSENT-1016 Completed  documentation of analyzing various implementation methods and cookies associated with  ADYOULIKE SA generally and on sky sports pages</t>
  </si>
  <si>
    <t>CONSENT-1014 Document the criteria to detect client-side processing for A.mob</t>
  </si>
  <si>
    <t>Document the criteria to detect client-side processing for A.mob</t>
  </si>
  <si>
    <t>CONSENT-1016 Document the criteria to detect client-side processing for ADYOULIKE SA</t>
  </si>
  <si>
    <t>Document the criteria to detect client-side processing for ADYOULIKE SA</t>
  </si>
  <si>
    <t>ADDRESSABL-453 - Re-organising HAr Analyser section on Observepoint</t>
  </si>
  <si>
    <t>Created new configurations under HAR analyzer and uploaded app logs to the new configurations created</t>
  </si>
  <si>
    <t>Sports and News Consent category updates in ObservePoint for the cookies confirmed by David</t>
  </si>
  <si>
    <t>CONSENT-1017 Started  documentation of analyzing various implementation methods and cookies associated with Beeswax IO corporation generally and on sky sports pages</t>
  </si>
  <si>
    <t>CONSENT-1018 Started  documentation of analyzing various implementation methods and cookies associated with Bliss global ltd generally and on sky sports pages</t>
  </si>
  <si>
    <t>CONSENT-1018 Completed  documentation of analyzing various implementation methods and cookies associated with Bliss global ltd generally and on sky sports pages</t>
  </si>
  <si>
    <t>Created test audits in OP for sky sports for accept all, reject all scenarios. Configured new rules for AAM, CJA and source point based on callum's suggestions</t>
  </si>
  <si>
    <t>CONSENT-1017 Completed  documentation of analyzing various implementation methods and cookies associated with Beeswax IO corporation generally and on sky sports pages. Configured rules in OP for the same</t>
  </si>
  <si>
    <t>CONSENT-1017 Document the criteria to detect client-side processing for BeeswasIO and configured rules in OP for the same</t>
  </si>
  <si>
    <t>CONSENT-1018 Document the criteria to detect client-side processing for Blissglobal Ltd.</t>
  </si>
  <si>
    <t>Documented the criteria to detect client-side processing for Blissglobal Ltd</t>
  </si>
  <si>
    <t>Documented the criteria to detect client-side processing for Beeswax IO and configured rules in OP</t>
  </si>
  <si>
    <t xml:space="preserve">Planning - Tracking tech </t>
  </si>
  <si>
    <t>CONSENT-1019 Started  documentation of analyzing various implementation methods and cookies associated with Eyeota generally and on sky sports pages</t>
  </si>
  <si>
    <t>CONSENT-1019 Completed  documentation of analyzing various implementation methods and cookies associated with  Eyeota generally and on sky sports pages. Configured rules in OP for the same</t>
  </si>
  <si>
    <t>CONSENT-1020 Started  documentation of analyzing various implementation methods and cookies associated with GumGum Inc generally and on sky sports pages</t>
  </si>
  <si>
    <t>CONSENT-1020 Completed  documentation of analyzing various implementation methods and cookies associated with GumGum Inc generally and on sky sports pages. Configured rules in OP for the same</t>
  </si>
  <si>
    <t>CONSENT-1019 Document the criteria to detect client-side processing for Eyeota and configured rules in OP for the same</t>
  </si>
  <si>
    <t xml:space="preserve">CONSENT-1020 Document the criteria to detect client-side processing for GumGum Inc and configured rules in OP for the same </t>
  </si>
  <si>
    <t>Documented the criteria to detect client-side processing for Eyeota and configured rules in OP</t>
  </si>
  <si>
    <t>Documented the criteria to detect client-side processing for GumGum Inc and configured rules in OP</t>
  </si>
  <si>
    <t>Configuring 4th Party consent categories for Italy Editorial and Customer categories</t>
  </si>
  <si>
    <t>Configured 3rd Party consent categories for Italy Editorial and Customer categories for IAB GVL vendor cookies</t>
  </si>
  <si>
    <t>Reviewed ObservePoint weekly scans to identify any new unapproved cookies and documented the details.</t>
  </si>
  <si>
    <t>Meeting with David to discuss new unapproved cookies for Sports &amp; News</t>
  </si>
  <si>
    <t>Configured 3rd Party consent categories for Italy Editorial category, updated the regex patterns, assigned to the audits and reprocessed the audits</t>
  </si>
  <si>
    <t>Configured 3rd Party consent categories for Italy Customerl category, updated the regex patterns, assigned to the audits and reprocessed the audits</t>
  </si>
  <si>
    <t>Updated consent categories of News and Sports based on discussion with David and reprocessed the consent categories</t>
  </si>
  <si>
    <t>Updated Tracking technology scope documentation for Sports and News cookies</t>
  </si>
  <si>
    <t>Converted .chls files to .har and uploaded latest har logs into HAR Analyser for app logs</t>
  </si>
  <si>
    <t>Created document to list the status of app logs 
- Logs that are uploaded to ObservePoint
- Logs that are validated</t>
  </si>
  <si>
    <t>Updated SharePoint documentation to update the dynamic links for vendor names</t>
  </si>
  <si>
    <t>Tracking Tech Scope Migration</t>
  </si>
  <si>
    <t>Consent category updates for Italy Editorial and Customer categories
- Additional consent category for 3rd Party IAB GVL cookies for Editorial and Customer
- Analytics, Technical, Profile cookie consent categories for Editorial and Customer Consent categories
- Assigned new consent categories to the audits and removed the previous consent categories 
- Reprocessed the consent categories for all the respective audits</t>
  </si>
  <si>
    <t>CONSENT-1021 Started  documentation of analyzing various implementation methods and cookies associated with Index Exchange Inc generally and on sky sports pages</t>
  </si>
  <si>
    <t>CONSENT-1021 Completed  documentation of analyzing various implementation methods and cookies associated with  Index Exchange Inc generally and on sky sports pages. Configured rules in OP for the same</t>
  </si>
  <si>
    <t>CONSENT-1022 Started  documentation of analyzing various implementation methods and cookies associated with Justpremium BV generally and on sky sports pages</t>
  </si>
  <si>
    <t>CONSENT-1022 Completed  documentation of analyzing various implementation methods and cookies associated with Justpremium BV generally and on sky sports pages. Configured rules in OP for the same</t>
  </si>
  <si>
    <t>CONSENT-1023 Started  documentation of analyzing various implementation methods and cookies associated with LinkedIn generally and on sky sports pages. Configured rules in OP for the same</t>
  </si>
  <si>
    <t>CONSENT-1021 Document the criteria to detect client-side processing for Index Exchange Inc and configured rules in OP for the same</t>
  </si>
  <si>
    <t xml:space="preserve">CONSENT-1022 Document the criteria to detect client-side processing for Justpremium BV and configured rules in OP for the same </t>
  </si>
  <si>
    <t xml:space="preserve">CONSENT-1023 Document the criteria to detect client-side processing for  LinkedIn and configured rules in OP for the same </t>
  </si>
  <si>
    <t>Documented the criteria to detect client-side processing for Index Exchange Inc and configured rules in OP</t>
  </si>
  <si>
    <t>Documented the criteria to detect client-side processing for Justpremium BV and configured rules in OP</t>
  </si>
  <si>
    <t xml:space="preserve">Documented the criteria to detect client-side processing for LinkedIn </t>
  </si>
  <si>
    <t>P1 Planning V1</t>
  </si>
  <si>
    <t>Troubleshooting failed audits in ObservePoint</t>
  </si>
  <si>
    <t>App log validation</t>
  </si>
  <si>
    <t>Sky Business CMP Review</t>
  </si>
  <si>
    <t>PI Planning</t>
  </si>
  <si>
    <t>Sports &amp; News Cookies</t>
  </si>
  <si>
    <t>App Log validation</t>
  </si>
  <si>
    <t xml:space="preserve">ObservePoint Scans - Weekly Review </t>
  </si>
  <si>
    <t>Audits creation for www.skyfoundation.sky</t>
  </si>
  <si>
    <t>Quarterly Planning Meeting</t>
  </si>
  <si>
    <t>CONSENT-1023 Completed  documentation of analyzing various implementation methods and cookies associated with LinkedIn generally and on sky sports pages. Configured rules in OP for the same</t>
  </si>
  <si>
    <t>CONSENT-1024 Completed  documentation of analyzing various implementation methods and cookies associated with  Liveramp generally and on sky sports pages. Configured rules in OP for the same</t>
  </si>
  <si>
    <t xml:space="preserve">CONSENT-1024 Started  documentation of analyzing various implementation methods and cookies associated with  Liveramp generally and on sky sports pages. </t>
  </si>
  <si>
    <t>CONSENT-1025 Completed  documentation of analyzing various implementation methods and cookies associated with Loopme Ltd generally and on sky sports pages. Configured rules in OP for the same</t>
  </si>
  <si>
    <t>CONSENT-1025 Started  documentation of analyzing various implementation methods and cookies associated with Loopme Ltd generally and on sky sports pages.</t>
  </si>
  <si>
    <t xml:space="preserve">CONSENT-1024 Document the criteria to detect client-side processing for Liveramp and configured rules in OP for the same </t>
  </si>
  <si>
    <t xml:space="preserve">CONSENT-1025 Document the criteria to detect client-side processing for  Loopme Ltd and configured rules in OP for the same </t>
  </si>
  <si>
    <t xml:space="preserve">Documented the criteria to detect client-side processing for LinkedInand configured rules in OP </t>
  </si>
  <si>
    <t>Documented the criteria to detect client-side processing for Liveramp and configured rules in OP</t>
  </si>
  <si>
    <t>Documented the criteria to detect client-side processing for Loopme Ltd and configured rules in OP</t>
  </si>
  <si>
    <t>Audits creation for accept all, reject all, essential cookies only and preselect for www.skyfoundation.sky</t>
  </si>
  <si>
    <t xml:space="preserve">CONSENT-1026 Started  documentation of analyzing various implementation methods and cookies associated with Magnite Inc generally and on sky sports pages. </t>
  </si>
  <si>
    <t>CONSENT-1026 Completed  documentation of analyzing various implementation methods and cookies associated with  Magnite Inc generally and on sky sports pages. Configured rules in OP for the same</t>
  </si>
  <si>
    <t xml:space="preserve">CONSENT-1027 Started  documentation of analyzing various implementation methods and cookies associated with  Nexxen Group LLC  generally and on sky sports pages. </t>
  </si>
  <si>
    <t>CONSENT-1027 Completed  documentation of analyzing various implementation methods and cookies associated with Nexxen Group LLC generally and on sky sports pages.Configured rules in OP for the same</t>
  </si>
  <si>
    <t xml:space="preserve">CONSENT-1028 Started  documentation of analyzing various implementation methods and cookies associated with Ogury Ltd generally and on sky sports pages. </t>
  </si>
  <si>
    <t>Intro with Kimia</t>
  </si>
  <si>
    <t>Kimia</t>
  </si>
  <si>
    <t xml:space="preserve">CONSENT-1026 Document the criteria to detect client-side processing for  Magnite Inc and configured rules in OP for the same </t>
  </si>
  <si>
    <t xml:space="preserve">CONSENT-1027 Document the criteria to detect client-side processing for Nexxen Group LLC and configured rules in OP for the same </t>
  </si>
  <si>
    <t xml:space="preserve">CONSENT-1028 Document the criteria to detect client-side processing for  Ogury Ltd </t>
  </si>
  <si>
    <t xml:space="preserve">Documented the criteria to detect client-side processing for Magnite Inc and configured rules in OP </t>
  </si>
  <si>
    <t>Documented the criteria to detect client-side processing for Nexxen Group LLC and configured rules in OP</t>
  </si>
  <si>
    <t xml:space="preserve">Documented the criteria to detect client-side processing for Ogury Ltd </t>
  </si>
  <si>
    <t>Analyzing the failed audits in ObservePoint</t>
  </si>
  <si>
    <t>Review ObservePoint weekly scans
- Documented the list of new unapproved cookies identified
- Identified the vendor details and investigated the cookie/vendor presence on CMP</t>
  </si>
  <si>
    <t>Review ObservePoint weekly scans
- Documented the list of new unapproved cookies identified
- Identified the vendor details and investigated the cookie/vendor presence on CMP
- Added the approved cookies to consent categories in ObservePoint
- Created incident for unapproved cookies created on preselect scenario
- Added the cookies to 4th Party categorization sheet for which vendor is not identified</t>
  </si>
  <si>
    <t>ADDRESSABL-464 - MySky iOS ITA Log Audit</t>
  </si>
  <si>
    <t>ADDRESSABL-464 - MySky iOS ITA Log Audit
- Uploaded the HAR files to ObservePoint
- Investigated tags/network requests firing on different consent scenarios</t>
  </si>
  <si>
    <t>Updates to App Monitoring documentation</t>
  </si>
  <si>
    <t>CONSENT-1028 Completed documentation of analyzing various implementation methods and cookies associated with Ogury Ltd generally and on sky sports pages. Configured rules in OP for the same</t>
  </si>
  <si>
    <t xml:space="preserve">CONSENT-1029 Started documentation of analyzing various implementation methods and cookies associated with Outbrain UK generally and on sky sports pages. </t>
  </si>
  <si>
    <t>CONSENT-1029 Completed documentation of analyzing various implementation methods and cookies associated with Outbrain UK generally and on sky sports pages. Configured rules in OP for the same</t>
  </si>
  <si>
    <t>Analyzed different possibilities for leveraging OP APIs to evaluate vendor presence in audits and designed a corresponding workflow.</t>
  </si>
  <si>
    <t>CONSENT-1030 Started documentation of analyzing various implementation methods and cookies associated with Pubmatic Inc generally and on sky sports pages.</t>
  </si>
  <si>
    <t>CONSENT-1030 Worked on documentation of analyzing various implementation methods and cookies associated with Pubmatic Inc generally and on sky sports pages.</t>
  </si>
  <si>
    <t xml:space="preserve">CONSENT-1028 Document the criteria to detect client-side processing for Ogury Ltd and configured rules in OP for the same </t>
  </si>
  <si>
    <t xml:space="preserve">CONSENT-1029 Document the criteria to detect client-side processing for Outbrain UK and configured rules in OP for the same </t>
  </si>
  <si>
    <t xml:space="preserve">CONSENT-1030 Document the criteria to detect client-side processing for Pubmatic Inc </t>
  </si>
  <si>
    <t xml:space="preserve">Documented the criteria to detect client-side processing for Outbrain UK and configured rules in OP for the same </t>
  </si>
  <si>
    <t xml:space="preserve">Document the criteria to detect client-side processing for Pubmatic Inc  </t>
  </si>
  <si>
    <t>Review ObservePoint weekly scans
- Documented the list of new unapproved cookies identified
- Identified the vendor details and investigated the cookie/vendor presence on CMP
- Added the approved cookies to consent categories in ObservePoint
- Added the cookies to 4th Party categorization sheet for which vendor is not identified</t>
  </si>
  <si>
    <t>ADDRESSABL-467 - News Amazon Fire UK Log Audit
- Investigated tags/network requests firing on different consent scenarios</t>
  </si>
  <si>
    <t>Analyzing the custom solution for reading more than 150 requests from ObservePoint Audits</t>
  </si>
  <si>
    <t>ADDRESSABL-467 - News Amazon Fire UK Log Audit</t>
  </si>
  <si>
    <t>Intro with Scott</t>
  </si>
  <si>
    <t>Tracking Tech Team - Weekly Sync</t>
  </si>
  <si>
    <t>Created incidents for issues identified with app logs validation</t>
  </si>
  <si>
    <t>Identifying the steps for Glass journey on www.sky.com and created the journey in ObservePoint
- Replicated the journey for Accept All, Essential Cookies Only and Reject All Scenarios
- Ran the journeys, troubleshot the issues and fixed configuration issues identified</t>
  </si>
  <si>
    <t>Identifying the steps for Mobile journey on www.sky.com and created the journey in ObservePoint
- Replicated the journey for Accept All, Essential Cookies Only and Reject All Scenarios
- Ran the journeys, troubleshot the issues and fixed configuration issues identified</t>
  </si>
  <si>
    <t>Identifying the steps for Broadband journey on www.sky.com and created the journey in ObservePoint
- Replicated the journey for Accept All, Essential Cookies Only and Reject All Scenarios
- Ran the journeys, troubleshot the issues and fixed configuration issues identified</t>
  </si>
  <si>
    <t>Identifying the steps for TV journey on www.sky.com and created the journey in ObservePoint</t>
  </si>
  <si>
    <t>Scott</t>
  </si>
  <si>
    <t xml:space="preserve">Journey creation in ObservePoint for Glass </t>
  </si>
  <si>
    <t>Journey creation in ObservePoint for Mobile</t>
  </si>
  <si>
    <t>Journey creation in ObservePoint for Broadband</t>
  </si>
  <si>
    <t>CONSENT-1030 Completed documentation of analyzing various implementation methods and cookies associated with Pubmatic generally and on sky sports pages. Configured rules in OP for the same</t>
  </si>
  <si>
    <t>Created implementation flow outline for webhook configuration. Dropped mail to OP support to check if excel data can be sent back to OP using API</t>
  </si>
  <si>
    <t>Received inputs from OP support for configuring vendors as tags , analyzed feasibility of webhook solution and in house OP solution. Documented pros and cons of both approaches.</t>
  </si>
  <si>
    <t>CONSENT-1031 Started documentation of analyzing various implementation methods and cookies associated with Seedtag Advertising generally and on sky sports pages.</t>
  </si>
  <si>
    <t>CONSENT-1031 Completed documentation of analyzing various implementation methods and cookies associated with Seedtag Advertising generally and on sky sports pages.</t>
  </si>
  <si>
    <t>Presented both solution for vendor validation in Sly 0sports. Decided to move with in house OP vendor solution</t>
  </si>
  <si>
    <t xml:space="preserve">CONSENT-1030 Document the criteria to detect client-side processing for Pubmatic Inc  and configured rules in OP for the same </t>
  </si>
  <si>
    <t xml:space="preserve">CONSENT-1031 Document the criteria to detect client-side processing for  Seedtag Advertising and configured rules in OP for the same </t>
  </si>
  <si>
    <t xml:space="preserve">Document the criteria to detect client-side processing for Seedtag Inc  </t>
  </si>
  <si>
    <t>Analyzed different possibilities for leveraging OP APIs to evaluate vendor presence in audits , sending data back to OP using APIs. Decided to proceed with OP vendor method</t>
  </si>
  <si>
    <t xml:space="preserve">Analyzed  sending data back to OP using APIs. </t>
  </si>
  <si>
    <t>CONSENT-1032 Started documentation of analyzing various implementation methods and cookies associated with Sovrn Inc generally and on sky sports pages.</t>
  </si>
  <si>
    <t>(10-Aug-26 To 14-Aug-26)</t>
  </si>
  <si>
    <r>
      <rPr>
        <sz val="10"/>
        <color theme="1"/>
        <rFont val="Calibri"/>
        <family val="2"/>
        <scheme val="minor"/>
      </rPr>
      <t xml:space="preserve">• </t>
    </r>
    <r>
      <rPr>
        <b/>
        <sz val="10"/>
        <color theme="1"/>
        <rFont val="Calibri"/>
        <family val="2"/>
        <scheme val="minor"/>
      </rPr>
      <t xml:space="preserve">Key Deliverables:
Consent Management Support:  </t>
    </r>
    <r>
      <rPr>
        <sz val="10"/>
        <color theme="1"/>
        <rFont val="Calibri"/>
        <family val="2"/>
        <scheme val="minor"/>
      </rPr>
      <t xml:space="preserve">ObservePoint Audit scan reviews, Journey creation in ObservePoint for Glass, Mobile and Broadband for Accept all, Reject all and Essential Only Selection scenarios
</t>
    </r>
    <r>
      <rPr>
        <b/>
        <sz val="10"/>
        <color theme="1"/>
        <rFont val="Calibri"/>
        <family val="2"/>
        <scheme val="minor"/>
      </rPr>
      <t xml:space="preserve">Cookie Remediation Support: </t>
    </r>
    <r>
      <rPr>
        <sz val="10"/>
        <color theme="1"/>
        <rFont val="Calibri"/>
        <family val="2"/>
        <scheme val="minor"/>
      </rPr>
      <t xml:space="preserve"> Worked on CONSENT-1032 and CONSENT-1033 requests
Shilpa leave on 12th Aug
</t>
    </r>
  </si>
  <si>
    <t>CONSENT-1032 Completed documentation of analyzing various implementation methods and cookies associated with Sovrn Inc generally and on sky sports pages.Requested for tags in OP for the same.</t>
  </si>
  <si>
    <t>CONSENT-1032 Document the criteria to detect client-side processing for Sovrn Inc and Requested for tags in OP for the same.</t>
  </si>
  <si>
    <t xml:space="preserve">Document the criteria to detect client-side processing for Sovrn Inc  </t>
  </si>
  <si>
    <t>Document the criteria to detect client-side processing for Teads France SAS</t>
  </si>
  <si>
    <t>CONSENT-1033 Document the criteria to detect client-side processing for Teads France SAS and Requested for tags in OP for the same.</t>
  </si>
  <si>
    <t>CONSENT-1033 Completed documentation of analyzing various implementation methods and cookies associated with Teads France SAS generally and on sky sports pages. Requested for tags in OP for the same.</t>
  </si>
  <si>
    <t>CONSENT-1033 Started documentation of analyzing various implementation methods and cookies associated with Teads France SAS generally and on sky sports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</si>
</sst>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
    <numFmt numFmtId="166" formatCode="h:mm:ss;@"/>
  </numFmts>
  <fonts count="21" x14ac:knownFonts="1">
    <font>
      <sz val="11"/>
      <color theme="1"/>
      <name val="Calibri"/>
      <family val="2"/>
      <scheme val="minor"/>
    </font>
    <font>
      <b/>
      <sz val="11"/>
      <color theme="0"/>
      <name val="Calibri"/>
      <family val="2"/>
      <scheme val="minor"/>
    </font>
    <font>
      <b/>
      <sz val="11"/>
      <color theme="1"/>
      <name val="Calibri"/>
      <family val="2"/>
      <scheme val="minor"/>
    </font>
    <font>
      <sz val="11"/>
      <color theme="4" tint="-0.499984740745262"/>
      <name val="Calibri"/>
      <family val="2"/>
      <scheme val="minor"/>
    </font>
    <font>
      <b/>
      <sz val="11"/>
      <name val="Calibri"/>
      <family val="2"/>
      <scheme val="minor"/>
    </font>
    <font>
      <b/>
      <sz val="11"/>
      <color rgb="FF00B0F0"/>
      <name val="Calibri"/>
      <family val="2"/>
      <scheme val="minor"/>
    </font>
    <font>
      <sz val="11"/>
      <name val="Calibri"/>
      <family val="2"/>
      <scheme val="minor"/>
    </font>
    <font>
      <sz val="11"/>
      <color theme="1"/>
      <name val="Calibri"/>
      <family val="2"/>
      <scheme val="minor"/>
    </font>
    <font>
      <b/>
      <sz val="12"/>
      <color theme="0"/>
      <name val="Calibri"/>
      <family val="2"/>
      <scheme val="minor"/>
    </font>
    <font>
      <b/>
      <sz val="18"/>
      <color theme="0"/>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10"/>
      <name val="Calibri"/>
      <family val="2"/>
      <scheme val="minor"/>
    </font>
    <font>
      <b/>
      <sz val="16"/>
      <name val="Calibri"/>
      <family val="2"/>
      <scheme val="minor"/>
    </font>
    <font>
      <b/>
      <sz val="16"/>
      <color theme="0"/>
      <name val="Calibri"/>
      <family val="2"/>
      <scheme val="minor"/>
    </font>
    <font>
      <b/>
      <sz val="10"/>
      <color theme="0"/>
      <name val="Calibri"/>
      <family val="2"/>
      <scheme val="minor"/>
    </font>
    <font>
      <sz val="10"/>
      <color theme="4" tint="-0.499984740745262"/>
      <name val="Calibri"/>
      <family val="2"/>
      <scheme val="minor"/>
    </font>
    <font>
      <b/>
      <sz val="9"/>
      <name val="Calibri"/>
      <family val="2"/>
      <scheme val="minor"/>
    </font>
    <font>
      <b/>
      <sz val="14"/>
      <color theme="0"/>
      <name val="Calibri"/>
      <family val="2"/>
      <scheme val="minor"/>
    </font>
    <font>
      <b/>
      <sz val="9"/>
      <color theme="1"/>
      <name val="Calibri"/>
      <family val="2"/>
      <scheme val="minor"/>
    </font>
  </fonts>
  <fills count="11">
    <fill>
      <patternFill patternType="none"/>
    </fill>
    <fill>
      <patternFill patternType="gray125"/>
    </fill>
    <fill>
      <patternFill patternType="solid">
        <fgColor theme="8"/>
        <bgColor indexed="64"/>
      </patternFill>
    </fill>
    <fill>
      <patternFill patternType="solid">
        <fgColor rgb="FFFFFF00"/>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249977111117893"/>
        <bgColor indexed="64"/>
      </patternFill>
    </fill>
    <fill>
      <patternFill patternType="solid">
        <fgColor theme="7" tint="0.79998168889431442"/>
        <bgColor indexed="64"/>
      </patternFill>
    </fill>
  </fills>
  <borders count="2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dashed">
        <color theme="1" tint="0.499984740745262"/>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dashed">
        <color theme="1" tint="0.499984740745262"/>
      </top>
      <bottom style="dashed">
        <color theme="1" tint="0.499984740745262"/>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style="dashed">
        <color auto="1"/>
      </right>
      <top/>
      <bottom style="dashed">
        <color auto="1"/>
      </bottom>
      <diagonal/>
    </border>
    <border>
      <left/>
      <right style="dashed">
        <color auto="1"/>
      </right>
      <top/>
      <bottom style="medium">
        <color auto="1"/>
      </bottom>
      <diagonal/>
    </border>
    <border>
      <left style="dashed">
        <color auto="1"/>
      </left>
      <right/>
      <top/>
      <bottom style="medium">
        <color auto="1"/>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127">
    <xf numFmtId="0" fontId="0" fillId="0" borderId="0" xfId="0"/>
    <xf numFmtId="0" fontId="1" fillId="2" borderId="0" xfId="0" applyFont="1" applyFill="1" applyAlignment="1">
      <alignment horizontal="center" vertical="center" wrapText="1"/>
    </xf>
    <xf numFmtId="164" fontId="0" fillId="0" borderId="0" xfId="0" applyNumberFormat="1"/>
    <xf numFmtId="0" fontId="1" fillId="4"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15" fontId="4" fillId="0" borderId="0" xfId="0" applyNumberFormat="1" applyFont="1" applyAlignment="1">
      <alignment vertical="center"/>
    </xf>
    <xf numFmtId="14" fontId="0" fillId="0" borderId="0" xfId="0" applyNumberFormat="1"/>
    <xf numFmtId="14" fontId="0" fillId="3" borderId="0" xfId="0" applyNumberFormat="1" applyFill="1"/>
    <xf numFmtId="9" fontId="6" fillId="0" borderId="0" xfId="0" applyNumberFormat="1" applyFont="1" applyAlignment="1">
      <alignment horizontal="center" vertical="center"/>
    </xf>
    <xf numFmtId="0" fontId="2" fillId="6" borderId="1" xfId="0" applyFont="1" applyFill="1" applyBorder="1" applyAlignment="1">
      <alignment horizontal="center" vertical="center"/>
    </xf>
    <xf numFmtId="0" fontId="0" fillId="0" borderId="0" xfId="0" applyAlignment="1">
      <alignment horizontal="center"/>
    </xf>
    <xf numFmtId="9" fontId="0" fillId="0" borderId="0" xfId="0" applyNumberFormat="1" applyAlignment="1">
      <alignment horizontal="center" vertical="center"/>
    </xf>
    <xf numFmtId="9" fontId="4" fillId="6" borderId="0" xfId="0" applyNumberFormat="1" applyFont="1" applyFill="1" applyAlignment="1">
      <alignment horizontal="center" vertical="center"/>
    </xf>
    <xf numFmtId="0" fontId="4" fillId="6" borderId="0" xfId="0" applyFont="1" applyFill="1" applyAlignment="1">
      <alignment horizontal="center" vertical="center"/>
    </xf>
    <xf numFmtId="0" fontId="0" fillId="5" borderId="0" xfId="0" applyFill="1"/>
    <xf numFmtId="15" fontId="1" fillId="4" borderId="0" xfId="0" applyNumberFormat="1" applyFont="1" applyFill="1" applyAlignment="1">
      <alignment vertical="center"/>
    </xf>
    <xf numFmtId="0" fontId="0" fillId="3" borderId="0" xfId="0" applyFill="1" applyAlignment="1">
      <alignment horizontal="center" vertical="center"/>
    </xf>
    <xf numFmtId="15" fontId="0" fillId="0" borderId="2" xfId="0" applyNumberFormat="1" applyBorder="1"/>
    <xf numFmtId="9" fontId="0" fillId="0" borderId="0" xfId="1" applyFont="1" applyAlignment="1">
      <alignment horizontal="center"/>
    </xf>
    <xf numFmtId="0" fontId="0" fillId="7" borderId="3" xfId="0" applyFill="1" applyBorder="1" applyAlignment="1">
      <alignment vertical="center"/>
    </xf>
    <xf numFmtId="9" fontId="0" fillId="7" borderId="3" xfId="1" applyFont="1" applyFill="1" applyBorder="1" applyAlignment="1">
      <alignment horizontal="center" vertical="center"/>
    </xf>
    <xf numFmtId="0" fontId="11" fillId="6" borderId="2" xfId="0" applyFont="1" applyFill="1" applyBorder="1" applyAlignment="1">
      <alignment horizontal="left" vertical="center" wrapText="1"/>
    </xf>
    <xf numFmtId="0" fontId="11" fillId="6" borderId="2" xfId="0" applyFont="1" applyFill="1" applyBorder="1" applyAlignment="1">
      <alignment horizontal="center" vertical="center" wrapText="1"/>
    </xf>
    <xf numFmtId="0" fontId="10" fillId="0" borderId="0" xfId="0" applyFont="1"/>
    <xf numFmtId="0" fontId="0" fillId="0" borderId="0" xfId="0" applyAlignment="1">
      <alignment wrapText="1"/>
    </xf>
    <xf numFmtId="0" fontId="12" fillId="6" borderId="2" xfId="0" applyFont="1" applyFill="1" applyBorder="1"/>
    <xf numFmtId="0" fontId="12" fillId="6" borderId="2" xfId="0" applyFont="1" applyFill="1" applyBorder="1" applyAlignment="1">
      <alignment horizontal="left"/>
    </xf>
    <xf numFmtId="0" fontId="12" fillId="6" borderId="2" xfId="0" applyFont="1" applyFill="1" applyBorder="1" applyAlignment="1">
      <alignment horizontal="left" wrapText="1"/>
    </xf>
    <xf numFmtId="14" fontId="12" fillId="6" borderId="2" xfId="0" applyNumberFormat="1" applyFont="1" applyFill="1" applyBorder="1"/>
    <xf numFmtId="0" fontId="16" fillId="4" borderId="0" xfId="0" applyFont="1" applyFill="1" applyAlignment="1">
      <alignment horizontal="center" vertical="center"/>
    </xf>
    <xf numFmtId="0" fontId="13" fillId="0" borderId="0" xfId="0" applyFont="1" applyAlignment="1">
      <alignment horizontal="center" vertical="center"/>
    </xf>
    <xf numFmtId="0" fontId="17" fillId="0" borderId="0" xfId="0" applyFont="1" applyAlignment="1">
      <alignment horizontal="center" vertical="center"/>
    </xf>
    <xf numFmtId="0" fontId="0" fillId="6" borderId="0" xfId="0" applyFill="1"/>
    <xf numFmtId="0" fontId="0" fillId="6" borderId="3" xfId="0" applyFill="1" applyBorder="1" applyAlignment="1">
      <alignment vertical="center"/>
    </xf>
    <xf numFmtId="0" fontId="2" fillId="0" borderId="0" xfId="0" applyFont="1" applyAlignment="1">
      <alignment horizontal="center"/>
    </xf>
    <xf numFmtId="0" fontId="2" fillId="0" borderId="0" xfId="0" applyFont="1"/>
    <xf numFmtId="0" fontId="2" fillId="6" borderId="2" xfId="0" applyFont="1" applyFill="1" applyBorder="1"/>
    <xf numFmtId="0" fontId="2" fillId="6" borderId="2" xfId="0" applyFont="1" applyFill="1" applyBorder="1" applyAlignment="1">
      <alignment horizontal="right"/>
    </xf>
    <xf numFmtId="0" fontId="2" fillId="6" borderId="12" xfId="0" applyFont="1" applyFill="1" applyBorder="1" applyAlignment="1">
      <alignment horizontal="right"/>
    </xf>
    <xf numFmtId="0" fontId="2" fillId="6" borderId="12" xfId="0" applyFont="1" applyFill="1" applyBorder="1"/>
    <xf numFmtId="9" fontId="6" fillId="0" borderId="15" xfId="0" applyNumberFormat="1" applyFont="1" applyBorder="1" applyAlignment="1">
      <alignment horizontal="center" vertical="center"/>
    </xf>
    <xf numFmtId="0" fontId="0" fillId="0" borderId="16" xfId="0" applyBorder="1" applyAlignment="1">
      <alignment horizontal="center"/>
    </xf>
    <xf numFmtId="9" fontId="0" fillId="0" borderId="16" xfId="0" applyNumberFormat="1" applyBorder="1" applyAlignment="1">
      <alignment horizontal="center"/>
    </xf>
    <xf numFmtId="0" fontId="2" fillId="6" borderId="1" xfId="0" applyFont="1" applyFill="1" applyBorder="1" applyAlignment="1">
      <alignment horizontal="center"/>
    </xf>
    <xf numFmtId="0" fontId="2" fillId="6" borderId="20" xfId="0" applyFont="1" applyFill="1" applyBorder="1" applyAlignment="1">
      <alignment horizontal="center"/>
    </xf>
    <xf numFmtId="0" fontId="2" fillId="6" borderId="19" xfId="0" applyFont="1" applyFill="1" applyBorder="1" applyAlignment="1">
      <alignment horizontal="center"/>
    </xf>
    <xf numFmtId="0" fontId="0" fillId="0" borderId="13" xfId="0" applyBorder="1"/>
    <xf numFmtId="9" fontId="0" fillId="0" borderId="13" xfId="1" applyFont="1" applyBorder="1"/>
    <xf numFmtId="0" fontId="0" fillId="0" borderId="21" xfId="0" applyBorder="1"/>
    <xf numFmtId="9" fontId="0" fillId="0" borderId="21" xfId="1" applyFont="1" applyBorder="1"/>
    <xf numFmtId="0" fontId="0" fillId="0" borderId="12" xfId="0" applyBorder="1"/>
    <xf numFmtId="9" fontId="0" fillId="0" borderId="12" xfId="1" applyFont="1" applyBorder="1"/>
    <xf numFmtId="0" fontId="4" fillId="0" borderId="0" xfId="0" applyFont="1" applyAlignment="1">
      <alignment horizontal="right" vertical="center"/>
    </xf>
    <xf numFmtId="165" fontId="18" fillId="6" borderId="0" xfId="0" applyNumberFormat="1" applyFont="1" applyFill="1" applyAlignment="1">
      <alignment horizontal="right" vertical="center"/>
    </xf>
    <xf numFmtId="15" fontId="4" fillId="5" borderId="0" xfId="0" applyNumberFormat="1" applyFont="1" applyFill="1" applyAlignment="1">
      <alignment vertical="center"/>
    </xf>
    <xf numFmtId="15" fontId="4" fillId="5" borderId="0" xfId="0" applyNumberFormat="1" applyFont="1" applyFill="1" applyAlignment="1">
      <alignment horizontal="center" vertical="center"/>
    </xf>
    <xf numFmtId="14" fontId="2" fillId="0" borderId="0" xfId="0" applyNumberFormat="1" applyFont="1"/>
    <xf numFmtId="9" fontId="4" fillId="0" borderId="15" xfId="0" applyNumberFormat="1" applyFont="1" applyBorder="1" applyAlignment="1">
      <alignment horizontal="center" vertical="center"/>
    </xf>
    <xf numFmtId="9" fontId="2" fillId="0" borderId="16" xfId="0" applyNumberFormat="1" applyFont="1" applyBorder="1" applyAlignment="1">
      <alignment horizontal="center"/>
    </xf>
    <xf numFmtId="9" fontId="2" fillId="6" borderId="1" xfId="0" applyNumberFormat="1" applyFont="1" applyFill="1" applyBorder="1" applyAlignment="1">
      <alignment horizontal="left" vertical="center"/>
    </xf>
    <xf numFmtId="0" fontId="0" fillId="6" borderId="0" xfId="0" applyFill="1" applyAlignment="1">
      <alignment vertical="center"/>
    </xf>
    <xf numFmtId="9" fontId="0" fillId="7" borderId="0" xfId="1" applyFont="1" applyFill="1" applyBorder="1" applyAlignment="1">
      <alignment horizontal="center" vertical="center"/>
    </xf>
    <xf numFmtId="0" fontId="0" fillId="7" borderId="0" xfId="0" applyFill="1" applyAlignment="1">
      <alignment horizontal="left" vertical="center"/>
    </xf>
    <xf numFmtId="0" fontId="0" fillId="7" borderId="3" xfId="0" applyFill="1" applyBorder="1" applyAlignment="1">
      <alignment vertical="center" wrapText="1"/>
    </xf>
    <xf numFmtId="166" fontId="12" fillId="6" borderId="2" xfId="0" applyNumberFormat="1" applyFont="1" applyFill="1" applyBorder="1" applyAlignment="1">
      <alignment horizontal="center"/>
    </xf>
    <xf numFmtId="0" fontId="12" fillId="8" borderId="2" xfId="0" applyFont="1" applyFill="1" applyBorder="1"/>
    <xf numFmtId="0" fontId="12" fillId="3" borderId="2" xfId="0" applyFont="1" applyFill="1" applyBorder="1"/>
    <xf numFmtId="15" fontId="10" fillId="6" borderId="2" xfId="0" applyNumberFormat="1" applyFont="1" applyFill="1" applyBorder="1" applyAlignment="1">
      <alignment horizontal="center" vertical="center"/>
    </xf>
    <xf numFmtId="0" fontId="10" fillId="6" borderId="2" xfId="0" applyFont="1" applyFill="1" applyBorder="1" applyAlignment="1">
      <alignment horizontal="center" vertical="center"/>
    </xf>
    <xf numFmtId="0" fontId="10" fillId="6" borderId="2" xfId="0" applyFont="1" applyFill="1" applyBorder="1" applyAlignment="1">
      <alignment horizontal="center" vertical="center" wrapText="1"/>
    </xf>
    <xf numFmtId="0" fontId="10" fillId="6" borderId="12" xfId="0" applyFont="1" applyFill="1" applyBorder="1" applyAlignment="1">
      <alignment horizontal="center" vertical="center"/>
    </xf>
    <xf numFmtId="0" fontId="10" fillId="6" borderId="2" xfId="0" applyFont="1" applyFill="1" applyBorder="1" applyAlignment="1">
      <alignment horizontal="left" vertical="center" wrapText="1"/>
    </xf>
    <xf numFmtId="0" fontId="10" fillId="3" borderId="2" xfId="0" applyFont="1" applyFill="1" applyBorder="1" applyAlignment="1">
      <alignment horizontal="center" vertical="center"/>
    </xf>
    <xf numFmtId="0" fontId="12" fillId="10" borderId="2" xfId="0" applyFont="1" applyFill="1" applyBorder="1"/>
    <xf numFmtId="14" fontId="12" fillId="10" borderId="2" xfId="0" applyNumberFormat="1" applyFont="1" applyFill="1" applyBorder="1"/>
    <xf numFmtId="166" fontId="12" fillId="10" borderId="2" xfId="0" applyNumberFormat="1" applyFont="1" applyFill="1" applyBorder="1" applyAlignment="1">
      <alignment horizontal="center"/>
    </xf>
    <xf numFmtId="0" fontId="10" fillId="10" borderId="12" xfId="0" applyFont="1" applyFill="1" applyBorder="1" applyAlignment="1">
      <alignment horizontal="center" vertical="center"/>
    </xf>
    <xf numFmtId="0" fontId="12" fillId="10" borderId="2" xfId="0" applyFont="1" applyFill="1" applyBorder="1" applyAlignment="1">
      <alignment wrapText="1"/>
    </xf>
    <xf numFmtId="0" fontId="10" fillId="10" borderId="12" xfId="0" applyFont="1" applyFill="1" applyBorder="1" applyAlignment="1">
      <alignment horizontal="center" vertical="center" wrapText="1"/>
    </xf>
    <xf numFmtId="0" fontId="10" fillId="10" borderId="12" xfId="0" applyFont="1" applyFill="1" applyBorder="1" applyAlignment="1">
      <alignment horizontal="left" vertical="center" wrapText="1"/>
    </xf>
    <xf numFmtId="0" fontId="12" fillId="8" borderId="12" xfId="0" applyFont="1" applyFill="1" applyBorder="1" applyAlignment="1">
      <alignment horizontal="center" vertical="center"/>
    </xf>
    <xf numFmtId="15" fontId="10" fillId="10" borderId="12" xfId="0" applyNumberFormat="1" applyFont="1" applyFill="1" applyBorder="1" applyAlignment="1">
      <alignment horizontal="center" vertical="center"/>
    </xf>
    <xf numFmtId="0" fontId="10" fillId="10" borderId="22" xfId="0" applyFont="1" applyFill="1" applyBorder="1" applyAlignment="1">
      <alignment horizontal="left" vertical="center"/>
    </xf>
    <xf numFmtId="0" fontId="10" fillId="10" borderId="22" xfId="0" applyFont="1" applyFill="1" applyBorder="1" applyAlignment="1">
      <alignment horizontal="left" vertical="center" wrapText="1"/>
    </xf>
    <xf numFmtId="0" fontId="10" fillId="10" borderId="23" xfId="0" applyFont="1" applyFill="1" applyBorder="1" applyAlignment="1">
      <alignment horizontal="left" vertical="center" wrapText="1"/>
    </xf>
    <xf numFmtId="15" fontId="0" fillId="0" borderId="12" xfId="0" applyNumberFormat="1" applyBorder="1"/>
    <xf numFmtId="0" fontId="0" fillId="0" borderId="2" xfId="0" applyBorder="1"/>
    <xf numFmtId="0" fontId="12" fillId="3" borderId="12" xfId="0" applyFont="1" applyFill="1" applyBorder="1" applyAlignment="1">
      <alignment horizontal="center" vertical="center"/>
    </xf>
    <xf numFmtId="0" fontId="12" fillId="3" borderId="2" xfId="0" applyFont="1" applyFill="1" applyBorder="1" applyAlignment="1">
      <alignment horizontal="center" vertical="center"/>
    </xf>
    <xf numFmtId="0" fontId="12" fillId="0" borderId="0" xfId="0" applyFont="1"/>
    <xf numFmtId="0" fontId="12" fillId="0" borderId="0" xfId="0" applyFont="1" applyAlignment="1">
      <alignment wrapText="1"/>
    </xf>
    <xf numFmtId="14" fontId="12" fillId="0" borderId="0" xfId="0" applyNumberFormat="1" applyFont="1"/>
    <xf numFmtId="166" fontId="12" fillId="0" borderId="0" xfId="0" applyNumberFormat="1" applyFont="1" applyAlignment="1">
      <alignment horizontal="center"/>
    </xf>
    <xf numFmtId="0" fontId="10" fillId="10" borderId="21" xfId="0" applyFont="1" applyFill="1" applyBorder="1" applyAlignment="1">
      <alignment horizontal="center" vertical="center"/>
    </xf>
    <xf numFmtId="0" fontId="10" fillId="10" borderId="21" xfId="0" applyFont="1" applyFill="1" applyBorder="1" applyAlignment="1">
      <alignment horizontal="center" vertical="center" wrapText="1"/>
    </xf>
    <xf numFmtId="15" fontId="10" fillId="10" borderId="21" xfId="0" applyNumberFormat="1" applyFont="1" applyFill="1" applyBorder="1" applyAlignment="1">
      <alignment horizontal="center" vertical="center"/>
    </xf>
    <xf numFmtId="0" fontId="10" fillId="10" borderId="2" xfId="0" applyFont="1" applyFill="1" applyBorder="1" applyAlignment="1">
      <alignment horizontal="center" vertical="center"/>
    </xf>
    <xf numFmtId="0" fontId="10" fillId="10" borderId="2" xfId="0" applyFont="1" applyFill="1" applyBorder="1" applyAlignment="1">
      <alignment horizontal="center" vertical="center" wrapText="1"/>
    </xf>
    <xf numFmtId="0" fontId="10" fillId="10" borderId="2" xfId="0" applyFont="1" applyFill="1" applyBorder="1" applyAlignment="1">
      <alignment horizontal="left" vertical="center" wrapText="1"/>
    </xf>
    <xf numFmtId="15" fontId="10" fillId="10" borderId="2" xfId="0" applyNumberFormat="1" applyFont="1" applyFill="1" applyBorder="1" applyAlignment="1">
      <alignment horizontal="center" vertical="center"/>
    </xf>
    <xf numFmtId="0" fontId="12" fillId="8" borderId="2" xfId="0" applyFont="1" applyFill="1" applyBorder="1" applyAlignment="1">
      <alignment horizontal="center" vertical="center"/>
    </xf>
    <xf numFmtId="15" fontId="8" fillId="4" borderId="0" xfId="0" applyNumberFormat="1" applyFont="1" applyFill="1" applyAlignment="1">
      <alignment horizontal="center" vertical="center"/>
    </xf>
    <xf numFmtId="0" fontId="0" fillId="7" borderId="14" xfId="0" applyFill="1" applyBorder="1" applyAlignment="1">
      <alignment horizontal="left" vertical="center"/>
    </xf>
    <xf numFmtId="0" fontId="11" fillId="0" borderId="4" xfId="0" applyFont="1" applyBorder="1" applyAlignment="1">
      <alignment horizontal="left"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0" xfId="0" applyFont="1" applyBorder="1" applyAlignment="1">
      <alignment horizontal="left" vertical="center" wrapText="1"/>
    </xf>
    <xf numFmtId="0" fontId="11" fillId="0" borderId="11" xfId="0" applyFont="1" applyBorder="1" applyAlignment="1">
      <alignment horizontal="left" vertical="center" wrapText="1"/>
    </xf>
    <xf numFmtId="0" fontId="19" fillId="9" borderId="0" xfId="0" applyFont="1" applyFill="1" applyAlignment="1">
      <alignment horizontal="left" vertical="center" wrapText="1"/>
    </xf>
    <xf numFmtId="0" fontId="15" fillId="9" borderId="0" xfId="0" applyFont="1" applyFill="1" applyAlignment="1">
      <alignment horizontal="left" vertical="center"/>
    </xf>
    <xf numFmtId="0" fontId="9" fillId="4" borderId="0" xfId="0" applyFont="1" applyFill="1" applyAlignment="1">
      <alignment horizontal="center" vertical="center" wrapText="1"/>
    </xf>
    <xf numFmtId="0" fontId="8" fillId="4" borderId="0" xfId="0" applyFont="1" applyFill="1" applyAlignment="1">
      <alignment horizontal="center" vertical="center"/>
    </xf>
    <xf numFmtId="9" fontId="14" fillId="6" borderId="0" xfId="0" applyNumberFormat="1" applyFont="1" applyFill="1" applyAlignment="1">
      <alignment horizontal="right" vertical="center"/>
    </xf>
    <xf numFmtId="0" fontId="1" fillId="4" borderId="0" xfId="0" applyFont="1" applyFill="1" applyAlignment="1">
      <alignment horizontal="center" vertical="center" wrapText="1"/>
    </xf>
    <xf numFmtId="0" fontId="1" fillId="4" borderId="0" xfId="0" applyFont="1" applyFill="1" applyAlignment="1">
      <alignment horizontal="center" vertical="center"/>
    </xf>
    <xf numFmtId="0" fontId="0" fillId="7" borderId="3" xfId="0" applyFill="1" applyBorder="1" applyAlignment="1">
      <alignment horizontal="left" vertical="center"/>
    </xf>
    <xf numFmtId="15" fontId="4" fillId="5" borderId="0" xfId="0" applyNumberFormat="1" applyFont="1" applyFill="1" applyAlignment="1">
      <alignment horizontal="left" vertical="center"/>
    </xf>
    <xf numFmtId="0" fontId="2" fillId="6" borderId="2" xfId="0" applyFont="1" applyFill="1" applyBorder="1" applyAlignment="1">
      <alignment horizontal="center"/>
    </xf>
    <xf numFmtId="0" fontId="2" fillId="6" borderId="17" xfId="0" applyFont="1" applyFill="1" applyBorder="1" applyAlignment="1">
      <alignment horizontal="center"/>
    </xf>
    <xf numFmtId="0" fontId="2" fillId="6" borderId="18" xfId="0" applyFont="1" applyFill="1" applyBorder="1" applyAlignment="1">
      <alignment horizontal="center"/>
    </xf>
  </cellXfs>
  <cellStyles count="2">
    <cellStyle name="Normal" xfId="0" builtinId="0"/>
    <cellStyle name="Percent" xfId="1" builtinId="5"/>
  </cellStyles>
  <dxfs count="9">
    <dxf>
      <fill>
        <patternFill>
          <bgColor rgb="FFFFFF00"/>
        </patternFill>
      </fill>
    </dxf>
    <dxf>
      <fill>
        <patternFill>
          <bgColor rgb="FFFFFF00"/>
        </patternFill>
      </fill>
    </dxf>
    <dxf>
      <fill>
        <patternFill>
          <bgColor rgb="FFFFFF00"/>
        </patternFill>
      </fill>
    </dxf>
    <dxf>
      <font>
        <color rgb="FFFF0000"/>
      </font>
    </dxf>
    <dxf>
      <font>
        <color rgb="FF00B050"/>
      </font>
    </dxf>
    <dxf>
      <font>
        <color rgb="FFFF0000"/>
      </font>
    </dxf>
    <dxf>
      <font>
        <color rgb="FF00B050"/>
      </font>
    </dxf>
    <dxf>
      <font>
        <color rgb="FFFF0000"/>
      </font>
    </dxf>
    <dxf>
      <font>
        <color rgb="FF00B050"/>
      </font>
    </dxf>
  </dxfs>
  <tableStyles count="0" defaultTableStyle="TableStyleMedium2" defaultPivotStyle="PivotStyleLight16"/>
  <colors>
    <mruColors>
      <color rgb="FFFFE5FF"/>
      <color rgb="FFFF99FF"/>
      <color rgb="FFFFEB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6731155211933"/>
          <c:y val="6.9444444444444448E-2"/>
          <c:w val="0.85556758035336078"/>
          <c:h val="0.70913266523502749"/>
        </c:manualLayout>
      </c:layout>
      <c:barChart>
        <c:barDir val="col"/>
        <c:grouping val="clustered"/>
        <c:varyColors val="0"/>
        <c:ser>
          <c:idx val="0"/>
          <c:order val="0"/>
          <c:tx>
            <c:strRef>
              <c:f>Calc!$E$15</c:f>
              <c:strCache>
                <c:ptCount val="1"/>
                <c:pt idx="0">
                  <c:v>Cookie Remediation RU%</c:v>
                </c:pt>
              </c:strCache>
            </c:strRef>
          </c:tx>
          <c:spPr>
            <a:solidFill>
              <a:schemeClr val="accent1"/>
            </a:solidFill>
            <a:ln>
              <a:noFill/>
            </a:ln>
            <a:effectLst/>
          </c:spPr>
          <c:invertIfNegative val="0"/>
          <c:dLbls>
            <c:dLbl>
              <c:idx val="0"/>
              <c:layout>
                <c:manualLayout>
                  <c:x val="-1.8909234963080901E-6"/>
                  <c:y val="-2.38317585991506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D5-485A-955E-DAAF30D496E8}"/>
                </c:ext>
              </c:extLst>
            </c:dLbl>
            <c:dLbl>
              <c:idx val="1"/>
              <c:layout>
                <c:manualLayout>
                  <c:x val="0"/>
                  <c:y val="8.860476056459494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6-49C2-AB03-B4E3BB2E463A}"/>
                </c:ext>
              </c:extLst>
            </c:dLbl>
            <c:dLbl>
              <c:idx val="2"/>
              <c:layout>
                <c:manualLayout>
                  <c:x val="0"/>
                  <c:y val="1.56781863263699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D2A-44EB-9B9F-2C9D1B282911}"/>
                </c:ext>
              </c:extLst>
            </c:dLbl>
            <c:dLbl>
              <c:idx val="3"/>
              <c:layout>
                <c:manualLayout>
                  <c:x val="3.0008402352658743E-3"/>
                  <c:y val="1.30717289350049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02-4261-B291-0BCDC5BBEE2A}"/>
                </c:ext>
              </c:extLst>
            </c:dLbl>
            <c:dLbl>
              <c:idx val="4"/>
              <c:layout>
                <c:manualLayout>
                  <c:x val="0"/>
                  <c:y val="3.7042591173624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D1-4ECC-80B9-553207F6F9FA}"/>
                </c:ext>
              </c:extLst>
            </c:dLbl>
            <c:dLbl>
              <c:idx val="5"/>
              <c:layout>
                <c:manualLayout>
                  <c:x val="0"/>
                  <c:y val="4.14665609030860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2D-41A0-B9F2-0D97C6EACB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Calc!$D$16:$D$21</c:f>
              <c:strCache>
                <c:ptCount val="6"/>
                <c:pt idx="0">
                  <c:v>03 Aug</c:v>
                </c:pt>
                <c:pt idx="1">
                  <c:v>10 Aug</c:v>
                </c:pt>
                <c:pt idx="2">
                  <c:v>17 Aug</c:v>
                </c:pt>
                <c:pt idx="3">
                  <c:v>24 Aug</c:v>
                </c:pt>
                <c:pt idx="4">
                  <c:v>31 Aug</c:v>
                </c:pt>
                <c:pt idx="5">
                  <c:v>07 Sep</c:v>
                </c:pt>
              </c:strCache>
            </c:strRef>
          </c:cat>
          <c:val>
            <c:numRef>
              <c:f>Calc!$E$16:$E$21</c:f>
              <c:numCache>
                <c:formatCode>0%</c:formatCode>
                <c:ptCount val="6"/>
                <c:pt idx="0">
                  <c:v>1.0249999999999999</c:v>
                </c:pt>
                <c:pt idx="1">
                  <c:v>0.85</c:v>
                </c:pt>
                <c:pt idx="2">
                  <c:v>0</c:v>
                </c:pt>
                <c:pt idx="3">
                  <c:v>0</c:v>
                </c:pt>
                <c:pt idx="4">
                  <c:v>0</c:v>
                </c:pt>
                <c:pt idx="5">
                  <c:v>0</c:v>
                </c:pt>
              </c:numCache>
            </c:numRef>
          </c:val>
          <c:extLst>
            <c:ext xmlns:c16="http://schemas.microsoft.com/office/drawing/2014/chart" uri="{C3380CC4-5D6E-409C-BE32-E72D297353CC}">
              <c16:uniqueId val="{00000000-9EB0-4023-AF01-FC0A95DD74C6}"/>
            </c:ext>
          </c:extLst>
        </c:ser>
        <c:ser>
          <c:idx val="1"/>
          <c:order val="1"/>
          <c:tx>
            <c:strRef>
              <c:f>Calc!$F$15</c:f>
              <c:strCache>
                <c:ptCount val="1"/>
                <c:pt idx="0">
                  <c:v>Consent Management RU%</c:v>
                </c:pt>
              </c:strCache>
            </c:strRef>
          </c:tx>
          <c:spPr>
            <a:solidFill>
              <a:schemeClr val="accent2"/>
            </a:solidFill>
            <a:ln>
              <a:noFill/>
            </a:ln>
            <a:effectLst/>
          </c:spPr>
          <c:invertIfNegative val="0"/>
          <c:dLbls>
            <c:dLbl>
              <c:idx val="0"/>
              <c:layout>
                <c:manualLayout>
                  <c:x val="6.0017911772818778E-3"/>
                  <c:y val="6.350338159721916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D5-485A-955E-DAAF30D496E8}"/>
                </c:ext>
              </c:extLst>
            </c:dLbl>
            <c:dLbl>
              <c:idx val="1"/>
              <c:layout>
                <c:manualLayout>
                  <c:x val="1.2003360941063497E-2"/>
                  <c:y val="-2.21984383441764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6-49C2-AB03-B4E3BB2E463A}"/>
                </c:ext>
              </c:extLst>
            </c:dLbl>
            <c:dLbl>
              <c:idx val="2"/>
              <c:layout>
                <c:manualLayout>
                  <c:x val="1.5004201176329317E-2"/>
                  <c:y val="-1.23260290350479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2A-44EB-9B9F-2C9D1B282911}"/>
                </c:ext>
              </c:extLst>
            </c:dLbl>
            <c:dLbl>
              <c:idx val="3"/>
              <c:layout>
                <c:manualLayout>
                  <c:x val="1.2003360941063497E-2"/>
                  <c:y val="1.14061270647978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02-4261-B291-0BCDC5BBEE2A}"/>
                </c:ext>
              </c:extLst>
            </c:dLbl>
            <c:dLbl>
              <c:idx val="4"/>
              <c:layout>
                <c:manualLayout>
                  <c:x val="6.0016804705316385E-3"/>
                  <c:y val="8.984143092210003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D1-4ECC-80B9-553207F6F9FA}"/>
                </c:ext>
              </c:extLst>
            </c:dLbl>
            <c:dLbl>
              <c:idx val="5"/>
              <c:layout>
                <c:manualLayout>
                  <c:x val="1.5009205251945355E-2"/>
                  <c:y val="4.93700446452250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2D-41A0-B9F2-0D97C6EACB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Calc!$D$16:$D$21</c:f>
              <c:strCache>
                <c:ptCount val="6"/>
                <c:pt idx="0">
                  <c:v>03 Aug</c:v>
                </c:pt>
                <c:pt idx="1">
                  <c:v>10 Aug</c:v>
                </c:pt>
                <c:pt idx="2">
                  <c:v>17 Aug</c:v>
                </c:pt>
                <c:pt idx="3">
                  <c:v>24 Aug</c:v>
                </c:pt>
                <c:pt idx="4">
                  <c:v>31 Aug</c:v>
                </c:pt>
                <c:pt idx="5">
                  <c:v>07 Sep</c:v>
                </c:pt>
              </c:strCache>
            </c:strRef>
          </c:cat>
          <c:val>
            <c:numRef>
              <c:f>Calc!$F$16:$F$21</c:f>
              <c:numCache>
                <c:formatCode>0%</c:formatCode>
                <c:ptCount val="6"/>
                <c:pt idx="0">
                  <c:v>1.0125</c:v>
                </c:pt>
                <c:pt idx="1">
                  <c:v>0</c:v>
                </c:pt>
                <c:pt idx="2">
                  <c:v>0</c:v>
                </c:pt>
                <c:pt idx="3">
                  <c:v>0</c:v>
                </c:pt>
                <c:pt idx="4">
                  <c:v>0</c:v>
                </c:pt>
                <c:pt idx="5">
                  <c:v>0</c:v>
                </c:pt>
              </c:numCache>
            </c:numRef>
          </c:val>
          <c:extLst>
            <c:ext xmlns:c16="http://schemas.microsoft.com/office/drawing/2014/chart" uri="{C3380CC4-5D6E-409C-BE32-E72D297353CC}">
              <c16:uniqueId val="{00000001-9EB0-4023-AF01-FC0A95DD74C6}"/>
            </c:ext>
          </c:extLst>
        </c:ser>
        <c:dLbls>
          <c:dLblPos val="ctr"/>
          <c:showLegendKey val="0"/>
          <c:showVal val="1"/>
          <c:showCatName val="0"/>
          <c:showSerName val="0"/>
          <c:showPercent val="0"/>
          <c:showBubbleSize val="0"/>
        </c:dLbls>
        <c:gapWidth val="120"/>
        <c:axId val="890038688"/>
        <c:axId val="890044928"/>
      </c:barChart>
      <c:catAx>
        <c:axId val="89003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90044928"/>
        <c:crosses val="autoZero"/>
        <c:auto val="1"/>
        <c:lblAlgn val="ctr"/>
        <c:lblOffset val="100"/>
        <c:noMultiLvlLbl val="0"/>
      </c:catAx>
      <c:valAx>
        <c:axId val="890044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90038688"/>
        <c:crosses val="autoZero"/>
        <c:crossBetween val="between"/>
      </c:valAx>
      <c:spPr>
        <a:noFill/>
        <a:ln>
          <a:noFill/>
        </a:ln>
        <a:effectLst/>
      </c:spPr>
    </c:plotArea>
    <c:legend>
      <c:legendPos val="b"/>
      <c:layout>
        <c:manualLayout>
          <c:xMode val="edge"/>
          <c:yMode val="edge"/>
          <c:x val="0.12945511335969881"/>
          <c:y val="0.89346516344547844"/>
          <c:w val="0.77948833547409024"/>
          <c:h val="9.264407417093727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76200</xdr:colOff>
      <xdr:row>11</xdr:row>
      <xdr:rowOff>9525</xdr:rowOff>
    </xdr:from>
    <xdr:to>
      <xdr:col>24</xdr:col>
      <xdr:colOff>3048</xdr:colOff>
      <xdr:row>20</xdr:row>
      <xdr:rowOff>49530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17</xdr:col>
      <xdr:colOff>508594</xdr:colOff>
      <xdr:row>3</xdr:row>
      <xdr:rowOff>79828</xdr:rowOff>
    </xdr:from>
    <xdr:to>
      <xdr:col>21</xdr:col>
      <xdr:colOff>484642</xdr:colOff>
      <xdr:row>4</xdr:row>
      <xdr:rowOff>178252</xdr:rowOff>
    </xdr:to>
    <xdr:sp macro="" textlink="D10">
      <xdr:nvSpPr>
        <xdr:cNvPr id="8" name="TextBox 7">
          <a:extLst>
            <a:ext uri="{FF2B5EF4-FFF2-40B4-BE49-F238E27FC236}">
              <a16:creationId xmlns:a16="http://schemas.microsoft.com/office/drawing/2014/main" id="{00000000-0008-0000-0000-000008000000}"/>
            </a:ext>
          </a:extLst>
        </xdr:cNvPr>
        <xdr:cNvSpPr txBox="1"/>
      </xdr:nvSpPr>
      <xdr:spPr>
        <a:xfrm>
          <a:off x="8342907" y="508453"/>
          <a:ext cx="1865173" cy="28098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D3CF7A-2EEE-49B4-B94E-DC5BFAF2DE1A}" type="TxLink">
            <a:rPr lang="en-US" sz="1100" b="1" i="0" u="none" strike="noStrike">
              <a:solidFill>
                <a:schemeClr val="bg1"/>
              </a:solidFill>
              <a:latin typeface="Calibri"/>
              <a:cs typeface="Calibri"/>
            </a:rPr>
            <a:pPr algn="ctr"/>
            <a:t>(10-Aug-26 To 14-Aug-26)</a:t>
          </a:fld>
          <a:endParaRPr lang="en-IN" sz="1100" b="1">
            <a:solidFill>
              <a:schemeClr val="bg1"/>
            </a:solidFill>
          </a:endParaRPr>
        </a:p>
      </xdr:txBody>
    </xdr:sp>
    <xdr:clientData/>
  </xdr:twoCellAnchor>
  <xdr:twoCellAnchor>
    <xdr:from>
      <xdr:col>15</xdr:col>
      <xdr:colOff>5416</xdr:colOff>
      <xdr:row>18</xdr:row>
      <xdr:rowOff>64808</xdr:rowOff>
    </xdr:from>
    <xdr:to>
      <xdr:col>17</xdr:col>
      <xdr:colOff>76200</xdr:colOff>
      <xdr:row>19</xdr:row>
      <xdr:rowOff>165100</xdr:rowOff>
    </xdr:to>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7053916" y="3112808"/>
          <a:ext cx="648634" cy="354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750">
              <a:solidFill>
                <a:schemeClr val="tx1">
                  <a:lumMod val="50000"/>
                  <a:lumOff val="50000"/>
                </a:schemeClr>
              </a:solidFill>
            </a:rPr>
            <a:t>Week</a:t>
          </a:r>
          <a:r>
            <a:rPr lang="en-US" sz="750" baseline="0">
              <a:solidFill>
                <a:schemeClr val="tx1">
                  <a:lumMod val="50000"/>
                  <a:lumOff val="50000"/>
                </a:schemeClr>
              </a:solidFill>
            </a:rPr>
            <a:t> start date &gt;</a:t>
          </a:r>
          <a:endParaRPr lang="en-US" sz="750">
            <a:solidFill>
              <a:schemeClr val="tx1">
                <a:lumMod val="50000"/>
                <a:lumOff val="50000"/>
              </a:schemeClr>
            </a:solidFill>
          </a:endParaRPr>
        </a:p>
      </xdr:txBody>
    </xdr:sp>
    <xdr:clientData/>
  </xdr:twoCellAnchor>
  <xdr:twoCellAnchor>
    <xdr:from>
      <xdr:col>3</xdr:col>
      <xdr:colOff>341757</xdr:colOff>
      <xdr:row>23</xdr:row>
      <xdr:rowOff>38873</xdr:rowOff>
    </xdr:from>
    <xdr:to>
      <xdr:col>3</xdr:col>
      <xdr:colOff>1732898</xdr:colOff>
      <xdr:row>24</xdr:row>
      <xdr:rowOff>121826</xdr:rowOff>
    </xdr:to>
    <xdr:grpSp>
      <xdr:nvGrpSpPr>
        <xdr:cNvPr id="20" name="Group 19">
          <a:extLst>
            <a:ext uri="{FF2B5EF4-FFF2-40B4-BE49-F238E27FC236}">
              <a16:creationId xmlns:a16="http://schemas.microsoft.com/office/drawing/2014/main" id="{00000000-0008-0000-0000-000014000000}"/>
            </a:ext>
          </a:extLst>
        </xdr:cNvPr>
        <xdr:cNvGrpSpPr/>
      </xdr:nvGrpSpPr>
      <xdr:grpSpPr>
        <a:xfrm>
          <a:off x="1027557" y="4677548"/>
          <a:ext cx="1391141" cy="273453"/>
          <a:chOff x="1792026" y="4057717"/>
          <a:chExt cx="1391141" cy="273453"/>
        </a:xfrm>
      </xdr:grpSpPr>
      <xdr:grpSp>
        <xdr:nvGrpSpPr>
          <xdr:cNvPr id="21" name="Group 20">
            <a:extLst>
              <a:ext uri="{FF2B5EF4-FFF2-40B4-BE49-F238E27FC236}">
                <a16:creationId xmlns:a16="http://schemas.microsoft.com/office/drawing/2014/main" id="{00000000-0008-0000-0000-000015000000}"/>
              </a:ext>
            </a:extLst>
          </xdr:cNvPr>
          <xdr:cNvGrpSpPr/>
        </xdr:nvGrpSpPr>
        <xdr:grpSpPr>
          <a:xfrm>
            <a:off x="1792026" y="4057717"/>
            <a:ext cx="140550" cy="258052"/>
            <a:chOff x="1792026" y="4057717"/>
            <a:chExt cx="140550" cy="258052"/>
          </a:xfrm>
        </xdr:grpSpPr>
        <xdr:sp macro="" textlink="">
          <xdr:nvSpPr>
            <xdr:cNvPr id="25" name="Rectangle 24">
              <a:extLst>
                <a:ext uri="{FF2B5EF4-FFF2-40B4-BE49-F238E27FC236}">
                  <a16:creationId xmlns:a16="http://schemas.microsoft.com/office/drawing/2014/main" id="{00000000-0008-0000-0000-000019000000}"/>
                </a:ext>
              </a:extLst>
            </xdr:cNvPr>
            <xdr:cNvSpPr/>
          </xdr:nvSpPr>
          <xdr:spPr>
            <a:xfrm>
              <a:off x="1792026" y="4057718"/>
              <a:ext cx="48106" cy="25805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25">
              <a:extLst>
                <a:ext uri="{FF2B5EF4-FFF2-40B4-BE49-F238E27FC236}">
                  <a16:creationId xmlns:a16="http://schemas.microsoft.com/office/drawing/2014/main" id="{00000000-0008-0000-0000-00001A000000}"/>
                </a:ext>
              </a:extLst>
            </xdr:cNvPr>
            <xdr:cNvSpPr/>
          </xdr:nvSpPr>
          <xdr:spPr>
            <a:xfrm>
              <a:off x="1855606" y="4057717"/>
              <a:ext cx="76970" cy="25805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22" name="Group 21">
            <a:extLst>
              <a:ext uri="{FF2B5EF4-FFF2-40B4-BE49-F238E27FC236}">
                <a16:creationId xmlns:a16="http://schemas.microsoft.com/office/drawing/2014/main" id="{00000000-0008-0000-0000-000016000000}"/>
              </a:ext>
            </a:extLst>
          </xdr:cNvPr>
          <xdr:cNvGrpSpPr/>
        </xdr:nvGrpSpPr>
        <xdr:grpSpPr>
          <a:xfrm>
            <a:off x="2932599" y="4069267"/>
            <a:ext cx="250568" cy="261903"/>
            <a:chOff x="2932599" y="4069267"/>
            <a:chExt cx="250568" cy="261903"/>
          </a:xfrm>
        </xdr:grpSpPr>
        <xdr:sp macro="" textlink="">
          <xdr:nvSpPr>
            <xdr:cNvPr id="23" name="Chevron 22">
              <a:extLst>
                <a:ext uri="{FF2B5EF4-FFF2-40B4-BE49-F238E27FC236}">
                  <a16:creationId xmlns:a16="http://schemas.microsoft.com/office/drawing/2014/main" id="{00000000-0008-0000-0000-000017000000}"/>
                </a:ext>
              </a:extLst>
            </xdr:cNvPr>
            <xdr:cNvSpPr/>
          </xdr:nvSpPr>
          <xdr:spPr>
            <a:xfrm>
              <a:off x="2994592" y="4069267"/>
              <a:ext cx="188575" cy="261903"/>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4" name="Chevron 23">
              <a:extLst>
                <a:ext uri="{FF2B5EF4-FFF2-40B4-BE49-F238E27FC236}">
                  <a16:creationId xmlns:a16="http://schemas.microsoft.com/office/drawing/2014/main" id="{00000000-0008-0000-0000-000018000000}"/>
                </a:ext>
              </a:extLst>
            </xdr:cNvPr>
            <xdr:cNvSpPr/>
          </xdr:nvSpPr>
          <xdr:spPr>
            <a:xfrm>
              <a:off x="2932599" y="4091198"/>
              <a:ext cx="117090" cy="215800"/>
            </a:xfrm>
            <a:prstGeom prst="chevron">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Susmitha.Donthi/AppData/Local/Microsoft/Windows/INetCache/Content.Outlook/5RMR2AEN/Sky%20Martech%20-%20Consent%20Management%20%20Cookie%20Remediation%20-%20RU%20(20th%20October%20-%2024th%20October).xlsx" TargetMode="External"/><Relationship Id="rId1" Type="http://schemas.openxmlformats.org/officeDocument/2006/relationships/externalLinkPath" Target="/Users/Susmitha.Donthi/AppData/Local/Microsoft/Windows/INetCache/Content.Outlook/5RMR2AEN/Sky%20Martech%20-%20Consent%20Management%20%20Cookie%20Remediation%20-%20RU%20(20th%20October%20-%2024th%20Octobe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Susmitha.Donthi/AppData/Local/Microsoft/Windows/INetCache/Content.Outlook/5RMR2AEN/Sky%20Martech%20-%20Consent%20Management%20%20Cookie%20Remediation%20-%20RU%20(3rd%20November%20-%207th%20November).xlsx" TargetMode="External"/><Relationship Id="rId1" Type="http://schemas.openxmlformats.org/officeDocument/2006/relationships/externalLinkPath" Target="/Users/Susmitha.Donthi/AppData/Local/Microsoft/Windows/INetCache/Content.Outlook/5RMR2AEN/Sky%20Martech%20-%20Consent%20Management%20%20Cookie%20Remediation%20-%20RU%20(3rd%20November%20-%207th%20Novemb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lc"/>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l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7.bin"/><Relationship Id="rId3" Type="http://schemas.openxmlformats.org/officeDocument/2006/relationships/customProperty" Target="../customProperty2.bin"/><Relationship Id="rId7" Type="http://schemas.openxmlformats.org/officeDocument/2006/relationships/customProperty" Target="../customProperty6.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ustomProperty" Target="../customProperty5.bin"/><Relationship Id="rId5" Type="http://schemas.openxmlformats.org/officeDocument/2006/relationships/customProperty" Target="../customProperty4.bin"/><Relationship Id="rId10" Type="http://schemas.openxmlformats.org/officeDocument/2006/relationships/drawing" Target="../drawings/drawing1.xml"/><Relationship Id="rId4" Type="http://schemas.openxmlformats.org/officeDocument/2006/relationships/customProperty" Target="../customProperty3.bin"/><Relationship Id="rId9" Type="http://schemas.openxmlformats.org/officeDocument/2006/relationships/customProperty" Target="../customProperty8.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
  <sheetViews>
    <sheetView showGridLines="0" tabSelected="1" zoomScale="80" zoomScaleNormal="80" workbookViewId="0">
      <selection activeCell="A2" sqref="A2"/>
    </sheetView>
  </sheetViews>
  <sheetFormatPr defaultColWidth="0" defaultRowHeight="14.4" zeroHeight="1" x14ac:dyDescent="0.3"/>
  <cols>
    <col min="1" max="1" width="5" customWidth="1"/>
    <col min="2" max="2" width="0.77734375" customWidth="1"/>
    <col min="3" max="3" width="4.21875" customWidth="1"/>
    <col min="4" max="4" width="28.77734375" customWidth="1"/>
    <col min="5" max="5" width="0.77734375" customWidth="1"/>
    <col min="6" max="6" width="14.44140625" customWidth="1"/>
    <col min="7" max="7" width="1.77734375" customWidth="1"/>
    <col min="8" max="8" width="6.21875" bestFit="1" customWidth="1"/>
    <col min="9" max="9" width="0.77734375" customWidth="1"/>
    <col min="10" max="10" width="14.44140625" customWidth="1"/>
    <col min="11" max="11" width="0.77734375" customWidth="1"/>
    <col min="12" max="12" width="9.88671875" customWidth="1"/>
    <col min="13" max="13" width="0.77734375" customWidth="1"/>
    <col min="14" max="14" width="14.44140625" customWidth="1"/>
    <col min="15" max="15" width="0.77734375" customWidth="1"/>
    <col min="16" max="16" width="7.44140625" customWidth="1"/>
    <col min="17" max="17" width="0.77734375" customWidth="1"/>
    <col min="18" max="18" width="12.77734375" customWidth="1"/>
    <col min="19" max="19" width="0.77734375" customWidth="1"/>
    <col min="20" max="20" width="12.77734375" customWidth="1"/>
    <col min="21" max="21" width="0.77734375" customWidth="1"/>
    <col min="22" max="22" width="12.77734375" customWidth="1"/>
    <col min="23" max="23" width="0.77734375" customWidth="1"/>
    <col min="24" max="24" width="12.77734375" customWidth="1"/>
    <col min="25" max="25" width="4.21875" customWidth="1"/>
    <col min="26" max="26" width="0.77734375" customWidth="1"/>
    <col min="27" max="27" width="5" customWidth="1"/>
    <col min="28" max="16384" width="9.21875" hidden="1"/>
  </cols>
  <sheetData>
    <row r="1" spans="2:26" x14ac:dyDescent="0.3"/>
    <row r="2" spans="2:26" ht="5.25" customHeight="1" x14ac:dyDescent="0.3">
      <c r="B2" s="17"/>
      <c r="C2" s="17"/>
      <c r="D2" s="17"/>
      <c r="E2" s="17"/>
      <c r="F2" s="17"/>
      <c r="G2" s="17"/>
      <c r="H2" s="17"/>
      <c r="I2" s="17"/>
      <c r="J2" s="17"/>
      <c r="K2" s="17"/>
      <c r="L2" s="17"/>
      <c r="M2" s="17"/>
      <c r="N2" s="17"/>
      <c r="O2" s="17"/>
      <c r="P2" s="17"/>
      <c r="Q2" s="17"/>
      <c r="R2" s="17"/>
      <c r="S2" s="17"/>
      <c r="T2" s="17"/>
      <c r="U2" s="17"/>
      <c r="V2" s="17"/>
      <c r="W2" s="17"/>
      <c r="X2" s="17"/>
      <c r="Y2" s="17"/>
      <c r="Z2" s="17"/>
    </row>
    <row r="3" spans="2:26" x14ac:dyDescent="0.3">
      <c r="B3" s="17"/>
      <c r="Z3" s="17"/>
    </row>
    <row r="4" spans="2:26" x14ac:dyDescent="0.3">
      <c r="B4" s="17"/>
      <c r="D4" s="115" t="s">
        <v>62</v>
      </c>
      <c r="E4" s="116"/>
      <c r="F4" s="116"/>
      <c r="G4" s="116"/>
      <c r="H4" s="116"/>
      <c r="I4" s="116"/>
      <c r="J4" s="116"/>
      <c r="K4" s="116"/>
      <c r="L4" s="116"/>
      <c r="M4" s="116"/>
      <c r="N4" s="116"/>
      <c r="O4" s="116"/>
      <c r="P4" s="116"/>
      <c r="Q4" s="116"/>
      <c r="R4" s="116"/>
      <c r="S4" s="116"/>
      <c r="T4" s="116"/>
      <c r="U4" s="116"/>
      <c r="V4" s="116"/>
      <c r="W4" s="116"/>
      <c r="X4" s="116"/>
      <c r="Z4" s="17"/>
    </row>
    <row r="5" spans="2:26" x14ac:dyDescent="0.3">
      <c r="B5" s="17"/>
      <c r="D5" s="116"/>
      <c r="E5" s="116"/>
      <c r="F5" s="116"/>
      <c r="G5" s="116"/>
      <c r="H5" s="116"/>
      <c r="I5" s="116"/>
      <c r="J5" s="116"/>
      <c r="K5" s="116"/>
      <c r="L5" s="116"/>
      <c r="M5" s="116"/>
      <c r="N5" s="116"/>
      <c r="O5" s="116"/>
      <c r="P5" s="116"/>
      <c r="Q5" s="116"/>
      <c r="R5" s="116"/>
      <c r="S5" s="116"/>
      <c r="T5" s="116"/>
      <c r="U5" s="116"/>
      <c r="V5" s="116"/>
      <c r="W5" s="116"/>
      <c r="X5" s="116"/>
      <c r="Z5" s="17"/>
    </row>
    <row r="6" spans="2:26" ht="9" customHeight="1" x14ac:dyDescent="0.3">
      <c r="B6" s="17"/>
      <c r="D6" s="116"/>
      <c r="E6" s="116"/>
      <c r="F6" s="116"/>
      <c r="G6" s="116"/>
      <c r="H6" s="116"/>
      <c r="I6" s="116"/>
      <c r="J6" s="116"/>
      <c r="K6" s="116"/>
      <c r="L6" s="116"/>
      <c r="M6" s="116"/>
      <c r="N6" s="116"/>
      <c r="O6" s="116"/>
      <c r="P6" s="116"/>
      <c r="Q6" s="116"/>
      <c r="R6" s="116"/>
      <c r="S6" s="116"/>
      <c r="T6" s="116"/>
      <c r="U6" s="116"/>
      <c r="V6" s="116"/>
      <c r="W6" s="116"/>
      <c r="X6" s="116"/>
      <c r="Z6" s="17"/>
    </row>
    <row r="7" spans="2:26" ht="7.05" customHeight="1" x14ac:dyDescent="0.3">
      <c r="B7" s="17"/>
      <c r="Z7" s="17"/>
    </row>
    <row r="8" spans="2:26" ht="31.05" customHeight="1" x14ac:dyDescent="0.3">
      <c r="B8" s="17"/>
      <c r="D8" s="3" t="s">
        <v>16</v>
      </c>
      <c r="F8" s="118" t="s">
        <v>15</v>
      </c>
      <c r="G8" s="118"/>
      <c r="H8" s="118"/>
      <c r="I8" s="4"/>
      <c r="J8" s="120" t="s">
        <v>61</v>
      </c>
      <c r="K8" s="121"/>
      <c r="L8" s="121"/>
      <c r="N8" s="121" t="s">
        <v>52</v>
      </c>
      <c r="O8" s="121"/>
      <c r="P8" s="121"/>
      <c r="R8" s="32" t="s">
        <v>11</v>
      </c>
      <c r="S8" s="33"/>
      <c r="T8" s="32" t="s">
        <v>12</v>
      </c>
      <c r="U8" s="34"/>
      <c r="V8" s="32" t="s">
        <v>13</v>
      </c>
      <c r="W8" s="33"/>
      <c r="X8" s="32" t="s">
        <v>14</v>
      </c>
      <c r="Z8" s="17"/>
    </row>
    <row r="9" spans="2:26" ht="5.0999999999999996" customHeight="1" x14ac:dyDescent="0.3">
      <c r="B9" s="17"/>
      <c r="D9" s="6"/>
      <c r="F9" s="6"/>
      <c r="G9" s="6"/>
      <c r="H9" s="6"/>
      <c r="I9" s="7"/>
      <c r="J9" s="6"/>
      <c r="K9" s="6"/>
      <c r="L9" s="6"/>
      <c r="N9" s="6"/>
      <c r="O9" s="6"/>
      <c r="P9" s="6"/>
      <c r="R9" s="6"/>
      <c r="S9" s="5"/>
      <c r="T9" s="6"/>
      <c r="U9" s="7"/>
      <c r="V9" s="6"/>
      <c r="W9" s="5"/>
      <c r="X9" s="5"/>
      <c r="Z9" s="17"/>
    </row>
    <row r="10" spans="2:26" ht="21" x14ac:dyDescent="0.3">
      <c r="B10" s="17"/>
      <c r="D10" s="15" t="s">
        <v>727</v>
      </c>
      <c r="F10" s="119">
        <f>Calc!I11</f>
        <v>0.42499999999999999</v>
      </c>
      <c r="G10" s="119"/>
      <c r="H10" s="56">
        <f>Calc!J11</f>
        <v>-0.59375</v>
      </c>
      <c r="I10" s="55"/>
      <c r="J10" s="119">
        <f>Calc!K11</f>
        <v>0.85</v>
      </c>
      <c r="K10" s="119"/>
      <c r="L10" s="56">
        <f>Calc!L11</f>
        <v>-0.17499999999999993</v>
      </c>
      <c r="N10" s="119">
        <f>Calc!M11</f>
        <v>0</v>
      </c>
      <c r="O10" s="119"/>
      <c r="P10" s="56">
        <f>Calc!N11</f>
        <v>-1.0125</v>
      </c>
      <c r="R10" s="16">
        <f>Calc!G11</f>
        <v>2</v>
      </c>
      <c r="S10" s="8"/>
      <c r="T10" s="16">
        <f>Calc!H11</f>
        <v>5</v>
      </c>
      <c r="U10" s="5"/>
      <c r="V10" s="16">
        <f>R10*8*T10</f>
        <v>80</v>
      </c>
      <c r="W10" s="8"/>
      <c r="X10" s="16">
        <f>5-T10</f>
        <v>0</v>
      </c>
      <c r="Z10" s="17"/>
    </row>
    <row r="11" spans="2:26" ht="7.05" customHeight="1" x14ac:dyDescent="0.3">
      <c r="B11" s="17"/>
      <c r="Z11" s="17"/>
    </row>
    <row r="12" spans="2:26" ht="23.1" customHeight="1" x14ac:dyDescent="0.3">
      <c r="B12" s="17"/>
      <c r="D12" s="104" t="s">
        <v>60</v>
      </c>
      <c r="E12" s="104"/>
      <c r="F12" s="104"/>
      <c r="H12" s="104" t="s">
        <v>46</v>
      </c>
      <c r="I12" s="104"/>
      <c r="J12" s="104"/>
      <c r="K12" s="104"/>
      <c r="L12" s="104"/>
      <c r="M12" s="104"/>
      <c r="N12" s="104"/>
      <c r="Z12" s="17"/>
    </row>
    <row r="13" spans="2:26" ht="16.05" customHeight="1" x14ac:dyDescent="0.3">
      <c r="B13" s="17"/>
      <c r="D13" s="57" t="s">
        <v>31</v>
      </c>
      <c r="E13" s="35"/>
      <c r="F13" s="58" t="s">
        <v>23</v>
      </c>
      <c r="H13" s="123" t="s">
        <v>31</v>
      </c>
      <c r="I13" s="123"/>
      <c r="J13" s="123"/>
      <c r="K13" s="123"/>
      <c r="L13" s="123"/>
      <c r="M13" s="35"/>
      <c r="N13" s="58" t="s">
        <v>23</v>
      </c>
      <c r="Z13" s="17"/>
    </row>
    <row r="14" spans="2:26" ht="29.55" customHeight="1" x14ac:dyDescent="0.3">
      <c r="B14" s="17"/>
      <c r="D14" s="66" t="str">
        <f>Calc!Q14</f>
        <v>Analysis &amp; Documentation</v>
      </c>
      <c r="E14" s="36"/>
      <c r="F14" s="23">
        <f>Calc!R14</f>
        <v>0.8</v>
      </c>
      <c r="H14" s="122" t="str">
        <f>Calc!U14</f>
        <v>API Tests</v>
      </c>
      <c r="I14" s="122">
        <f>Calc!V14</f>
        <v>0</v>
      </c>
      <c r="J14" s="122">
        <f>Calc!W14</f>
        <v>0</v>
      </c>
      <c r="K14" s="122">
        <f>Calc!X14</f>
        <v>0</v>
      </c>
      <c r="L14" s="122" t="str">
        <f>Calc!Y14</f>
        <v>Detailed Test Cases</v>
      </c>
      <c r="M14" s="36"/>
      <c r="N14" s="23">
        <f>Calc!V14</f>
        <v>0</v>
      </c>
      <c r="O14">
        <f>Calc!AB14</f>
        <v>0</v>
      </c>
      <c r="Z14" s="17"/>
    </row>
    <row r="15" spans="2:26" ht="20.100000000000001" customHeight="1" x14ac:dyDescent="0.3">
      <c r="B15" s="17"/>
      <c r="D15" s="22" t="str">
        <f>Calc!Q15</f>
        <v>Meetings - CR</v>
      </c>
      <c r="E15" s="36"/>
      <c r="F15" s="23">
        <f>Calc!R15</f>
        <v>0.05</v>
      </c>
      <c r="H15" s="105" t="str">
        <f>Calc!U15</f>
        <v>Automation Test Scripts</v>
      </c>
      <c r="I15" s="105">
        <f>Calc!V15</f>
        <v>0</v>
      </c>
      <c r="J15" s="105">
        <f>Calc!W15</f>
        <v>0</v>
      </c>
      <c r="K15" s="105">
        <f>Calc!X15</f>
        <v>0</v>
      </c>
      <c r="L15" s="105" t="str">
        <f>Calc!Y15</f>
        <v>Analysis/Documentation</v>
      </c>
      <c r="M15" s="36"/>
      <c r="N15" s="23">
        <f>Calc!V15</f>
        <v>0</v>
      </c>
      <c r="Z15" s="17"/>
    </row>
    <row r="16" spans="2:26" ht="20.100000000000001" customHeight="1" x14ac:dyDescent="0.3">
      <c r="B16" s="17"/>
      <c r="D16" s="22" t="str">
        <f>Calc!Q16</f>
        <v>Auditing/ObservePoint Setup</v>
      </c>
      <c r="E16" s="36"/>
      <c r="F16" s="23">
        <f>Calc!R16</f>
        <v>0</v>
      </c>
      <c r="H16" s="105" t="str">
        <f>Calc!U16</f>
        <v>Detailed Test Cases</v>
      </c>
      <c r="I16" s="105">
        <f>Calc!V16</f>
        <v>0</v>
      </c>
      <c r="J16" s="105">
        <f>Calc!W16</f>
        <v>0</v>
      </c>
      <c r="K16" s="105">
        <f>Calc!X16</f>
        <v>0</v>
      </c>
      <c r="L16" s="105" t="str">
        <f>Calc!Y16</f>
        <v>Quality Assurance</v>
      </c>
      <c r="M16" s="36"/>
      <c r="N16" s="23">
        <f>Calc!V16</f>
        <v>0</v>
      </c>
      <c r="Z16" s="17"/>
    </row>
    <row r="17" spans="2:26" ht="20.100000000000001" customHeight="1" x14ac:dyDescent="0.3">
      <c r="B17" s="17"/>
      <c r="D17" s="22" t="str">
        <f>Calc!Q17</f>
        <v>Quality Assurance - CR</v>
      </c>
      <c r="E17" s="36"/>
      <c r="F17" s="23">
        <f>Calc!R17</f>
        <v>0</v>
      </c>
      <c r="H17" s="105" t="str">
        <f>Calc!U17</f>
        <v>Analysis/Documentation</v>
      </c>
      <c r="I17" s="105">
        <f>Calc!V17</f>
        <v>0</v>
      </c>
      <c r="J17" s="105">
        <f>Calc!W17</f>
        <v>0</v>
      </c>
      <c r="K17" s="105">
        <f>Calc!X17</f>
        <v>0</v>
      </c>
      <c r="L17" s="105" t="str">
        <f>Calc!Y17</f>
        <v>Meetings</v>
      </c>
      <c r="M17" s="36"/>
      <c r="N17" s="23">
        <f>Calc!V17</f>
        <v>0</v>
      </c>
      <c r="Z17" s="17"/>
    </row>
    <row r="18" spans="2:26" ht="20.100000000000001" customHeight="1" x14ac:dyDescent="0.3">
      <c r="B18" s="17"/>
      <c r="D18" s="22" t="str">
        <f>Calc!Q18</f>
        <v>Others</v>
      </c>
      <c r="E18" s="36"/>
      <c r="F18" s="23">
        <f>Calc!R18</f>
        <v>0</v>
      </c>
      <c r="H18" s="105" t="str">
        <f>Calc!U18</f>
        <v>Quality Assurance</v>
      </c>
      <c r="I18" s="105">
        <f>Calc!V18</f>
        <v>0</v>
      </c>
      <c r="J18" s="105">
        <f>Calc!W18</f>
        <v>0</v>
      </c>
      <c r="K18" s="105">
        <f>Calc!X18</f>
        <v>0</v>
      </c>
      <c r="L18" s="105">
        <f>Calc!Y18</f>
        <v>0</v>
      </c>
      <c r="M18" s="36"/>
      <c r="N18" s="23">
        <f>Calc!V18</f>
        <v>0</v>
      </c>
      <c r="Z18" s="17"/>
    </row>
    <row r="19" spans="2:26" ht="20.100000000000001" customHeight="1" x14ac:dyDescent="0.3">
      <c r="B19" s="17"/>
      <c r="D19" s="22"/>
      <c r="E19" s="36"/>
      <c r="F19" s="23"/>
      <c r="H19" s="105" t="str">
        <f>Calc!U19</f>
        <v>Meetings</v>
      </c>
      <c r="I19" s="105">
        <f>Calc!V19</f>
        <v>0</v>
      </c>
      <c r="J19" s="105">
        <f>Calc!W19</f>
        <v>0</v>
      </c>
      <c r="K19" s="105">
        <f>Calc!X19</f>
        <v>0</v>
      </c>
      <c r="L19" s="105">
        <f>Calc!Y19</f>
        <v>0</v>
      </c>
      <c r="M19" s="36"/>
      <c r="N19" s="23">
        <f>Calc!V19</f>
        <v>0</v>
      </c>
      <c r="Z19" s="17"/>
    </row>
    <row r="20" spans="2:26" ht="20.100000000000001" customHeight="1" x14ac:dyDescent="0.3">
      <c r="B20" s="17"/>
      <c r="D20" s="22"/>
      <c r="E20" s="63"/>
      <c r="F20" s="23"/>
      <c r="H20" s="65"/>
      <c r="I20" s="65"/>
      <c r="J20" s="65"/>
      <c r="K20" s="65"/>
      <c r="L20" s="65"/>
      <c r="M20" s="36"/>
      <c r="N20" s="64"/>
      <c r="Z20" s="17"/>
    </row>
    <row r="21" spans="2:26" ht="10.5" customHeight="1" x14ac:dyDescent="0.3">
      <c r="B21" s="17"/>
      <c r="H21" s="21"/>
      <c r="Z21" s="17"/>
    </row>
    <row r="22" spans="2:26" ht="15" customHeight="1" x14ac:dyDescent="0.3">
      <c r="B22" s="17"/>
      <c r="D22" s="117" t="s">
        <v>59</v>
      </c>
      <c r="F22" s="106" t="s">
        <v>728</v>
      </c>
      <c r="G22" s="107"/>
      <c r="H22" s="107"/>
      <c r="I22" s="107"/>
      <c r="J22" s="107"/>
      <c r="K22" s="107"/>
      <c r="L22" s="107"/>
      <c r="M22" s="107"/>
      <c r="N22" s="107"/>
      <c r="O22" s="107"/>
      <c r="P22" s="107"/>
      <c r="Q22" s="107"/>
      <c r="R22" s="107"/>
      <c r="S22" s="107"/>
      <c r="T22" s="107"/>
      <c r="U22" s="107"/>
      <c r="V22" s="107"/>
      <c r="W22" s="107"/>
      <c r="X22" s="108"/>
      <c r="Z22" s="17"/>
    </row>
    <row r="23" spans="2:26" ht="15" customHeight="1" x14ac:dyDescent="0.3">
      <c r="B23" s="17"/>
      <c r="D23" s="117"/>
      <c r="F23" s="109"/>
      <c r="G23" s="110"/>
      <c r="H23" s="110"/>
      <c r="I23" s="110"/>
      <c r="J23" s="110"/>
      <c r="K23" s="110"/>
      <c r="L23" s="110"/>
      <c r="M23" s="110"/>
      <c r="N23" s="110"/>
      <c r="O23" s="110"/>
      <c r="P23" s="110"/>
      <c r="Q23" s="110"/>
      <c r="R23" s="110"/>
      <c r="S23" s="110"/>
      <c r="T23" s="110"/>
      <c r="U23" s="110"/>
      <c r="V23" s="110"/>
      <c r="W23" s="110"/>
      <c r="X23" s="111"/>
      <c r="Z23" s="17"/>
    </row>
    <row r="24" spans="2:26" ht="15" customHeight="1" x14ac:dyDescent="0.3">
      <c r="B24" s="17"/>
      <c r="D24" s="117"/>
      <c r="F24" s="109"/>
      <c r="G24" s="110"/>
      <c r="H24" s="110"/>
      <c r="I24" s="110"/>
      <c r="J24" s="110"/>
      <c r="K24" s="110"/>
      <c r="L24" s="110"/>
      <c r="M24" s="110"/>
      <c r="N24" s="110"/>
      <c r="O24" s="110"/>
      <c r="P24" s="110"/>
      <c r="Q24" s="110"/>
      <c r="R24" s="110"/>
      <c r="S24" s="110"/>
      <c r="T24" s="110"/>
      <c r="U24" s="110"/>
      <c r="V24" s="110"/>
      <c r="W24" s="110"/>
      <c r="X24" s="111"/>
      <c r="Z24" s="17"/>
    </row>
    <row r="25" spans="2:26" ht="15" customHeight="1" x14ac:dyDescent="0.3">
      <c r="B25" s="17"/>
      <c r="D25" s="117"/>
      <c r="F25" s="109"/>
      <c r="G25" s="110"/>
      <c r="H25" s="110"/>
      <c r="I25" s="110"/>
      <c r="J25" s="110"/>
      <c r="K25" s="110"/>
      <c r="L25" s="110"/>
      <c r="M25" s="110"/>
      <c r="N25" s="110"/>
      <c r="O25" s="110"/>
      <c r="P25" s="110"/>
      <c r="Q25" s="110"/>
      <c r="R25" s="110"/>
      <c r="S25" s="110"/>
      <c r="T25" s="110"/>
      <c r="U25" s="110"/>
      <c r="V25" s="110"/>
      <c r="W25" s="110"/>
      <c r="X25" s="111"/>
      <c r="Z25" s="17"/>
    </row>
    <row r="26" spans="2:26" ht="24" customHeight="1" x14ac:dyDescent="0.3">
      <c r="B26" s="17"/>
      <c r="D26" s="117"/>
      <c r="F26" s="112"/>
      <c r="G26" s="113"/>
      <c r="H26" s="113"/>
      <c r="I26" s="113"/>
      <c r="J26" s="113"/>
      <c r="K26" s="113"/>
      <c r="L26" s="113"/>
      <c r="M26" s="113"/>
      <c r="N26" s="113"/>
      <c r="O26" s="113"/>
      <c r="P26" s="113"/>
      <c r="Q26" s="113"/>
      <c r="R26" s="113"/>
      <c r="S26" s="113"/>
      <c r="T26" s="113"/>
      <c r="U26" s="113"/>
      <c r="V26" s="113"/>
      <c r="W26" s="113"/>
      <c r="X26" s="114"/>
      <c r="Z26" s="17"/>
    </row>
    <row r="27" spans="2:26" ht="14.55" customHeight="1" x14ac:dyDescent="0.3">
      <c r="B27" s="17"/>
      <c r="Z27" s="17"/>
    </row>
    <row r="28" spans="2:26" ht="5.25" customHeight="1" x14ac:dyDescent="0.3">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2:26" ht="23.25" customHeight="1" x14ac:dyDescent="0.3"/>
  </sheetData>
  <mergeCells count="18">
    <mergeCell ref="H13:L13"/>
    <mergeCell ref="D12:F12"/>
    <mergeCell ref="H12:N12"/>
    <mergeCell ref="H19:L19"/>
    <mergeCell ref="F22:X26"/>
    <mergeCell ref="D4:X6"/>
    <mergeCell ref="D22:D26"/>
    <mergeCell ref="F8:H8"/>
    <mergeCell ref="F10:G10"/>
    <mergeCell ref="J8:L8"/>
    <mergeCell ref="J10:K10"/>
    <mergeCell ref="N8:P8"/>
    <mergeCell ref="N10:O10"/>
    <mergeCell ref="H14:L14"/>
    <mergeCell ref="H15:L15"/>
    <mergeCell ref="H16:L16"/>
    <mergeCell ref="H17:L17"/>
    <mergeCell ref="H18:L18"/>
  </mergeCells>
  <conditionalFormatting sqref="H10">
    <cfRule type="cellIs" dxfId="8" priority="5" operator="greaterThan">
      <formula>0</formula>
    </cfRule>
    <cfRule type="cellIs" dxfId="7" priority="6" operator="lessThan">
      <formula>0</formula>
    </cfRule>
  </conditionalFormatting>
  <conditionalFormatting sqref="L10">
    <cfRule type="cellIs" dxfId="6" priority="3" operator="greaterThan">
      <formula>0</formula>
    </cfRule>
    <cfRule type="cellIs" dxfId="5" priority="4" operator="lessThan">
      <formula>0</formula>
    </cfRule>
  </conditionalFormatting>
  <conditionalFormatting sqref="P10">
    <cfRule type="cellIs" dxfId="4" priority="1" operator="greaterThan">
      <formula>0</formula>
    </cfRule>
    <cfRule type="cellIs" dxfId="3" priority="2" operator="lessThan">
      <formula>0</formula>
    </cfRule>
  </conditionalFormatting>
  <pageMargins left="0.7" right="0.7" top="0.75" bottom="0.75" header="0.3" footer="0.3"/>
  <pageSetup orientation="portrait" r:id="rId1"/>
  <customProperties>
    <customPr name="ORB_SHEETNAME" r:id="rId2"/>
    <customPr name="RB_CASE" r:id="rId3"/>
    <customPr name="RB_COMPANY" r:id="rId4"/>
    <customPr name="RB_DECIMAL_SEPARATOR" r:id="rId5"/>
    <customPr name="RB_PATH_SEPARATOR" r:id="rId6"/>
    <customPr name="RB_THOUSAND_SEPARATOR" r:id="rId7"/>
    <customPr name="RB_WORKBOOK_DATARECENCY_CURRENT" r:id="rId8"/>
    <customPr name="RB_WORKBOOK_VERSION" r:id="rId9"/>
  </customProperties>
  <drawing r:id="rId1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Calc!$D$4:$D$9</xm:f>
          </x14:formula1>
          <xm:sqref>D10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L612"/>
  <sheetViews>
    <sheetView zoomScale="80" zoomScaleNormal="80" workbookViewId="0">
      <pane ySplit="1" topLeftCell="A605" activePane="bottomLeft" state="frozen"/>
      <selection activeCell="E9" sqref="E9"/>
      <selection pane="bottomLeft"/>
    </sheetView>
  </sheetViews>
  <sheetFormatPr defaultRowHeight="14.4" x14ac:dyDescent="0.3"/>
  <cols>
    <col min="1" max="1" width="18.44140625" customWidth="1"/>
    <col min="2" max="2" width="13.5546875" bestFit="1" customWidth="1"/>
    <col min="3" max="3" width="27.21875" bestFit="1" customWidth="1"/>
    <col min="4" max="4" width="61.5546875" style="27" bestFit="1" customWidth="1"/>
    <col min="5" max="5" width="12.5546875" customWidth="1"/>
    <col min="6" max="6" width="9.44140625" bestFit="1" customWidth="1"/>
    <col min="7" max="7" width="10.77734375" style="2" bestFit="1" customWidth="1"/>
    <col min="8" max="8" width="19.21875" bestFit="1" customWidth="1"/>
    <col min="9" max="9" width="10.77734375" bestFit="1" customWidth="1"/>
    <col min="10" max="10" width="8.44140625" bestFit="1" customWidth="1"/>
    <col min="11" max="11" width="7.5546875" bestFit="1" customWidth="1"/>
    <col min="12" max="12" width="10.44140625" customWidth="1"/>
  </cols>
  <sheetData>
    <row r="1" spans="1:12" ht="43.2" x14ac:dyDescent="0.3">
      <c r="A1" s="1" t="s">
        <v>30</v>
      </c>
      <c r="B1" s="1" t="s">
        <v>0</v>
      </c>
      <c r="C1" s="1" t="s">
        <v>31</v>
      </c>
      <c r="D1" s="1" t="s">
        <v>1</v>
      </c>
      <c r="E1" s="1" t="s">
        <v>2</v>
      </c>
      <c r="F1" s="1" t="s">
        <v>3</v>
      </c>
      <c r="G1" s="1" t="s">
        <v>4</v>
      </c>
      <c r="H1" s="1" t="s">
        <v>5</v>
      </c>
      <c r="I1" s="1" t="s">
        <v>6</v>
      </c>
      <c r="J1" s="1" t="s">
        <v>7</v>
      </c>
      <c r="K1" s="1" t="s">
        <v>8</v>
      </c>
      <c r="L1" s="1" t="s">
        <v>9</v>
      </c>
    </row>
    <row r="2" spans="1:12" ht="24.6" hidden="1" x14ac:dyDescent="0.3">
      <c r="A2" s="28" t="s">
        <v>46</v>
      </c>
      <c r="B2" s="28" t="s">
        <v>33</v>
      </c>
      <c r="C2" s="29" t="s">
        <v>51</v>
      </c>
      <c r="D2" s="30" t="s">
        <v>91</v>
      </c>
      <c r="E2" s="28" t="s">
        <v>42</v>
      </c>
      <c r="F2" s="68" t="s">
        <v>10</v>
      </c>
      <c r="G2" s="31">
        <v>46020</v>
      </c>
      <c r="H2" s="28" t="s">
        <v>47</v>
      </c>
      <c r="I2" s="67">
        <v>0.29166666666666669</v>
      </c>
      <c r="J2" s="67">
        <v>0.5</v>
      </c>
      <c r="K2" s="67">
        <v>0.875</v>
      </c>
      <c r="L2" s="28">
        <v>420</v>
      </c>
    </row>
    <row r="3" spans="1:12" hidden="1" x14ac:dyDescent="0.3">
      <c r="A3" s="28" t="s">
        <v>46</v>
      </c>
      <c r="B3" s="28" t="s">
        <v>33</v>
      </c>
      <c r="C3" s="29" t="s">
        <v>56</v>
      </c>
      <c r="D3" s="30" t="s">
        <v>89</v>
      </c>
      <c r="E3" s="28" t="s">
        <v>42</v>
      </c>
      <c r="F3" s="68" t="s">
        <v>10</v>
      </c>
      <c r="G3" s="31">
        <v>46021</v>
      </c>
      <c r="H3" s="28" t="s">
        <v>47</v>
      </c>
      <c r="I3" s="67">
        <v>1.0416666666666666E-2</v>
      </c>
      <c r="J3" s="67">
        <v>0.63541666666666663</v>
      </c>
      <c r="K3" s="67">
        <v>0.64583333333333337</v>
      </c>
      <c r="L3" s="28">
        <v>15</v>
      </c>
    </row>
    <row r="4" spans="1:12" ht="24.6" hidden="1" x14ac:dyDescent="0.3">
      <c r="A4" s="28" t="s">
        <v>46</v>
      </c>
      <c r="B4" s="28" t="s">
        <v>33</v>
      </c>
      <c r="C4" s="29" t="s">
        <v>51</v>
      </c>
      <c r="D4" s="30" t="s">
        <v>91</v>
      </c>
      <c r="E4" s="28" t="s">
        <v>42</v>
      </c>
      <c r="F4" s="68" t="s">
        <v>10</v>
      </c>
      <c r="G4" s="31">
        <v>46021</v>
      </c>
      <c r="H4" s="28" t="s">
        <v>47</v>
      </c>
      <c r="I4" s="67">
        <v>0.29166666666666669</v>
      </c>
      <c r="J4" s="67">
        <v>0.5</v>
      </c>
      <c r="K4" s="67">
        <v>0.875</v>
      </c>
      <c r="L4" s="28">
        <v>420</v>
      </c>
    </row>
    <row r="5" spans="1:12" ht="24.6" hidden="1" x14ac:dyDescent="0.3">
      <c r="A5" s="28" t="s">
        <v>46</v>
      </c>
      <c r="B5" s="28" t="s">
        <v>33</v>
      </c>
      <c r="C5" s="29" t="s">
        <v>51</v>
      </c>
      <c r="D5" s="30" t="s">
        <v>91</v>
      </c>
      <c r="E5" s="28" t="s">
        <v>42</v>
      </c>
      <c r="F5" s="68" t="s">
        <v>10</v>
      </c>
      <c r="G5" s="31">
        <v>46022</v>
      </c>
      <c r="H5" s="28" t="s">
        <v>47</v>
      </c>
      <c r="I5" s="67">
        <v>0.29166666666666669</v>
      </c>
      <c r="J5" s="67">
        <v>0.5</v>
      </c>
      <c r="K5" s="67">
        <v>0.875</v>
      </c>
      <c r="L5" s="28">
        <v>420</v>
      </c>
    </row>
    <row r="6" spans="1:12" ht="24.6" hidden="1" x14ac:dyDescent="0.3">
      <c r="A6" s="28" t="s">
        <v>46</v>
      </c>
      <c r="B6" s="28" t="s">
        <v>33</v>
      </c>
      <c r="C6" s="29" t="s">
        <v>51</v>
      </c>
      <c r="D6" s="30" t="s">
        <v>91</v>
      </c>
      <c r="E6" s="28" t="s">
        <v>42</v>
      </c>
      <c r="F6" s="69" t="s">
        <v>45</v>
      </c>
      <c r="G6" s="31">
        <v>46024</v>
      </c>
      <c r="H6" s="28" t="s">
        <v>47</v>
      </c>
      <c r="I6" s="67">
        <v>0.29166666666666669</v>
      </c>
      <c r="J6" s="67">
        <v>0.5</v>
      </c>
      <c r="K6" s="67">
        <v>0.875</v>
      </c>
      <c r="L6" s="28">
        <v>420</v>
      </c>
    </row>
    <row r="7" spans="1:12" ht="24.6" hidden="1" x14ac:dyDescent="0.3">
      <c r="A7" s="76" t="s">
        <v>60</v>
      </c>
      <c r="B7" s="76" t="s">
        <v>33</v>
      </c>
      <c r="C7" s="76" t="s">
        <v>64</v>
      </c>
      <c r="D7" s="80" t="s">
        <v>76</v>
      </c>
      <c r="E7" s="76" t="s">
        <v>42</v>
      </c>
      <c r="F7" s="68" t="s">
        <v>10</v>
      </c>
      <c r="G7" s="77">
        <v>46020</v>
      </c>
      <c r="H7" s="76" t="s">
        <v>69</v>
      </c>
      <c r="I7" s="78">
        <v>0.29166666666666669</v>
      </c>
      <c r="J7" s="78">
        <v>0.5</v>
      </c>
      <c r="K7" s="78">
        <v>0.83333333333333337</v>
      </c>
      <c r="L7" s="76">
        <v>420</v>
      </c>
    </row>
    <row r="8" spans="1:12" hidden="1" x14ac:dyDescent="0.3">
      <c r="A8" s="76" t="s">
        <v>60</v>
      </c>
      <c r="B8" s="76" t="s">
        <v>33</v>
      </c>
      <c r="C8" s="76" t="s">
        <v>65</v>
      </c>
      <c r="D8" s="76" t="s">
        <v>90</v>
      </c>
      <c r="E8" s="76" t="s">
        <v>42</v>
      </c>
      <c r="F8" s="68" t="s">
        <v>10</v>
      </c>
      <c r="G8" s="77">
        <v>46021</v>
      </c>
      <c r="H8" s="76" t="s">
        <v>69</v>
      </c>
      <c r="I8" s="78">
        <v>1.0416666666666666E-2</v>
      </c>
      <c r="J8" s="78">
        <v>0.63541666666666663</v>
      </c>
      <c r="K8" s="78">
        <v>0.64583333333333337</v>
      </c>
      <c r="L8" s="76">
        <v>15</v>
      </c>
    </row>
    <row r="9" spans="1:12" ht="36.6" hidden="1" x14ac:dyDescent="0.3">
      <c r="A9" s="76" t="s">
        <v>60</v>
      </c>
      <c r="B9" s="76" t="s">
        <v>33</v>
      </c>
      <c r="C9" s="76" t="s">
        <v>64</v>
      </c>
      <c r="D9" s="80" t="s">
        <v>77</v>
      </c>
      <c r="E9" s="76" t="s">
        <v>42</v>
      </c>
      <c r="F9" s="69" t="s">
        <v>45</v>
      </c>
      <c r="G9" s="77">
        <v>46021</v>
      </c>
      <c r="H9" s="76" t="s">
        <v>69</v>
      </c>
      <c r="I9" s="78">
        <v>0.29166666666666669</v>
      </c>
      <c r="J9" s="78">
        <v>0.51041666666666663</v>
      </c>
      <c r="K9" s="78">
        <v>0.80208333333333337</v>
      </c>
      <c r="L9" s="76">
        <v>420</v>
      </c>
    </row>
    <row r="10" spans="1:12" ht="24.6" hidden="1" x14ac:dyDescent="0.3">
      <c r="A10" s="76" t="s">
        <v>60</v>
      </c>
      <c r="B10" s="76" t="s">
        <v>33</v>
      </c>
      <c r="C10" s="76" t="s">
        <v>64</v>
      </c>
      <c r="D10" s="80" t="s">
        <v>78</v>
      </c>
      <c r="E10" s="76" t="s">
        <v>42</v>
      </c>
      <c r="F10" s="68" t="s">
        <v>10</v>
      </c>
      <c r="G10" s="77">
        <v>46022</v>
      </c>
      <c r="H10" s="76" t="s">
        <v>69</v>
      </c>
      <c r="I10" s="78">
        <v>0.33333333333333331</v>
      </c>
      <c r="J10" s="78">
        <v>0.5</v>
      </c>
      <c r="K10" s="78">
        <v>0.875</v>
      </c>
      <c r="L10" s="76">
        <v>480</v>
      </c>
    </row>
    <row r="11" spans="1:12" ht="36.6" hidden="1" x14ac:dyDescent="0.3">
      <c r="A11" s="76" t="s">
        <v>60</v>
      </c>
      <c r="B11" s="76" t="s">
        <v>33</v>
      </c>
      <c r="C11" s="76" t="s">
        <v>64</v>
      </c>
      <c r="D11" s="80" t="s">
        <v>79</v>
      </c>
      <c r="E11" s="76" t="s">
        <v>42</v>
      </c>
      <c r="F11" s="69" t="s">
        <v>45</v>
      </c>
      <c r="G11" s="77">
        <v>46024</v>
      </c>
      <c r="H11" s="76" t="s">
        <v>69</v>
      </c>
      <c r="I11" s="78">
        <v>0.29166666666666669</v>
      </c>
      <c r="J11" s="78">
        <v>0.5</v>
      </c>
      <c r="K11" s="78">
        <v>0.83333333333333337</v>
      </c>
      <c r="L11" s="76">
        <v>420</v>
      </c>
    </row>
    <row r="12" spans="1:12" ht="24.6" hidden="1" x14ac:dyDescent="0.3">
      <c r="A12" s="76" t="s">
        <v>60</v>
      </c>
      <c r="B12" s="76" t="s">
        <v>33</v>
      </c>
      <c r="C12" s="76" t="s">
        <v>64</v>
      </c>
      <c r="D12" s="80" t="s">
        <v>98</v>
      </c>
      <c r="E12" s="76" t="s">
        <v>42</v>
      </c>
      <c r="F12" s="68" t="s">
        <v>10</v>
      </c>
      <c r="G12" s="77">
        <v>46027</v>
      </c>
      <c r="H12" s="76" t="s">
        <v>69</v>
      </c>
      <c r="I12" s="78">
        <v>0.29166666666666669</v>
      </c>
      <c r="J12" s="78">
        <v>0.5</v>
      </c>
      <c r="K12" s="78">
        <v>0.83333333333333337</v>
      </c>
      <c r="L12" s="76">
        <v>420</v>
      </c>
    </row>
    <row r="13" spans="1:12" hidden="1" x14ac:dyDescent="0.3">
      <c r="A13" s="76" t="s">
        <v>60</v>
      </c>
      <c r="B13" s="76" t="s">
        <v>33</v>
      </c>
      <c r="C13" s="76" t="s">
        <v>65</v>
      </c>
      <c r="D13" s="76" t="s">
        <v>94</v>
      </c>
      <c r="E13" s="76" t="s">
        <v>42</v>
      </c>
      <c r="F13" s="68" t="s">
        <v>10</v>
      </c>
      <c r="G13" s="77">
        <v>46028</v>
      </c>
      <c r="H13" s="76" t="s">
        <v>69</v>
      </c>
      <c r="I13" s="78">
        <v>0.29166666666666669</v>
      </c>
      <c r="J13" s="78">
        <v>0.64583333333333337</v>
      </c>
      <c r="K13" s="78">
        <v>0.9375</v>
      </c>
      <c r="L13" s="76">
        <v>420</v>
      </c>
    </row>
    <row r="14" spans="1:12" ht="24.6" hidden="1" x14ac:dyDescent="0.3">
      <c r="A14" s="76" t="s">
        <v>60</v>
      </c>
      <c r="B14" s="76" t="s">
        <v>33</v>
      </c>
      <c r="C14" s="76" t="s">
        <v>64</v>
      </c>
      <c r="D14" s="80" t="s">
        <v>99</v>
      </c>
      <c r="E14" s="76" t="s">
        <v>42</v>
      </c>
      <c r="F14" s="69" t="s">
        <v>45</v>
      </c>
      <c r="G14" s="77">
        <v>46028</v>
      </c>
      <c r="H14" s="76" t="s">
        <v>69</v>
      </c>
      <c r="I14" s="78">
        <v>8.3333333333333329E-2</v>
      </c>
      <c r="J14" s="78">
        <v>0.51041666666666663</v>
      </c>
      <c r="K14" s="78">
        <v>0.59375</v>
      </c>
      <c r="L14" s="76">
        <v>120</v>
      </c>
    </row>
    <row r="15" spans="1:12" hidden="1" x14ac:dyDescent="0.3">
      <c r="A15" s="76" t="s">
        <v>60</v>
      </c>
      <c r="B15" s="76" t="s">
        <v>33</v>
      </c>
      <c r="C15" s="76" t="s">
        <v>65</v>
      </c>
      <c r="D15" s="80" t="s">
        <v>95</v>
      </c>
      <c r="E15" s="76" t="s">
        <v>42</v>
      </c>
      <c r="F15" s="68" t="s">
        <v>10</v>
      </c>
      <c r="G15" s="77">
        <v>46029</v>
      </c>
      <c r="H15" s="76" t="s">
        <v>69</v>
      </c>
      <c r="I15" s="78">
        <v>6.25E-2</v>
      </c>
      <c r="J15" s="78">
        <v>0.60416666666666663</v>
      </c>
      <c r="K15" s="78">
        <v>0.66666666666666663</v>
      </c>
      <c r="L15" s="76">
        <v>90</v>
      </c>
    </row>
    <row r="16" spans="1:12" hidden="1" x14ac:dyDescent="0.3">
      <c r="A16" s="76" t="s">
        <v>60</v>
      </c>
      <c r="B16" s="76" t="s">
        <v>33</v>
      </c>
      <c r="C16" s="76" t="s">
        <v>65</v>
      </c>
      <c r="D16" s="80" t="s">
        <v>96</v>
      </c>
      <c r="E16" s="76" t="s">
        <v>42</v>
      </c>
      <c r="F16" s="68" t="s">
        <v>10</v>
      </c>
      <c r="G16" s="77">
        <v>46029</v>
      </c>
      <c r="H16" s="76" t="s">
        <v>69</v>
      </c>
      <c r="I16" s="78">
        <v>0.14583333333333334</v>
      </c>
      <c r="J16" s="78">
        <v>0.66666666666666663</v>
      </c>
      <c r="K16" s="78">
        <v>0.8125</v>
      </c>
      <c r="L16" s="76">
        <v>210</v>
      </c>
    </row>
    <row r="17" spans="1:12" ht="24.6" hidden="1" x14ac:dyDescent="0.3">
      <c r="A17" s="76" t="s">
        <v>60</v>
      </c>
      <c r="B17" s="76" t="s">
        <v>33</v>
      </c>
      <c r="C17" s="76" t="s">
        <v>64</v>
      </c>
      <c r="D17" s="80" t="s">
        <v>100</v>
      </c>
      <c r="E17" s="76" t="s">
        <v>42</v>
      </c>
      <c r="F17" s="68" t="s">
        <v>10</v>
      </c>
      <c r="G17" s="77">
        <v>46029</v>
      </c>
      <c r="H17" s="76" t="s">
        <v>69</v>
      </c>
      <c r="I17" s="78">
        <v>0.16666666666666666</v>
      </c>
      <c r="J17" s="78">
        <v>0.8125</v>
      </c>
      <c r="K17" s="78">
        <v>0.875</v>
      </c>
      <c r="L17" s="76">
        <v>240</v>
      </c>
    </row>
    <row r="18" spans="1:12" ht="24.6" hidden="1" x14ac:dyDescent="0.3">
      <c r="A18" s="76" t="s">
        <v>60</v>
      </c>
      <c r="B18" s="76" t="s">
        <v>33</v>
      </c>
      <c r="C18" s="76" t="s">
        <v>65</v>
      </c>
      <c r="D18" s="80" t="s">
        <v>97</v>
      </c>
      <c r="E18" s="76" t="s">
        <v>42</v>
      </c>
      <c r="F18" s="68" t="s">
        <v>10</v>
      </c>
      <c r="G18" s="77">
        <v>46030</v>
      </c>
      <c r="H18" s="76" t="s">
        <v>69</v>
      </c>
      <c r="I18" s="78">
        <v>6.25E-2</v>
      </c>
      <c r="J18" s="78">
        <v>0.61458333333333337</v>
      </c>
      <c r="K18" s="78">
        <v>0.67708333333333337</v>
      </c>
      <c r="L18" s="76">
        <v>90</v>
      </c>
    </row>
    <row r="19" spans="1:12" ht="24.6" hidden="1" x14ac:dyDescent="0.3">
      <c r="A19" s="76" t="s">
        <v>60</v>
      </c>
      <c r="B19" s="76" t="s">
        <v>33</v>
      </c>
      <c r="C19" s="76" t="s">
        <v>64</v>
      </c>
      <c r="D19" s="80" t="s">
        <v>101</v>
      </c>
      <c r="E19" s="76" t="s">
        <v>42</v>
      </c>
      <c r="F19" s="68" t="s">
        <v>10</v>
      </c>
      <c r="G19" s="77">
        <v>46030</v>
      </c>
      <c r="H19" s="76" t="s">
        <v>69</v>
      </c>
      <c r="I19" s="78">
        <v>0.29166666666666669</v>
      </c>
      <c r="J19" s="78">
        <v>0.5</v>
      </c>
      <c r="K19" s="78">
        <v>0.875</v>
      </c>
      <c r="L19" s="76">
        <v>420</v>
      </c>
    </row>
    <row r="20" spans="1:12" ht="24.6" hidden="1" x14ac:dyDescent="0.3">
      <c r="A20" s="76" t="s">
        <v>60</v>
      </c>
      <c r="B20" s="76" t="s">
        <v>33</v>
      </c>
      <c r="C20" s="76" t="s">
        <v>64</v>
      </c>
      <c r="D20" s="80" t="s">
        <v>102</v>
      </c>
      <c r="E20" s="76" t="s">
        <v>42</v>
      </c>
      <c r="F20" s="69" t="s">
        <v>45</v>
      </c>
      <c r="G20" s="77">
        <v>46031</v>
      </c>
      <c r="H20" s="76" t="s">
        <v>69</v>
      </c>
      <c r="I20" s="78">
        <v>0.29166666666666669</v>
      </c>
      <c r="J20" s="78">
        <v>0.5</v>
      </c>
      <c r="K20" s="78">
        <v>0.83333333333333337</v>
      </c>
      <c r="L20" s="76">
        <v>420</v>
      </c>
    </row>
    <row r="21" spans="1:12" hidden="1" x14ac:dyDescent="0.3">
      <c r="A21" s="28" t="s">
        <v>46</v>
      </c>
      <c r="B21" s="28" t="s">
        <v>33</v>
      </c>
      <c r="C21" s="29" t="s">
        <v>57</v>
      </c>
      <c r="D21" s="30" t="s">
        <v>113</v>
      </c>
      <c r="E21" s="28" t="s">
        <v>42</v>
      </c>
      <c r="F21" s="68" t="s">
        <v>10</v>
      </c>
      <c r="G21" s="31">
        <v>46027</v>
      </c>
      <c r="H21" s="28" t="s">
        <v>47</v>
      </c>
      <c r="I21" s="67">
        <v>0.25</v>
      </c>
      <c r="J21" s="67">
        <v>0.5</v>
      </c>
      <c r="K21" s="67">
        <v>0.875</v>
      </c>
      <c r="L21" s="28">
        <v>360</v>
      </c>
    </row>
    <row r="22" spans="1:12" hidden="1" x14ac:dyDescent="0.3">
      <c r="A22" s="28" t="s">
        <v>46</v>
      </c>
      <c r="B22" s="28" t="s">
        <v>33</v>
      </c>
      <c r="C22" s="29" t="s">
        <v>56</v>
      </c>
      <c r="D22" s="30" t="s">
        <v>109</v>
      </c>
      <c r="E22" s="28" t="s">
        <v>42</v>
      </c>
      <c r="F22" s="68" t="s">
        <v>10</v>
      </c>
      <c r="G22" s="31">
        <v>46028</v>
      </c>
      <c r="H22" s="28" t="s">
        <v>47</v>
      </c>
      <c r="I22" s="67">
        <v>0.29166666666666669</v>
      </c>
      <c r="J22" s="67">
        <v>0.64583333333333337</v>
      </c>
      <c r="K22" s="67">
        <v>0.875</v>
      </c>
      <c r="L22" s="28">
        <v>420</v>
      </c>
    </row>
    <row r="23" spans="1:12" hidden="1" x14ac:dyDescent="0.3">
      <c r="A23" s="28" t="s">
        <v>46</v>
      </c>
      <c r="B23" s="28" t="s">
        <v>33</v>
      </c>
      <c r="C23" s="29" t="s">
        <v>56</v>
      </c>
      <c r="D23" s="30" t="s">
        <v>110</v>
      </c>
      <c r="E23" s="28" t="s">
        <v>42</v>
      </c>
      <c r="F23" s="68" t="s">
        <v>10</v>
      </c>
      <c r="G23" s="31">
        <v>46029</v>
      </c>
      <c r="H23" s="28" t="s">
        <v>47</v>
      </c>
      <c r="I23" s="67">
        <v>0.29166666666666669</v>
      </c>
      <c r="J23" s="67">
        <v>0.60416666666666663</v>
      </c>
      <c r="K23" s="67">
        <v>0.83333333333333337</v>
      </c>
      <c r="L23" s="28">
        <v>420</v>
      </c>
    </row>
    <row r="24" spans="1:12" hidden="1" x14ac:dyDescent="0.3">
      <c r="A24" s="28" t="s">
        <v>46</v>
      </c>
      <c r="B24" s="28" t="s">
        <v>33</v>
      </c>
      <c r="C24" s="29" t="s">
        <v>56</v>
      </c>
      <c r="D24" s="30" t="s">
        <v>111</v>
      </c>
      <c r="E24" s="28" t="s">
        <v>42</v>
      </c>
      <c r="F24" s="68" t="s">
        <v>10</v>
      </c>
      <c r="G24" s="31">
        <v>46030</v>
      </c>
      <c r="H24" s="28" t="s">
        <v>47</v>
      </c>
      <c r="I24" s="67">
        <v>0.25</v>
      </c>
      <c r="J24" s="67">
        <v>0.60416666666666663</v>
      </c>
      <c r="K24" s="67">
        <v>0.83333333333333337</v>
      </c>
      <c r="L24" s="28">
        <v>360</v>
      </c>
    </row>
    <row r="25" spans="1:12" hidden="1" x14ac:dyDescent="0.3">
      <c r="A25" s="28" t="s">
        <v>46</v>
      </c>
      <c r="B25" s="28" t="s">
        <v>33</v>
      </c>
      <c r="C25" s="29" t="s">
        <v>56</v>
      </c>
      <c r="D25" s="30" t="s">
        <v>112</v>
      </c>
      <c r="E25" s="28" t="s">
        <v>42</v>
      </c>
      <c r="F25" s="68" t="s">
        <v>10</v>
      </c>
      <c r="G25" s="31">
        <v>46031</v>
      </c>
      <c r="H25" s="28" t="s">
        <v>47</v>
      </c>
      <c r="I25" s="67">
        <v>2.0833333333333332E-2</v>
      </c>
      <c r="J25" s="67">
        <v>0.6875</v>
      </c>
      <c r="K25" s="67">
        <v>0.70833333333333337</v>
      </c>
      <c r="L25" s="28">
        <v>30</v>
      </c>
    </row>
    <row r="26" spans="1:12" hidden="1" x14ac:dyDescent="0.3">
      <c r="A26" s="28" t="s">
        <v>46</v>
      </c>
      <c r="B26" s="28" t="s">
        <v>33</v>
      </c>
      <c r="C26" s="29" t="s">
        <v>51</v>
      </c>
      <c r="D26" s="30" t="s">
        <v>117</v>
      </c>
      <c r="E26" s="28" t="s">
        <v>42</v>
      </c>
      <c r="F26" s="68" t="s">
        <v>10</v>
      </c>
      <c r="G26" s="31">
        <v>46031</v>
      </c>
      <c r="H26" s="28" t="s">
        <v>47</v>
      </c>
      <c r="I26" s="67">
        <v>0.3125</v>
      </c>
      <c r="J26" s="67">
        <v>0.52083333333333337</v>
      </c>
      <c r="K26" s="67">
        <v>0.875</v>
      </c>
      <c r="L26" s="28">
        <v>450</v>
      </c>
    </row>
    <row r="27" spans="1:12" ht="36.6" hidden="1" x14ac:dyDescent="0.3">
      <c r="A27" s="76" t="s">
        <v>60</v>
      </c>
      <c r="B27" s="76" t="s">
        <v>33</v>
      </c>
      <c r="C27" s="76" t="s">
        <v>64</v>
      </c>
      <c r="D27" s="80" t="s">
        <v>118</v>
      </c>
      <c r="E27" s="76" t="s">
        <v>42</v>
      </c>
      <c r="F27" s="68" t="s">
        <v>10</v>
      </c>
      <c r="G27" s="77">
        <v>46038</v>
      </c>
      <c r="H27" s="76" t="s">
        <v>69</v>
      </c>
      <c r="I27" s="78">
        <v>0.29166666666666669</v>
      </c>
      <c r="J27" s="78">
        <v>0.5</v>
      </c>
      <c r="K27" s="78">
        <v>0.83333333333333337</v>
      </c>
      <c r="L27" s="76">
        <v>420</v>
      </c>
    </row>
    <row r="28" spans="1:12" hidden="1" x14ac:dyDescent="0.3">
      <c r="A28" s="28" t="s">
        <v>46</v>
      </c>
      <c r="B28" s="28" t="s">
        <v>33</v>
      </c>
      <c r="C28" s="29" t="s">
        <v>51</v>
      </c>
      <c r="D28" s="30" t="s">
        <v>125</v>
      </c>
      <c r="E28" s="28" t="s">
        <v>42</v>
      </c>
      <c r="F28" s="69" t="s">
        <v>45</v>
      </c>
      <c r="G28" s="31">
        <v>46034</v>
      </c>
      <c r="H28" s="28" t="s">
        <v>47</v>
      </c>
      <c r="I28" s="67">
        <v>0.29166666666666669</v>
      </c>
      <c r="J28" s="67">
        <v>0.52083333333333337</v>
      </c>
      <c r="K28" s="67">
        <v>0.875</v>
      </c>
      <c r="L28" s="28">
        <v>420</v>
      </c>
    </row>
    <row r="29" spans="1:12" hidden="1" x14ac:dyDescent="0.3">
      <c r="A29" s="28" t="s">
        <v>46</v>
      </c>
      <c r="B29" s="28" t="s">
        <v>33</v>
      </c>
      <c r="C29" s="29" t="s">
        <v>51</v>
      </c>
      <c r="D29" s="30" t="s">
        <v>125</v>
      </c>
      <c r="E29" s="28" t="s">
        <v>42</v>
      </c>
      <c r="F29" s="69" t="s">
        <v>45</v>
      </c>
      <c r="G29" s="31">
        <v>46035</v>
      </c>
      <c r="H29" s="28" t="s">
        <v>47</v>
      </c>
      <c r="I29" s="67">
        <v>0.29166666666666669</v>
      </c>
      <c r="J29" s="67">
        <v>0.52083333333333337</v>
      </c>
      <c r="K29" s="67">
        <v>0.875</v>
      </c>
      <c r="L29" s="28">
        <v>420</v>
      </c>
    </row>
    <row r="30" spans="1:12" hidden="1" x14ac:dyDescent="0.3">
      <c r="A30" s="28" t="s">
        <v>46</v>
      </c>
      <c r="B30" s="28" t="s">
        <v>33</v>
      </c>
      <c r="C30" s="29" t="s">
        <v>56</v>
      </c>
      <c r="D30" s="30" t="s">
        <v>121</v>
      </c>
      <c r="E30" s="28" t="s">
        <v>123</v>
      </c>
      <c r="F30" s="68" t="s">
        <v>10</v>
      </c>
      <c r="G30" s="31">
        <v>46035</v>
      </c>
      <c r="H30" s="28" t="s">
        <v>47</v>
      </c>
      <c r="I30" s="67">
        <v>4.1666666666666664E-2</v>
      </c>
      <c r="J30" s="67">
        <v>0.70833333333333337</v>
      </c>
      <c r="K30" s="67">
        <v>0.75</v>
      </c>
      <c r="L30" s="28">
        <v>60</v>
      </c>
    </row>
    <row r="31" spans="1:12" hidden="1" x14ac:dyDescent="0.3">
      <c r="A31" s="28" t="s">
        <v>46</v>
      </c>
      <c r="B31" s="28" t="s">
        <v>33</v>
      </c>
      <c r="C31" s="29" t="s">
        <v>56</v>
      </c>
      <c r="D31" s="30" t="s">
        <v>122</v>
      </c>
      <c r="E31" s="28" t="s">
        <v>124</v>
      </c>
      <c r="F31" s="68" t="s">
        <v>10</v>
      </c>
      <c r="G31" s="31">
        <v>46036</v>
      </c>
      <c r="H31" s="28" t="s">
        <v>47</v>
      </c>
      <c r="I31" s="67">
        <v>2.0833333333333332E-2</v>
      </c>
      <c r="J31" s="67">
        <v>0.70833333333333337</v>
      </c>
      <c r="K31" s="67">
        <v>0.72916666666666663</v>
      </c>
      <c r="L31" s="28">
        <v>30</v>
      </c>
    </row>
    <row r="32" spans="1:12" hidden="1" x14ac:dyDescent="0.3">
      <c r="A32" s="28" t="s">
        <v>46</v>
      </c>
      <c r="B32" s="28" t="s">
        <v>33</v>
      </c>
      <c r="C32" s="29" t="s">
        <v>51</v>
      </c>
      <c r="D32" s="30" t="s">
        <v>125</v>
      </c>
      <c r="E32" s="28" t="s">
        <v>42</v>
      </c>
      <c r="F32" s="69" t="s">
        <v>45</v>
      </c>
      <c r="G32" s="31">
        <v>46036</v>
      </c>
      <c r="H32" s="28" t="s">
        <v>47</v>
      </c>
      <c r="I32" s="67">
        <v>0.29166666666666669</v>
      </c>
      <c r="J32" s="67">
        <v>0.52083333333333337</v>
      </c>
      <c r="K32" s="67">
        <v>0.875</v>
      </c>
      <c r="L32" s="28">
        <v>420</v>
      </c>
    </row>
    <row r="33" spans="1:12" hidden="1" x14ac:dyDescent="0.3">
      <c r="A33" s="28" t="s">
        <v>46</v>
      </c>
      <c r="B33" s="28" t="s">
        <v>33</v>
      </c>
      <c r="C33" s="29" t="s">
        <v>51</v>
      </c>
      <c r="D33" s="30" t="s">
        <v>125</v>
      </c>
      <c r="E33" s="28" t="s">
        <v>42</v>
      </c>
      <c r="F33" s="69" t="s">
        <v>45</v>
      </c>
      <c r="G33" s="31">
        <v>46038</v>
      </c>
      <c r="H33" s="28" t="s">
        <v>47</v>
      </c>
      <c r="I33" s="67">
        <v>0.3125</v>
      </c>
      <c r="J33" s="67">
        <v>0.52083333333333337</v>
      </c>
      <c r="K33" s="67">
        <v>0.875</v>
      </c>
      <c r="L33" s="28">
        <v>420</v>
      </c>
    </row>
    <row r="34" spans="1:12" ht="24.6" hidden="1" x14ac:dyDescent="0.3">
      <c r="A34" s="76" t="s">
        <v>60</v>
      </c>
      <c r="B34" s="76" t="s">
        <v>33</v>
      </c>
      <c r="C34" s="76" t="s">
        <v>64</v>
      </c>
      <c r="D34" s="80" t="s">
        <v>132</v>
      </c>
      <c r="E34" s="76" t="s">
        <v>42</v>
      </c>
      <c r="F34" s="69" t="s">
        <v>45</v>
      </c>
      <c r="G34" s="77">
        <v>46041</v>
      </c>
      <c r="H34" s="76" t="s">
        <v>69</v>
      </c>
      <c r="I34" s="78">
        <v>0.27083333333333331</v>
      </c>
      <c r="J34" s="78">
        <v>0.5</v>
      </c>
      <c r="K34" s="78">
        <v>0.83333333333333337</v>
      </c>
      <c r="L34" s="76">
        <v>390</v>
      </c>
    </row>
    <row r="35" spans="1:12" hidden="1" x14ac:dyDescent="0.3">
      <c r="A35" s="76" t="s">
        <v>60</v>
      </c>
      <c r="B35" s="76" t="s">
        <v>33</v>
      </c>
      <c r="C35" s="76" t="s">
        <v>65</v>
      </c>
      <c r="D35" s="76" t="s">
        <v>128</v>
      </c>
      <c r="E35" s="76" t="s">
        <v>42</v>
      </c>
      <c r="F35" s="68" t="s">
        <v>10</v>
      </c>
      <c r="G35" s="77">
        <v>46041</v>
      </c>
      <c r="H35" s="76" t="s">
        <v>69</v>
      </c>
      <c r="I35" s="78">
        <v>2.0833333333333332E-2</v>
      </c>
      <c r="J35" s="78">
        <v>0.6875</v>
      </c>
      <c r="K35" s="78">
        <v>0.70833333333333337</v>
      </c>
      <c r="L35" s="76">
        <v>30</v>
      </c>
    </row>
    <row r="36" spans="1:12" hidden="1" x14ac:dyDescent="0.3">
      <c r="A36" s="76" t="s">
        <v>60</v>
      </c>
      <c r="B36" s="76" t="s">
        <v>33</v>
      </c>
      <c r="C36" s="76" t="s">
        <v>65</v>
      </c>
      <c r="D36" s="76" t="s">
        <v>129</v>
      </c>
      <c r="E36" s="76" t="s">
        <v>42</v>
      </c>
      <c r="F36" s="68" t="s">
        <v>10</v>
      </c>
      <c r="G36" s="77">
        <v>46041</v>
      </c>
      <c r="H36" s="76" t="s">
        <v>69</v>
      </c>
      <c r="I36" s="78">
        <v>2.0833333333333332E-2</v>
      </c>
      <c r="J36" s="78">
        <v>0.8125</v>
      </c>
      <c r="K36" s="78">
        <v>0.83333333333333337</v>
      </c>
      <c r="L36" s="76">
        <v>30</v>
      </c>
    </row>
    <row r="37" spans="1:12" ht="24.6" hidden="1" x14ac:dyDescent="0.3">
      <c r="A37" s="76" t="s">
        <v>60</v>
      </c>
      <c r="B37" s="76" t="s">
        <v>33</v>
      </c>
      <c r="C37" s="76" t="s">
        <v>64</v>
      </c>
      <c r="D37" s="80" t="s">
        <v>131</v>
      </c>
      <c r="E37" s="76" t="s">
        <v>42</v>
      </c>
      <c r="F37" s="68" t="s">
        <v>10</v>
      </c>
      <c r="G37" s="77">
        <v>46042</v>
      </c>
      <c r="H37" s="76" t="s">
        <v>69</v>
      </c>
      <c r="I37" s="78">
        <v>0.29166666666666669</v>
      </c>
      <c r="J37" s="78">
        <v>0.51041666666666663</v>
      </c>
      <c r="K37" s="78">
        <v>0.84375</v>
      </c>
      <c r="L37" s="76">
        <v>420</v>
      </c>
    </row>
    <row r="38" spans="1:12" hidden="1" x14ac:dyDescent="0.3">
      <c r="A38" s="76" t="s">
        <v>60</v>
      </c>
      <c r="B38" s="76" t="s">
        <v>33</v>
      </c>
      <c r="C38" s="76" t="s">
        <v>65</v>
      </c>
      <c r="D38" s="80" t="s">
        <v>130</v>
      </c>
      <c r="E38" s="76" t="s">
        <v>42</v>
      </c>
      <c r="F38" s="68" t="s">
        <v>10</v>
      </c>
      <c r="G38" s="77">
        <v>46043</v>
      </c>
      <c r="H38" s="76" t="s">
        <v>69</v>
      </c>
      <c r="I38" s="78">
        <v>2.0833333333333332E-2</v>
      </c>
      <c r="J38" s="78">
        <v>0.625</v>
      </c>
      <c r="K38" s="78">
        <v>0.64583333333333337</v>
      </c>
      <c r="L38" s="76">
        <v>30</v>
      </c>
    </row>
    <row r="39" spans="1:12" ht="24.6" hidden="1" x14ac:dyDescent="0.3">
      <c r="A39" s="76" t="s">
        <v>60</v>
      </c>
      <c r="B39" s="76" t="s">
        <v>33</v>
      </c>
      <c r="C39" s="76" t="s">
        <v>64</v>
      </c>
      <c r="D39" s="80" t="s">
        <v>133</v>
      </c>
      <c r="E39" s="76" t="s">
        <v>42</v>
      </c>
      <c r="F39" s="68" t="s">
        <v>10</v>
      </c>
      <c r="G39" s="77">
        <v>46043</v>
      </c>
      <c r="H39" s="76" t="s">
        <v>69</v>
      </c>
      <c r="I39" s="78">
        <v>0.3125</v>
      </c>
      <c r="J39" s="78">
        <v>0.5</v>
      </c>
      <c r="K39" s="78">
        <v>0.85416666666666663</v>
      </c>
      <c r="L39" s="76">
        <v>450</v>
      </c>
    </row>
    <row r="40" spans="1:12" ht="24.6" hidden="1" x14ac:dyDescent="0.3">
      <c r="A40" s="76" t="s">
        <v>60</v>
      </c>
      <c r="B40" s="76" t="s">
        <v>33</v>
      </c>
      <c r="C40" s="76" t="s">
        <v>64</v>
      </c>
      <c r="D40" s="80" t="s">
        <v>134</v>
      </c>
      <c r="E40" s="76" t="s">
        <v>42</v>
      </c>
      <c r="F40" s="68" t="s">
        <v>10</v>
      </c>
      <c r="G40" s="77">
        <v>46044</v>
      </c>
      <c r="H40" s="76" t="s">
        <v>69</v>
      </c>
      <c r="I40" s="78">
        <v>0.33333333333333331</v>
      </c>
      <c r="J40" s="78">
        <v>0.52083333333333337</v>
      </c>
      <c r="K40" s="78">
        <v>0.875</v>
      </c>
      <c r="L40" s="76">
        <v>480</v>
      </c>
    </row>
    <row r="41" spans="1:12" ht="24.6" hidden="1" x14ac:dyDescent="0.3">
      <c r="A41" s="76" t="s">
        <v>60</v>
      </c>
      <c r="B41" s="76" t="s">
        <v>33</v>
      </c>
      <c r="C41" s="76" t="s">
        <v>64</v>
      </c>
      <c r="D41" s="80" t="s">
        <v>135</v>
      </c>
      <c r="E41" s="76" t="s">
        <v>42</v>
      </c>
      <c r="F41" s="68" t="s">
        <v>10</v>
      </c>
      <c r="G41" s="77">
        <v>46045</v>
      </c>
      <c r="H41" s="76" t="s">
        <v>69</v>
      </c>
      <c r="I41" s="78">
        <v>0.14583333333333334</v>
      </c>
      <c r="J41" s="78">
        <v>0.5</v>
      </c>
      <c r="K41" s="78">
        <v>0.66666666666666663</v>
      </c>
      <c r="L41" s="76">
        <v>210</v>
      </c>
    </row>
    <row r="42" spans="1:12" ht="24.6" hidden="1" x14ac:dyDescent="0.3">
      <c r="A42" s="76" t="s">
        <v>60</v>
      </c>
      <c r="B42" s="76" t="s">
        <v>33</v>
      </c>
      <c r="C42" s="76" t="s">
        <v>64</v>
      </c>
      <c r="D42" s="80" t="s">
        <v>140</v>
      </c>
      <c r="E42" s="76" t="s">
        <v>42</v>
      </c>
      <c r="F42" s="69" t="s">
        <v>45</v>
      </c>
      <c r="G42" s="77">
        <v>46045</v>
      </c>
      <c r="H42" s="76" t="s">
        <v>69</v>
      </c>
      <c r="I42" s="78">
        <v>0.16666666666666666</v>
      </c>
      <c r="J42" s="78">
        <v>0.66666666666666663</v>
      </c>
      <c r="K42" s="78">
        <v>0.875</v>
      </c>
      <c r="L42" s="76">
        <v>240</v>
      </c>
    </row>
    <row r="43" spans="1:12" hidden="1" x14ac:dyDescent="0.3">
      <c r="A43" s="28" t="s">
        <v>46</v>
      </c>
      <c r="B43" s="28" t="s">
        <v>33</v>
      </c>
      <c r="C43" s="29" t="s">
        <v>56</v>
      </c>
      <c r="D43" s="30" t="s">
        <v>128</v>
      </c>
      <c r="E43" s="28" t="s">
        <v>42</v>
      </c>
      <c r="F43" s="68" t="s">
        <v>10</v>
      </c>
      <c r="G43" s="31">
        <v>46041</v>
      </c>
      <c r="H43" s="28" t="s">
        <v>47</v>
      </c>
      <c r="I43" s="67">
        <v>2.0833333333333332E-2</v>
      </c>
      <c r="J43" s="67">
        <v>0.6875</v>
      </c>
      <c r="K43" s="67">
        <v>0.70833333333333337</v>
      </c>
      <c r="L43" s="28">
        <v>30</v>
      </c>
    </row>
    <row r="44" spans="1:12" hidden="1" x14ac:dyDescent="0.3">
      <c r="A44" s="28" t="s">
        <v>46</v>
      </c>
      <c r="B44" s="28" t="s">
        <v>33</v>
      </c>
      <c r="C44" s="29" t="s">
        <v>51</v>
      </c>
      <c r="D44" s="30" t="s">
        <v>125</v>
      </c>
      <c r="E44" s="28" t="s">
        <v>42</v>
      </c>
      <c r="F44" s="69" t="s">
        <v>45</v>
      </c>
      <c r="G44" s="31">
        <v>46041</v>
      </c>
      <c r="H44" s="28" t="s">
        <v>47</v>
      </c>
      <c r="I44" s="67">
        <v>0.25</v>
      </c>
      <c r="J44" s="67">
        <v>0.52083333333333337</v>
      </c>
      <c r="K44" s="67">
        <v>0.875</v>
      </c>
      <c r="L44" s="28">
        <v>360</v>
      </c>
    </row>
    <row r="45" spans="1:12" hidden="1" x14ac:dyDescent="0.3">
      <c r="A45" s="28" t="s">
        <v>46</v>
      </c>
      <c r="B45" s="28" t="s">
        <v>33</v>
      </c>
      <c r="C45" s="29" t="s">
        <v>56</v>
      </c>
      <c r="D45" s="30" t="s">
        <v>143</v>
      </c>
      <c r="E45" s="28" t="s">
        <v>42</v>
      </c>
      <c r="F45" s="68" t="s">
        <v>10</v>
      </c>
      <c r="G45" s="31">
        <v>46042</v>
      </c>
      <c r="H45" s="28" t="s">
        <v>47</v>
      </c>
      <c r="I45" s="67">
        <v>2.0833333333333332E-2</v>
      </c>
      <c r="J45" s="67">
        <v>0.70833333333333337</v>
      </c>
      <c r="K45" s="67">
        <v>0.72916666666666663</v>
      </c>
      <c r="L45" s="28">
        <v>30</v>
      </c>
    </row>
    <row r="46" spans="1:12" ht="24.6" hidden="1" x14ac:dyDescent="0.3">
      <c r="A46" s="28" t="s">
        <v>46</v>
      </c>
      <c r="B46" s="28" t="s">
        <v>33</v>
      </c>
      <c r="C46" s="29" t="s">
        <v>57</v>
      </c>
      <c r="D46" s="30" t="s">
        <v>147</v>
      </c>
      <c r="E46" s="28" t="s">
        <v>124</v>
      </c>
      <c r="F46" s="68" t="s">
        <v>10</v>
      </c>
      <c r="G46" s="31">
        <v>46042</v>
      </c>
      <c r="H46" s="28" t="s">
        <v>47</v>
      </c>
      <c r="I46" s="67">
        <v>0.29166666666666669</v>
      </c>
      <c r="J46" s="67">
        <v>0.52083333333333337</v>
      </c>
      <c r="K46" s="67">
        <v>0.875</v>
      </c>
      <c r="L46" s="28">
        <v>420</v>
      </c>
    </row>
    <row r="47" spans="1:12" hidden="1" x14ac:dyDescent="0.3">
      <c r="A47" s="28" t="s">
        <v>46</v>
      </c>
      <c r="B47" s="28" t="s">
        <v>33</v>
      </c>
      <c r="C47" s="29" t="s">
        <v>56</v>
      </c>
      <c r="D47" s="30" t="s">
        <v>130</v>
      </c>
      <c r="E47" s="28" t="s">
        <v>42</v>
      </c>
      <c r="F47" s="68" t="s">
        <v>10</v>
      </c>
      <c r="G47" s="31">
        <v>46043</v>
      </c>
      <c r="H47" s="28" t="s">
        <v>47</v>
      </c>
      <c r="I47" s="67">
        <v>2.0833333333333332E-2</v>
      </c>
      <c r="J47" s="67">
        <v>0.625</v>
      </c>
      <c r="K47" s="67">
        <v>0.64583333333333337</v>
      </c>
      <c r="L47" s="28">
        <v>30</v>
      </c>
    </row>
    <row r="48" spans="1:12" hidden="1" x14ac:dyDescent="0.3">
      <c r="A48" s="28" t="s">
        <v>46</v>
      </c>
      <c r="B48" s="28" t="s">
        <v>33</v>
      </c>
      <c r="C48" s="29" t="s">
        <v>56</v>
      </c>
      <c r="D48" s="30" t="s">
        <v>144</v>
      </c>
      <c r="E48" s="28" t="s">
        <v>148</v>
      </c>
      <c r="F48" s="68" t="s">
        <v>10</v>
      </c>
      <c r="G48" s="31">
        <v>46045</v>
      </c>
      <c r="H48" s="28" t="s">
        <v>47</v>
      </c>
      <c r="I48" s="67">
        <v>2.0833333333333332E-2</v>
      </c>
      <c r="J48" s="67">
        <v>0.66666666666666663</v>
      </c>
      <c r="K48" s="67">
        <v>0.6875</v>
      </c>
      <c r="L48" s="28">
        <v>30</v>
      </c>
    </row>
    <row r="49" spans="1:12" hidden="1" x14ac:dyDescent="0.3">
      <c r="A49" s="28" t="s">
        <v>46</v>
      </c>
      <c r="B49" s="28" t="s">
        <v>33</v>
      </c>
      <c r="C49" s="29" t="s">
        <v>57</v>
      </c>
      <c r="D49" s="30" t="s">
        <v>145</v>
      </c>
      <c r="E49" s="28" t="s">
        <v>42</v>
      </c>
      <c r="F49" s="69" t="s">
        <v>45</v>
      </c>
      <c r="G49" s="31">
        <v>46043</v>
      </c>
      <c r="H49" s="28" t="s">
        <v>47</v>
      </c>
      <c r="I49" s="67">
        <v>0.29166666666666669</v>
      </c>
      <c r="J49" s="67">
        <v>0.52083333333333337</v>
      </c>
      <c r="K49" s="67">
        <v>0.875</v>
      </c>
      <c r="L49" s="28">
        <v>420</v>
      </c>
    </row>
    <row r="50" spans="1:12" ht="24.6" hidden="1" x14ac:dyDescent="0.3">
      <c r="A50" s="28" t="s">
        <v>46</v>
      </c>
      <c r="B50" s="28" t="s">
        <v>33</v>
      </c>
      <c r="C50" s="29" t="s">
        <v>57</v>
      </c>
      <c r="D50" s="30" t="s">
        <v>149</v>
      </c>
      <c r="E50" s="28" t="s">
        <v>42</v>
      </c>
      <c r="F50" s="69" t="s">
        <v>45</v>
      </c>
      <c r="G50" s="31">
        <v>46044</v>
      </c>
      <c r="H50" s="28" t="s">
        <v>47</v>
      </c>
      <c r="I50" s="67">
        <v>0.29166666666666669</v>
      </c>
      <c r="J50" s="67">
        <v>0.52083333333333337</v>
      </c>
      <c r="K50" s="67">
        <v>0.875</v>
      </c>
      <c r="L50" s="28">
        <v>420</v>
      </c>
    </row>
    <row r="51" spans="1:12" hidden="1" x14ac:dyDescent="0.3">
      <c r="A51" s="28" t="s">
        <v>46</v>
      </c>
      <c r="B51" s="28" t="s">
        <v>33</v>
      </c>
      <c r="C51" s="29" t="s">
        <v>57</v>
      </c>
      <c r="D51" s="30" t="s">
        <v>146</v>
      </c>
      <c r="E51" s="28" t="s">
        <v>42</v>
      </c>
      <c r="F51" s="69" t="s">
        <v>45</v>
      </c>
      <c r="G51" s="31">
        <v>46045</v>
      </c>
      <c r="H51" s="28" t="s">
        <v>47</v>
      </c>
      <c r="I51" s="67">
        <v>0.3125</v>
      </c>
      <c r="J51" s="67">
        <v>0.52083333333333337</v>
      </c>
      <c r="K51" s="67">
        <v>0.875</v>
      </c>
      <c r="L51" s="28">
        <v>420</v>
      </c>
    </row>
    <row r="52" spans="1:12" ht="24.6" hidden="1" x14ac:dyDescent="0.3">
      <c r="A52" s="76" t="s">
        <v>60</v>
      </c>
      <c r="B52" s="76" t="s">
        <v>33</v>
      </c>
      <c r="C52" s="76" t="s">
        <v>64</v>
      </c>
      <c r="D52" s="80" t="s">
        <v>156</v>
      </c>
      <c r="E52" s="76" t="s">
        <v>42</v>
      </c>
      <c r="F52" s="68" t="s">
        <v>10</v>
      </c>
      <c r="G52" s="77">
        <v>46049</v>
      </c>
      <c r="H52" s="76" t="s">
        <v>69</v>
      </c>
      <c r="I52" s="78">
        <v>0.16666666666666666</v>
      </c>
      <c r="J52" s="78">
        <v>0.5</v>
      </c>
      <c r="K52" s="78">
        <v>0.70833333333333337</v>
      </c>
      <c r="L52" s="76">
        <v>240</v>
      </c>
    </row>
    <row r="53" spans="1:12" ht="24.6" hidden="1" x14ac:dyDescent="0.3">
      <c r="A53" s="76" t="s">
        <v>60</v>
      </c>
      <c r="B53" s="76" t="s">
        <v>33</v>
      </c>
      <c r="C53" s="76" t="s">
        <v>64</v>
      </c>
      <c r="D53" s="80" t="s">
        <v>157</v>
      </c>
      <c r="E53" s="76" t="s">
        <v>42</v>
      </c>
      <c r="F53" s="68" t="s">
        <v>10</v>
      </c>
      <c r="G53" s="77">
        <v>46049</v>
      </c>
      <c r="H53" s="76" t="s">
        <v>69</v>
      </c>
      <c r="I53" s="78">
        <v>0.125</v>
      </c>
      <c r="J53" s="78">
        <v>0.71875</v>
      </c>
      <c r="K53" s="78">
        <v>0.84375</v>
      </c>
      <c r="L53" s="76">
        <v>180</v>
      </c>
    </row>
    <row r="54" spans="1:12" ht="24.6" hidden="1" x14ac:dyDescent="0.3">
      <c r="A54" s="76" t="s">
        <v>60</v>
      </c>
      <c r="B54" s="76" t="s">
        <v>33</v>
      </c>
      <c r="C54" s="76" t="s">
        <v>64</v>
      </c>
      <c r="D54" s="80" t="s">
        <v>158</v>
      </c>
      <c r="E54" s="76" t="s">
        <v>42</v>
      </c>
      <c r="F54" s="68" t="s">
        <v>10</v>
      </c>
      <c r="G54" s="77">
        <v>46050</v>
      </c>
      <c r="H54" s="76" t="s">
        <v>69</v>
      </c>
      <c r="I54" s="78">
        <v>0.33333333333333331</v>
      </c>
      <c r="J54" s="78">
        <v>0.5</v>
      </c>
      <c r="K54" s="78">
        <v>0.875</v>
      </c>
      <c r="L54" s="76">
        <v>480</v>
      </c>
    </row>
    <row r="55" spans="1:12" ht="24.6" hidden="1" x14ac:dyDescent="0.3">
      <c r="A55" s="76" t="s">
        <v>60</v>
      </c>
      <c r="B55" s="76" t="s">
        <v>33</v>
      </c>
      <c r="C55" s="76" t="s">
        <v>64</v>
      </c>
      <c r="D55" s="80" t="s">
        <v>159</v>
      </c>
      <c r="E55" s="76" t="s">
        <v>42</v>
      </c>
      <c r="F55" s="68" t="s">
        <v>10</v>
      </c>
      <c r="G55" s="77">
        <v>46051</v>
      </c>
      <c r="H55" s="76" t="s">
        <v>69</v>
      </c>
      <c r="I55" s="78">
        <v>0.3125</v>
      </c>
      <c r="J55" s="78">
        <v>0.5</v>
      </c>
      <c r="K55" s="78">
        <v>0.85416666666666663</v>
      </c>
      <c r="L55" s="76">
        <v>450</v>
      </c>
    </row>
    <row r="56" spans="1:12" ht="24.6" hidden="1" x14ac:dyDescent="0.3">
      <c r="A56" s="76" t="s">
        <v>60</v>
      </c>
      <c r="B56" s="76" t="s">
        <v>33</v>
      </c>
      <c r="C56" s="76" t="s">
        <v>64</v>
      </c>
      <c r="D56" s="80" t="s">
        <v>160</v>
      </c>
      <c r="E56" s="76" t="s">
        <v>42</v>
      </c>
      <c r="F56" s="90" t="s">
        <v>45</v>
      </c>
      <c r="G56" s="77">
        <v>46052</v>
      </c>
      <c r="H56" s="76" t="s">
        <v>69</v>
      </c>
      <c r="I56" s="78">
        <v>0.33333333333333331</v>
      </c>
      <c r="J56" s="78">
        <v>0.52083333333333337</v>
      </c>
      <c r="K56" s="78">
        <v>0.875</v>
      </c>
      <c r="L56" s="76">
        <v>480</v>
      </c>
    </row>
    <row r="57" spans="1:12" ht="24.6" hidden="1" x14ac:dyDescent="0.3">
      <c r="A57" s="28" t="s">
        <v>46</v>
      </c>
      <c r="B57" s="28" t="s">
        <v>33</v>
      </c>
      <c r="C57" s="29" t="s">
        <v>57</v>
      </c>
      <c r="D57" s="30" t="s">
        <v>173</v>
      </c>
      <c r="E57" s="28" t="s">
        <v>124</v>
      </c>
      <c r="F57" s="68" t="s">
        <v>10</v>
      </c>
      <c r="G57" s="31">
        <v>46049</v>
      </c>
      <c r="H57" s="28" t="s">
        <v>47</v>
      </c>
      <c r="I57" s="67">
        <v>0.25</v>
      </c>
      <c r="J57" s="67">
        <v>0.52083333333333337</v>
      </c>
      <c r="K57" s="67">
        <v>0.875</v>
      </c>
      <c r="L57" s="28">
        <v>360</v>
      </c>
    </row>
    <row r="58" spans="1:12" hidden="1" x14ac:dyDescent="0.3">
      <c r="A58" s="28" t="s">
        <v>46</v>
      </c>
      <c r="B58" s="28" t="s">
        <v>33</v>
      </c>
      <c r="C58" s="29" t="s">
        <v>57</v>
      </c>
      <c r="D58" s="30" t="s">
        <v>168</v>
      </c>
      <c r="E58" s="28" t="s">
        <v>42</v>
      </c>
      <c r="F58" s="68" t="s">
        <v>10</v>
      </c>
      <c r="G58" s="31">
        <v>46050</v>
      </c>
      <c r="H58" s="28" t="s">
        <v>47</v>
      </c>
      <c r="I58" s="67">
        <v>0.16666666666666666</v>
      </c>
      <c r="J58" s="67">
        <v>0.5</v>
      </c>
      <c r="K58" s="67">
        <v>0.89583333333333337</v>
      </c>
      <c r="L58" s="28">
        <v>240</v>
      </c>
    </row>
    <row r="59" spans="1:12" ht="24.6" hidden="1" x14ac:dyDescent="0.3">
      <c r="A59" s="28" t="s">
        <v>46</v>
      </c>
      <c r="B59" s="28" t="s">
        <v>33</v>
      </c>
      <c r="C59" s="29" t="s">
        <v>57</v>
      </c>
      <c r="D59" s="30" t="s">
        <v>171</v>
      </c>
      <c r="E59" s="28" t="s">
        <v>42</v>
      </c>
      <c r="F59" s="68" t="s">
        <v>10</v>
      </c>
      <c r="G59" s="31">
        <v>46050</v>
      </c>
      <c r="H59" s="28" t="s">
        <v>47</v>
      </c>
      <c r="I59" s="67">
        <v>8.3333333333333329E-2</v>
      </c>
      <c r="J59" s="67">
        <v>0.52083333333333337</v>
      </c>
      <c r="K59" s="67">
        <v>0.875</v>
      </c>
      <c r="L59" s="28">
        <v>120</v>
      </c>
    </row>
    <row r="60" spans="1:12" ht="24.6" hidden="1" x14ac:dyDescent="0.3">
      <c r="A60" s="28" t="s">
        <v>46</v>
      </c>
      <c r="B60" s="28" t="s">
        <v>33</v>
      </c>
      <c r="C60" s="29" t="s">
        <v>57</v>
      </c>
      <c r="D60" s="30" t="s">
        <v>172</v>
      </c>
      <c r="E60" s="28" t="s">
        <v>42</v>
      </c>
      <c r="F60" s="68" t="s">
        <v>10</v>
      </c>
      <c r="G60" s="31">
        <v>46050</v>
      </c>
      <c r="H60" s="28" t="s">
        <v>47</v>
      </c>
      <c r="I60" s="67">
        <v>8.3333333333333329E-2</v>
      </c>
      <c r="J60" s="67">
        <v>0.5</v>
      </c>
      <c r="K60" s="67">
        <v>0.875</v>
      </c>
      <c r="L60" s="28">
        <v>120</v>
      </c>
    </row>
    <row r="61" spans="1:12" hidden="1" x14ac:dyDescent="0.3">
      <c r="A61" s="28" t="s">
        <v>46</v>
      </c>
      <c r="B61" s="28" t="s">
        <v>33</v>
      </c>
      <c r="C61" s="29" t="s">
        <v>57</v>
      </c>
      <c r="D61" s="30" t="s">
        <v>167</v>
      </c>
      <c r="E61" s="28" t="s">
        <v>42</v>
      </c>
      <c r="F61" s="68" t="s">
        <v>10</v>
      </c>
      <c r="G61" s="31">
        <v>46051</v>
      </c>
      <c r="H61" s="28" t="s">
        <v>47</v>
      </c>
      <c r="I61" s="67">
        <v>0.16666666666666666</v>
      </c>
      <c r="J61" s="67">
        <v>0.5</v>
      </c>
      <c r="K61" s="67">
        <v>0.89583333333333337</v>
      </c>
      <c r="L61" s="28">
        <v>240</v>
      </c>
    </row>
    <row r="62" spans="1:12" hidden="1" x14ac:dyDescent="0.3">
      <c r="A62" s="28" t="s">
        <v>46</v>
      </c>
      <c r="B62" s="28" t="s">
        <v>33</v>
      </c>
      <c r="C62" s="29" t="s">
        <v>57</v>
      </c>
      <c r="D62" s="30" t="s">
        <v>170</v>
      </c>
      <c r="E62" s="28" t="s">
        <v>42</v>
      </c>
      <c r="F62" s="68" t="s">
        <v>10</v>
      </c>
      <c r="G62" s="31">
        <v>46051</v>
      </c>
      <c r="H62" s="28" t="s">
        <v>47</v>
      </c>
      <c r="I62" s="67">
        <v>0.16666666666666666</v>
      </c>
      <c r="J62" s="67">
        <v>0.52083333333333337</v>
      </c>
      <c r="K62" s="67">
        <v>0.875</v>
      </c>
      <c r="L62" s="28">
        <v>240</v>
      </c>
    </row>
    <row r="63" spans="1:12" ht="24.6" hidden="1" x14ac:dyDescent="0.3">
      <c r="A63" s="28" t="s">
        <v>46</v>
      </c>
      <c r="B63" s="28" t="s">
        <v>33</v>
      </c>
      <c r="C63" s="29" t="s">
        <v>57</v>
      </c>
      <c r="D63" s="30" t="s">
        <v>169</v>
      </c>
      <c r="E63" s="28" t="s">
        <v>42</v>
      </c>
      <c r="F63" s="68" t="s">
        <v>10</v>
      </c>
      <c r="G63" s="31">
        <v>46052</v>
      </c>
      <c r="H63" s="28" t="s">
        <v>47</v>
      </c>
      <c r="I63" s="67">
        <v>0.16666666666666666</v>
      </c>
      <c r="J63" s="67">
        <v>0.52083333333333337</v>
      </c>
      <c r="K63" s="67">
        <v>0.875</v>
      </c>
      <c r="L63" s="28">
        <v>240</v>
      </c>
    </row>
    <row r="64" spans="1:12" ht="25.05" hidden="1" customHeight="1" x14ac:dyDescent="0.3">
      <c r="A64" s="76" t="s">
        <v>60</v>
      </c>
      <c r="B64" s="76" t="s">
        <v>33</v>
      </c>
      <c r="C64" s="76" t="s">
        <v>64</v>
      </c>
      <c r="D64" s="80" t="s">
        <v>177</v>
      </c>
      <c r="E64" s="76" t="s">
        <v>42</v>
      </c>
      <c r="F64" s="68" t="s">
        <v>10</v>
      </c>
      <c r="G64" s="77">
        <v>46055</v>
      </c>
      <c r="H64" s="76" t="s">
        <v>69</v>
      </c>
      <c r="I64" s="78">
        <v>0.29166666666666669</v>
      </c>
      <c r="J64" s="78">
        <v>0.5</v>
      </c>
      <c r="K64" s="78">
        <v>0.83333333333333337</v>
      </c>
      <c r="L64" s="76">
        <v>420</v>
      </c>
    </row>
    <row r="65" spans="1:12" hidden="1" x14ac:dyDescent="0.3">
      <c r="A65" s="76" t="s">
        <v>60</v>
      </c>
      <c r="B65" s="76" t="s">
        <v>33</v>
      </c>
      <c r="C65" s="76" t="s">
        <v>65</v>
      </c>
      <c r="D65" s="80" t="s">
        <v>179</v>
      </c>
      <c r="E65" s="76" t="s">
        <v>42</v>
      </c>
      <c r="F65" s="68" t="s">
        <v>10</v>
      </c>
      <c r="G65" s="77">
        <v>46055</v>
      </c>
      <c r="H65" s="76" t="s">
        <v>69</v>
      </c>
      <c r="I65" s="78">
        <v>2.0833333333333332E-2</v>
      </c>
      <c r="J65" s="78">
        <v>0.6875</v>
      </c>
      <c r="K65" s="78">
        <v>0.70833333333333337</v>
      </c>
      <c r="L65" s="76">
        <v>30</v>
      </c>
    </row>
    <row r="66" spans="1:12" ht="24.6" hidden="1" x14ac:dyDescent="0.3">
      <c r="A66" s="76" t="s">
        <v>60</v>
      </c>
      <c r="B66" s="76" t="s">
        <v>33</v>
      </c>
      <c r="C66" s="76" t="s">
        <v>64</v>
      </c>
      <c r="D66" s="80" t="s">
        <v>180</v>
      </c>
      <c r="E66" s="76" t="s">
        <v>42</v>
      </c>
      <c r="F66" s="68" t="s">
        <v>10</v>
      </c>
      <c r="G66" s="77">
        <v>46056</v>
      </c>
      <c r="H66" s="76" t="s">
        <v>69</v>
      </c>
      <c r="I66" s="78">
        <v>0.29166666666666669</v>
      </c>
      <c r="J66" s="78">
        <v>0.5</v>
      </c>
      <c r="K66" s="78">
        <v>0.83333333333333337</v>
      </c>
      <c r="L66" s="76">
        <v>420</v>
      </c>
    </row>
    <row r="67" spans="1:12" hidden="1" x14ac:dyDescent="0.3">
      <c r="A67" s="76" t="s">
        <v>60</v>
      </c>
      <c r="B67" s="76" t="s">
        <v>33</v>
      </c>
      <c r="C67" s="76" t="s">
        <v>65</v>
      </c>
      <c r="D67" s="80" t="s">
        <v>178</v>
      </c>
      <c r="E67" s="76" t="s">
        <v>42</v>
      </c>
      <c r="F67" s="68" t="s">
        <v>10</v>
      </c>
      <c r="G67" s="77">
        <v>46056</v>
      </c>
      <c r="H67" s="76" t="s">
        <v>69</v>
      </c>
      <c r="I67" s="78">
        <v>3.125E-2</v>
      </c>
      <c r="J67" s="78">
        <v>0.70833333333333337</v>
      </c>
      <c r="K67" s="78">
        <v>0.73958333333333337</v>
      </c>
      <c r="L67" s="76">
        <v>45</v>
      </c>
    </row>
    <row r="68" spans="1:12" ht="24.6" hidden="1" x14ac:dyDescent="0.3">
      <c r="A68" s="76" t="s">
        <v>60</v>
      </c>
      <c r="B68" s="76" t="s">
        <v>33</v>
      </c>
      <c r="C68" s="76" t="s">
        <v>64</v>
      </c>
      <c r="D68" s="80" t="s">
        <v>181</v>
      </c>
      <c r="E68" s="76" t="s">
        <v>42</v>
      </c>
      <c r="F68" s="68" t="s">
        <v>10</v>
      </c>
      <c r="G68" s="77">
        <v>46057</v>
      </c>
      <c r="H68" s="76" t="s">
        <v>69</v>
      </c>
      <c r="I68" s="78">
        <v>0.33333333333333331</v>
      </c>
      <c r="J68" s="78">
        <v>0.5</v>
      </c>
      <c r="K68" s="78">
        <v>0.875</v>
      </c>
      <c r="L68" s="76">
        <v>480</v>
      </c>
    </row>
    <row r="69" spans="1:12" ht="24.6" hidden="1" x14ac:dyDescent="0.3">
      <c r="A69" s="76" t="s">
        <v>60</v>
      </c>
      <c r="B69" s="76" t="s">
        <v>33</v>
      </c>
      <c r="C69" s="76" t="s">
        <v>64</v>
      </c>
      <c r="D69" s="80" t="s">
        <v>182</v>
      </c>
      <c r="E69" s="76" t="s">
        <v>42</v>
      </c>
      <c r="F69" s="68" t="s">
        <v>10</v>
      </c>
      <c r="G69" s="77">
        <v>46059</v>
      </c>
      <c r="H69" s="76" t="s">
        <v>69</v>
      </c>
      <c r="I69" s="78">
        <v>0.3125</v>
      </c>
      <c r="J69" s="78">
        <v>0.5</v>
      </c>
      <c r="K69" s="78">
        <v>0.85416666666666663</v>
      </c>
      <c r="L69" s="76">
        <v>450</v>
      </c>
    </row>
    <row r="70" spans="1:12" ht="48.6" hidden="1" x14ac:dyDescent="0.3">
      <c r="A70" s="28" t="s">
        <v>46</v>
      </c>
      <c r="B70" s="28" t="s">
        <v>33</v>
      </c>
      <c r="C70" s="29" t="s">
        <v>57</v>
      </c>
      <c r="D70" s="30" t="s">
        <v>189</v>
      </c>
      <c r="E70" s="28" t="s">
        <v>124</v>
      </c>
      <c r="F70" s="69" t="s">
        <v>45</v>
      </c>
      <c r="G70" s="31">
        <v>46055</v>
      </c>
      <c r="H70" s="28" t="s">
        <v>47</v>
      </c>
      <c r="I70" s="67">
        <v>0.29166666666666669</v>
      </c>
      <c r="J70" s="67">
        <v>0.52083333333333337</v>
      </c>
      <c r="K70" s="67">
        <v>0.875</v>
      </c>
      <c r="L70" s="28">
        <v>420</v>
      </c>
    </row>
    <row r="71" spans="1:12" hidden="1" x14ac:dyDescent="0.3">
      <c r="A71" s="28" t="s">
        <v>46</v>
      </c>
      <c r="B71" s="28" t="s">
        <v>33</v>
      </c>
      <c r="C71" s="29" t="s">
        <v>56</v>
      </c>
      <c r="D71" s="30" t="s">
        <v>187</v>
      </c>
      <c r="E71" s="28" t="s">
        <v>42</v>
      </c>
      <c r="F71" s="68" t="s">
        <v>10</v>
      </c>
      <c r="G71" s="31">
        <v>46055</v>
      </c>
      <c r="H71" s="28" t="s">
        <v>47</v>
      </c>
      <c r="I71" s="67">
        <v>2.0833333333333332E-2</v>
      </c>
      <c r="J71" s="67">
        <v>0.66666666666666663</v>
      </c>
      <c r="K71" s="67">
        <v>0.6875</v>
      </c>
      <c r="L71" s="28">
        <v>30</v>
      </c>
    </row>
    <row r="72" spans="1:12" hidden="1" x14ac:dyDescent="0.3">
      <c r="A72" s="28" t="s">
        <v>46</v>
      </c>
      <c r="B72" s="28" t="s">
        <v>33</v>
      </c>
      <c r="C72" s="29" t="s">
        <v>56</v>
      </c>
      <c r="D72" s="30" t="s">
        <v>178</v>
      </c>
      <c r="E72" s="28" t="s">
        <v>42</v>
      </c>
      <c r="F72" s="68" t="s">
        <v>10</v>
      </c>
      <c r="G72" s="31">
        <v>46056</v>
      </c>
      <c r="H72" s="28" t="s">
        <v>47</v>
      </c>
      <c r="I72" s="67">
        <v>2.0833333333333332E-2</v>
      </c>
      <c r="J72" s="67">
        <v>0.70833333333333337</v>
      </c>
      <c r="K72" s="67">
        <v>0.72916666666666663</v>
      </c>
      <c r="L72" s="28">
        <v>30</v>
      </c>
    </row>
    <row r="73" spans="1:12" hidden="1" x14ac:dyDescent="0.3">
      <c r="A73" s="28" t="s">
        <v>46</v>
      </c>
      <c r="B73" s="28" t="s">
        <v>33</v>
      </c>
      <c r="C73" s="29" t="s">
        <v>56</v>
      </c>
      <c r="D73" s="30" t="s">
        <v>188</v>
      </c>
      <c r="E73" s="28" t="s">
        <v>42</v>
      </c>
      <c r="F73" s="68" t="s">
        <v>10</v>
      </c>
      <c r="G73" s="31">
        <v>46056</v>
      </c>
      <c r="H73" s="28" t="s">
        <v>47</v>
      </c>
      <c r="I73" s="67">
        <v>2.0833333333333332E-2</v>
      </c>
      <c r="J73" s="67">
        <v>0.72916666666666663</v>
      </c>
      <c r="K73" s="67">
        <v>0.77083333333333337</v>
      </c>
      <c r="L73" s="28">
        <v>60</v>
      </c>
    </row>
    <row r="74" spans="1:12" ht="48.6" hidden="1" x14ac:dyDescent="0.3">
      <c r="A74" s="28" t="s">
        <v>46</v>
      </c>
      <c r="B74" s="28" t="s">
        <v>33</v>
      </c>
      <c r="C74" s="29" t="s">
        <v>57</v>
      </c>
      <c r="D74" s="30" t="s">
        <v>193</v>
      </c>
      <c r="E74" s="28" t="s">
        <v>124</v>
      </c>
      <c r="F74" s="69" t="s">
        <v>45</v>
      </c>
      <c r="G74" s="31">
        <v>46056</v>
      </c>
      <c r="H74" s="28" t="s">
        <v>47</v>
      </c>
      <c r="I74" s="67">
        <v>0.29166666666666669</v>
      </c>
      <c r="J74" s="67">
        <v>0.52083333333333337</v>
      </c>
      <c r="K74" s="67">
        <v>0.875</v>
      </c>
      <c r="L74" s="28">
        <v>420</v>
      </c>
    </row>
    <row r="75" spans="1:12" ht="48.6" hidden="1" x14ac:dyDescent="0.3">
      <c r="A75" s="28" t="s">
        <v>46</v>
      </c>
      <c r="B75" s="28" t="s">
        <v>33</v>
      </c>
      <c r="C75" s="29" t="s">
        <v>57</v>
      </c>
      <c r="D75" s="30" t="s">
        <v>194</v>
      </c>
      <c r="E75" s="28" t="s">
        <v>124</v>
      </c>
      <c r="F75" s="69" t="s">
        <v>45</v>
      </c>
      <c r="G75" s="31">
        <v>46057</v>
      </c>
      <c r="H75" s="28" t="s">
        <v>47</v>
      </c>
      <c r="I75" s="67">
        <v>0.29166666666666669</v>
      </c>
      <c r="J75" s="67">
        <v>0.52083333333333337</v>
      </c>
      <c r="K75" s="67">
        <v>0.875</v>
      </c>
      <c r="L75" s="28">
        <v>420</v>
      </c>
    </row>
    <row r="76" spans="1:12" ht="60.6" hidden="1" x14ac:dyDescent="0.3">
      <c r="A76" s="28" t="s">
        <v>46</v>
      </c>
      <c r="B76" s="28" t="s">
        <v>33</v>
      </c>
      <c r="C76" s="29" t="s">
        <v>57</v>
      </c>
      <c r="D76" s="30" t="s">
        <v>195</v>
      </c>
      <c r="E76" s="28" t="s">
        <v>124</v>
      </c>
      <c r="F76" s="69" t="s">
        <v>45</v>
      </c>
      <c r="G76" s="31">
        <v>46058</v>
      </c>
      <c r="H76" s="28" t="s">
        <v>47</v>
      </c>
      <c r="I76" s="67">
        <v>0.20833333333333334</v>
      </c>
      <c r="J76" s="67">
        <v>0.52083333333333337</v>
      </c>
      <c r="K76" s="67">
        <v>0.875</v>
      </c>
      <c r="L76" s="28">
        <v>300</v>
      </c>
    </row>
    <row r="77" spans="1:12" hidden="1" x14ac:dyDescent="0.3">
      <c r="A77" s="28" t="s">
        <v>46</v>
      </c>
      <c r="B77" s="28" t="s">
        <v>33</v>
      </c>
      <c r="C77" s="29" t="s">
        <v>57</v>
      </c>
      <c r="D77" s="30" t="s">
        <v>190</v>
      </c>
      <c r="E77" s="28" t="s">
        <v>124</v>
      </c>
      <c r="F77" s="68" t="s">
        <v>10</v>
      </c>
      <c r="G77" s="31">
        <v>46058</v>
      </c>
      <c r="H77" s="28" t="s">
        <v>47</v>
      </c>
      <c r="I77" s="67">
        <v>8.3333333333333329E-2</v>
      </c>
      <c r="J77" s="67">
        <v>0.52083333333333337</v>
      </c>
      <c r="K77" s="67">
        <v>0.875</v>
      </c>
      <c r="L77" s="28">
        <v>120</v>
      </c>
    </row>
    <row r="78" spans="1:12" ht="72.599999999999994" hidden="1" x14ac:dyDescent="0.3">
      <c r="A78" s="28" t="s">
        <v>46</v>
      </c>
      <c r="B78" s="28" t="s">
        <v>33</v>
      </c>
      <c r="C78" s="29" t="s">
        <v>57</v>
      </c>
      <c r="D78" s="30" t="s">
        <v>196</v>
      </c>
      <c r="E78" s="28" t="s">
        <v>124</v>
      </c>
      <c r="F78" s="69" t="s">
        <v>45</v>
      </c>
      <c r="G78" s="31">
        <v>46059</v>
      </c>
      <c r="H78" s="28" t="s">
        <v>47</v>
      </c>
      <c r="I78" s="67">
        <v>0.29166666666666669</v>
      </c>
      <c r="J78" s="67">
        <v>0.52083333333333337</v>
      </c>
      <c r="K78" s="67">
        <v>0.875</v>
      </c>
      <c r="L78" s="28">
        <v>420</v>
      </c>
    </row>
    <row r="79" spans="1:12" ht="24.6" hidden="1" x14ac:dyDescent="0.3">
      <c r="A79" s="76" t="s">
        <v>60</v>
      </c>
      <c r="B79" s="76" t="s">
        <v>33</v>
      </c>
      <c r="C79" s="76" t="s">
        <v>64</v>
      </c>
      <c r="D79" s="80" t="s">
        <v>198</v>
      </c>
      <c r="E79" s="76" t="s">
        <v>42</v>
      </c>
      <c r="F79" s="68" t="s">
        <v>10</v>
      </c>
      <c r="G79" s="77">
        <v>46062</v>
      </c>
      <c r="H79" s="76" t="s">
        <v>69</v>
      </c>
      <c r="I79" s="78">
        <v>0.29166666666666669</v>
      </c>
      <c r="J79" s="78">
        <v>0.5</v>
      </c>
      <c r="K79" s="78">
        <v>0.83333333333333337</v>
      </c>
      <c r="L79" s="76">
        <v>420</v>
      </c>
    </row>
    <row r="80" spans="1:12" hidden="1" x14ac:dyDescent="0.3">
      <c r="A80" s="76" t="s">
        <v>60</v>
      </c>
      <c r="B80" s="76" t="s">
        <v>33</v>
      </c>
      <c r="C80" s="76" t="s">
        <v>65</v>
      </c>
      <c r="D80" s="80" t="s">
        <v>179</v>
      </c>
      <c r="E80" s="76" t="s">
        <v>42</v>
      </c>
      <c r="F80" s="68" t="s">
        <v>10</v>
      </c>
      <c r="G80" s="77">
        <v>46062</v>
      </c>
      <c r="H80" s="76" t="s">
        <v>69</v>
      </c>
      <c r="I80" s="78">
        <v>2.0833333333333332E-2</v>
      </c>
      <c r="J80" s="78">
        <v>0.6875</v>
      </c>
      <c r="K80" s="78">
        <v>0.70833333333333337</v>
      </c>
      <c r="L80" s="76">
        <v>30</v>
      </c>
    </row>
    <row r="81" spans="1:12" ht="36.6" hidden="1" x14ac:dyDescent="0.3">
      <c r="A81" s="76" t="s">
        <v>60</v>
      </c>
      <c r="B81" s="76" t="s">
        <v>33</v>
      </c>
      <c r="C81" s="76" t="s">
        <v>64</v>
      </c>
      <c r="D81" s="80" t="s">
        <v>203</v>
      </c>
      <c r="E81" s="76" t="s">
        <v>42</v>
      </c>
      <c r="F81" s="68" t="s">
        <v>10</v>
      </c>
      <c r="G81" s="77">
        <v>46063</v>
      </c>
      <c r="H81" s="76" t="s">
        <v>69</v>
      </c>
      <c r="I81" s="78">
        <v>0.29166666666666669</v>
      </c>
      <c r="J81" s="78">
        <v>0.5</v>
      </c>
      <c r="K81" s="78">
        <v>0.83333333333333337</v>
      </c>
      <c r="L81" s="76">
        <v>420</v>
      </c>
    </row>
    <row r="82" spans="1:12" ht="24.6" hidden="1" x14ac:dyDescent="0.3">
      <c r="A82" s="76" t="s">
        <v>60</v>
      </c>
      <c r="B82" s="76" t="s">
        <v>33</v>
      </c>
      <c r="C82" s="76" t="s">
        <v>64</v>
      </c>
      <c r="D82" s="80" t="s">
        <v>199</v>
      </c>
      <c r="E82" s="76" t="s">
        <v>42</v>
      </c>
      <c r="F82" s="68" t="s">
        <v>10</v>
      </c>
      <c r="G82" s="77">
        <v>46064</v>
      </c>
      <c r="H82" s="76" t="s">
        <v>69</v>
      </c>
      <c r="I82" s="78">
        <v>0.32291666666666669</v>
      </c>
      <c r="J82" s="78">
        <v>0.5</v>
      </c>
      <c r="K82" s="78">
        <v>0.86458333333333337</v>
      </c>
      <c r="L82" s="76">
        <v>465</v>
      </c>
    </row>
    <row r="83" spans="1:12" ht="24.6" hidden="1" x14ac:dyDescent="0.3">
      <c r="A83" s="76" t="s">
        <v>60</v>
      </c>
      <c r="B83" s="76" t="s">
        <v>33</v>
      </c>
      <c r="C83" s="76" t="s">
        <v>64</v>
      </c>
      <c r="D83" s="80" t="s">
        <v>200</v>
      </c>
      <c r="E83" s="76" t="s">
        <v>42</v>
      </c>
      <c r="F83" s="68" t="s">
        <v>10</v>
      </c>
      <c r="G83" s="77">
        <v>46065</v>
      </c>
      <c r="H83" s="76" t="s">
        <v>69</v>
      </c>
      <c r="I83" s="78">
        <v>0.33333333333333331</v>
      </c>
      <c r="J83" s="78">
        <v>0.5</v>
      </c>
      <c r="K83" s="78">
        <v>0.875</v>
      </c>
      <c r="L83" s="76">
        <v>480</v>
      </c>
    </row>
    <row r="84" spans="1:12" ht="24.6" hidden="1" x14ac:dyDescent="0.3">
      <c r="A84" s="76" t="s">
        <v>60</v>
      </c>
      <c r="B84" s="76" t="s">
        <v>33</v>
      </c>
      <c r="C84" s="76" t="s">
        <v>64</v>
      </c>
      <c r="D84" s="80" t="s">
        <v>201</v>
      </c>
      <c r="E84" s="76" t="s">
        <v>42</v>
      </c>
      <c r="F84" s="68" t="s">
        <v>10</v>
      </c>
      <c r="G84" s="77">
        <v>46066</v>
      </c>
      <c r="H84" s="76" t="s">
        <v>69</v>
      </c>
      <c r="I84" s="78">
        <v>0.22916666666666666</v>
      </c>
      <c r="J84" s="78">
        <v>0.5</v>
      </c>
      <c r="K84" s="78">
        <v>0.77083333333333337</v>
      </c>
      <c r="L84" s="76">
        <v>330</v>
      </c>
    </row>
    <row r="85" spans="1:12" ht="24.6" hidden="1" x14ac:dyDescent="0.3">
      <c r="A85" s="76" t="s">
        <v>60</v>
      </c>
      <c r="B85" s="76" t="s">
        <v>33</v>
      </c>
      <c r="C85" s="76" t="s">
        <v>64</v>
      </c>
      <c r="D85" s="80" t="s">
        <v>202</v>
      </c>
      <c r="E85" s="76" t="s">
        <v>42</v>
      </c>
      <c r="F85" s="69" t="s">
        <v>45</v>
      </c>
      <c r="G85" s="77">
        <v>46066</v>
      </c>
      <c r="H85" s="76" t="s">
        <v>69</v>
      </c>
      <c r="I85" s="78">
        <v>0.125</v>
      </c>
      <c r="J85" s="78">
        <v>0.78125</v>
      </c>
      <c r="K85" s="78">
        <v>0.89583333333333337</v>
      </c>
      <c r="L85" s="76">
        <v>180</v>
      </c>
    </row>
    <row r="86" spans="1:12" ht="24.6" hidden="1" x14ac:dyDescent="0.3">
      <c r="A86" s="28" t="s">
        <v>46</v>
      </c>
      <c r="B86" s="28" t="s">
        <v>33</v>
      </c>
      <c r="C86" s="29" t="s">
        <v>57</v>
      </c>
      <c r="D86" s="30" t="s">
        <v>216</v>
      </c>
      <c r="E86" s="28" t="s">
        <v>124</v>
      </c>
      <c r="F86" s="68" t="s">
        <v>10</v>
      </c>
      <c r="G86" s="31">
        <v>46062</v>
      </c>
      <c r="H86" s="28" t="s">
        <v>47</v>
      </c>
      <c r="I86" s="67">
        <v>0.29166666666666669</v>
      </c>
      <c r="J86" s="67">
        <v>0.52083333333333337</v>
      </c>
      <c r="K86" s="67">
        <v>0.875</v>
      </c>
      <c r="L86" s="28">
        <v>420</v>
      </c>
    </row>
    <row r="87" spans="1:12" hidden="1" x14ac:dyDescent="0.3">
      <c r="A87" s="28" t="s">
        <v>46</v>
      </c>
      <c r="B87" s="28" t="s">
        <v>33</v>
      </c>
      <c r="C87" s="29" t="s">
        <v>56</v>
      </c>
      <c r="D87" s="30" t="s">
        <v>187</v>
      </c>
      <c r="E87" s="28" t="s">
        <v>42</v>
      </c>
      <c r="F87" s="68" t="s">
        <v>10</v>
      </c>
      <c r="G87" s="31">
        <v>46062</v>
      </c>
      <c r="H87" s="28" t="s">
        <v>47</v>
      </c>
      <c r="I87" s="67">
        <v>2.0833333333333332E-2</v>
      </c>
      <c r="J87" s="67">
        <v>0.66666666666666663</v>
      </c>
      <c r="K87" s="67">
        <v>0.6875</v>
      </c>
      <c r="L87" s="28">
        <v>30</v>
      </c>
    </row>
    <row r="88" spans="1:12" ht="60.6" hidden="1" x14ac:dyDescent="0.3">
      <c r="A88" s="28" t="s">
        <v>46</v>
      </c>
      <c r="B88" s="28" t="s">
        <v>33</v>
      </c>
      <c r="C88" s="29" t="s">
        <v>57</v>
      </c>
      <c r="D88" s="30" t="s">
        <v>212</v>
      </c>
      <c r="E88" s="28" t="s">
        <v>124</v>
      </c>
      <c r="F88" s="69" t="s">
        <v>45</v>
      </c>
      <c r="G88" s="31">
        <v>46063</v>
      </c>
      <c r="H88" s="28" t="s">
        <v>47</v>
      </c>
      <c r="I88" s="67">
        <v>0.29166666666666669</v>
      </c>
      <c r="J88" s="67">
        <v>0.52083333333333337</v>
      </c>
      <c r="K88" s="67">
        <v>0.875</v>
      </c>
      <c r="L88" s="28">
        <v>420</v>
      </c>
    </row>
    <row r="89" spans="1:12" ht="60.6" hidden="1" x14ac:dyDescent="0.3">
      <c r="A89" s="28" t="s">
        <v>46</v>
      </c>
      <c r="B89" s="28" t="s">
        <v>33</v>
      </c>
      <c r="C89" s="29" t="s">
        <v>57</v>
      </c>
      <c r="D89" s="30" t="s">
        <v>212</v>
      </c>
      <c r="E89" s="28" t="s">
        <v>124</v>
      </c>
      <c r="F89" s="68" t="s">
        <v>10</v>
      </c>
      <c r="G89" s="31">
        <v>46064</v>
      </c>
      <c r="H89" s="28" t="s">
        <v>47</v>
      </c>
      <c r="I89" s="67">
        <v>0.29166666666666669</v>
      </c>
      <c r="J89" s="67">
        <v>0.52083333333333337</v>
      </c>
      <c r="K89" s="67">
        <v>0.875</v>
      </c>
      <c r="L89" s="28">
        <v>420</v>
      </c>
    </row>
    <row r="90" spans="1:12" ht="24.6" hidden="1" x14ac:dyDescent="0.3">
      <c r="A90" s="28" t="s">
        <v>46</v>
      </c>
      <c r="B90" s="28" t="s">
        <v>33</v>
      </c>
      <c r="C90" s="29" t="s">
        <v>57</v>
      </c>
      <c r="D90" s="30" t="s">
        <v>213</v>
      </c>
      <c r="E90" s="28" t="s">
        <v>124</v>
      </c>
      <c r="F90" s="68" t="s">
        <v>10</v>
      </c>
      <c r="G90" s="31">
        <v>46064</v>
      </c>
      <c r="H90" s="28" t="s">
        <v>47</v>
      </c>
      <c r="I90" s="67">
        <v>8.3333333333333329E-2</v>
      </c>
      <c r="J90" s="67">
        <v>0.52083333333333337</v>
      </c>
      <c r="K90" s="67">
        <v>0.72916666666666663</v>
      </c>
      <c r="L90" s="28">
        <v>120</v>
      </c>
    </row>
    <row r="91" spans="1:12" hidden="1" x14ac:dyDescent="0.3">
      <c r="A91" s="28" t="s">
        <v>46</v>
      </c>
      <c r="B91" s="28" t="s">
        <v>33</v>
      </c>
      <c r="C91" s="29" t="s">
        <v>56</v>
      </c>
      <c r="D91" s="30" t="s">
        <v>214</v>
      </c>
      <c r="E91" s="28" t="s">
        <v>124</v>
      </c>
      <c r="F91" s="68" t="s">
        <v>10</v>
      </c>
      <c r="G91" s="31">
        <v>46065</v>
      </c>
      <c r="H91" s="28" t="s">
        <v>47</v>
      </c>
      <c r="I91" s="67">
        <v>4.1666666666666664E-2</v>
      </c>
      <c r="J91" s="67">
        <v>0.6875</v>
      </c>
      <c r="K91" s="67">
        <v>0.72916666666666663</v>
      </c>
      <c r="L91" s="28">
        <v>60</v>
      </c>
    </row>
    <row r="92" spans="1:12" hidden="1" x14ac:dyDescent="0.3">
      <c r="A92" s="28" t="s">
        <v>46</v>
      </c>
      <c r="B92" s="28" t="s">
        <v>33</v>
      </c>
      <c r="C92" s="29" t="s">
        <v>57</v>
      </c>
      <c r="D92" s="30" t="s">
        <v>217</v>
      </c>
      <c r="E92" s="28" t="s">
        <v>124</v>
      </c>
      <c r="F92" s="68" t="s">
        <v>10</v>
      </c>
      <c r="G92" s="31">
        <v>46065</v>
      </c>
      <c r="H92" s="28" t="s">
        <v>47</v>
      </c>
      <c r="I92" s="67">
        <v>8.3333333333333329E-2</v>
      </c>
      <c r="J92" s="67">
        <v>0.77083333333333337</v>
      </c>
      <c r="K92" s="67">
        <v>0.85416666666666663</v>
      </c>
      <c r="L92" s="28">
        <v>120</v>
      </c>
    </row>
    <row r="93" spans="1:12" hidden="1" x14ac:dyDescent="0.3">
      <c r="A93" s="28" t="s">
        <v>46</v>
      </c>
      <c r="B93" s="28" t="s">
        <v>33</v>
      </c>
      <c r="C93" s="29" t="s">
        <v>56</v>
      </c>
      <c r="D93" s="30" t="s">
        <v>215</v>
      </c>
      <c r="E93" s="28" t="s">
        <v>124</v>
      </c>
      <c r="F93" s="68" t="s">
        <v>10</v>
      </c>
      <c r="G93" s="31">
        <v>46065</v>
      </c>
      <c r="H93" s="28" t="s">
        <v>47</v>
      </c>
      <c r="I93" s="67">
        <v>2.0833333333333332E-2</v>
      </c>
      <c r="J93" s="67">
        <v>0.72916666666666663</v>
      </c>
      <c r="K93" s="67">
        <v>0.75</v>
      </c>
      <c r="L93" s="28">
        <v>30</v>
      </c>
    </row>
    <row r="94" spans="1:12" ht="24.6" hidden="1" x14ac:dyDescent="0.3">
      <c r="A94" s="28" t="s">
        <v>46</v>
      </c>
      <c r="B94" s="28" t="s">
        <v>33</v>
      </c>
      <c r="C94" s="29" t="s">
        <v>57</v>
      </c>
      <c r="D94" s="30" t="s">
        <v>213</v>
      </c>
      <c r="E94" s="28" t="s">
        <v>124</v>
      </c>
      <c r="F94" s="68" t="s">
        <v>10</v>
      </c>
      <c r="G94" s="31">
        <v>46065</v>
      </c>
      <c r="H94" s="28" t="s">
        <v>47</v>
      </c>
      <c r="I94" s="67">
        <v>0.10416666666666667</v>
      </c>
      <c r="J94" s="67">
        <v>0.5</v>
      </c>
      <c r="K94" s="67">
        <v>0.72916666666666663</v>
      </c>
      <c r="L94" s="28">
        <v>150</v>
      </c>
    </row>
    <row r="95" spans="1:12" ht="24.6" hidden="1" x14ac:dyDescent="0.3">
      <c r="A95" s="76" t="s">
        <v>60</v>
      </c>
      <c r="B95" s="76" t="s">
        <v>33</v>
      </c>
      <c r="C95" s="76" t="s">
        <v>64</v>
      </c>
      <c r="D95" s="80" t="s">
        <v>219</v>
      </c>
      <c r="E95" s="76" t="s">
        <v>42</v>
      </c>
      <c r="F95" s="68" t="s">
        <v>10</v>
      </c>
      <c r="G95" s="77">
        <v>46069</v>
      </c>
      <c r="H95" s="76" t="s">
        <v>69</v>
      </c>
      <c r="I95" s="78">
        <v>0.3125</v>
      </c>
      <c r="J95" s="78">
        <v>0.5</v>
      </c>
      <c r="K95" s="78">
        <v>0.83333333333333337</v>
      </c>
      <c r="L95" s="76">
        <v>450</v>
      </c>
    </row>
    <row r="96" spans="1:12" hidden="1" x14ac:dyDescent="0.3">
      <c r="A96" s="76" t="s">
        <v>60</v>
      </c>
      <c r="B96" s="76" t="s">
        <v>33</v>
      </c>
      <c r="C96" s="76" t="s">
        <v>65</v>
      </c>
      <c r="D96" s="80" t="s">
        <v>179</v>
      </c>
      <c r="E96" s="76" t="s">
        <v>42</v>
      </c>
      <c r="F96" s="68" t="s">
        <v>10</v>
      </c>
      <c r="G96" s="77">
        <v>46069</v>
      </c>
      <c r="H96" s="76" t="s">
        <v>69</v>
      </c>
      <c r="I96" s="78">
        <v>2.0833333333333332E-2</v>
      </c>
      <c r="J96" s="78">
        <v>0.6875</v>
      </c>
      <c r="K96" s="78">
        <v>0.70833333333333337</v>
      </c>
      <c r="L96" s="76">
        <v>30</v>
      </c>
    </row>
    <row r="97" spans="1:12" ht="24.6" hidden="1" x14ac:dyDescent="0.3">
      <c r="A97" s="76" t="s">
        <v>60</v>
      </c>
      <c r="B97" s="76" t="s">
        <v>33</v>
      </c>
      <c r="C97" s="76" t="s">
        <v>64</v>
      </c>
      <c r="D97" s="80" t="s">
        <v>220</v>
      </c>
      <c r="E97" s="76" t="s">
        <v>42</v>
      </c>
      <c r="F97" s="68" t="s">
        <v>10</v>
      </c>
      <c r="G97" s="77">
        <v>46070</v>
      </c>
      <c r="H97" s="76" t="s">
        <v>69</v>
      </c>
      <c r="I97" s="78">
        <v>0.29166666666666669</v>
      </c>
      <c r="J97" s="78">
        <v>0.5</v>
      </c>
      <c r="K97" s="78">
        <v>0.83333333333333337</v>
      </c>
      <c r="L97" s="76">
        <v>420</v>
      </c>
    </row>
    <row r="98" spans="1:12" ht="24.6" hidden="1" x14ac:dyDescent="0.3">
      <c r="A98" s="76" t="s">
        <v>60</v>
      </c>
      <c r="B98" s="76" t="s">
        <v>33</v>
      </c>
      <c r="C98" s="76" t="s">
        <v>64</v>
      </c>
      <c r="D98" s="80" t="s">
        <v>221</v>
      </c>
      <c r="E98" s="76" t="s">
        <v>42</v>
      </c>
      <c r="F98" s="68" t="s">
        <v>10</v>
      </c>
      <c r="G98" s="77">
        <v>46071</v>
      </c>
      <c r="H98" s="76" t="s">
        <v>69</v>
      </c>
      <c r="I98" s="78">
        <v>0.20833333333333334</v>
      </c>
      <c r="J98" s="78">
        <v>0.5</v>
      </c>
      <c r="K98" s="78">
        <v>0.78125</v>
      </c>
      <c r="L98" s="76">
        <v>300</v>
      </c>
    </row>
    <row r="99" spans="1:12" ht="24.6" hidden="1" x14ac:dyDescent="0.3">
      <c r="A99" s="76" t="s">
        <v>60</v>
      </c>
      <c r="B99" s="76" t="s">
        <v>33</v>
      </c>
      <c r="C99" s="76" t="s">
        <v>64</v>
      </c>
      <c r="D99" s="80" t="s">
        <v>222</v>
      </c>
      <c r="E99" s="76" t="s">
        <v>42</v>
      </c>
      <c r="F99" s="68" t="s">
        <v>10</v>
      </c>
      <c r="G99" s="77">
        <v>46071</v>
      </c>
      <c r="H99" s="76" t="s">
        <v>69</v>
      </c>
      <c r="I99" s="78">
        <v>0.125</v>
      </c>
      <c r="J99" s="78">
        <v>0.79166666666666663</v>
      </c>
      <c r="K99" s="78">
        <v>0.91666666666666663</v>
      </c>
      <c r="L99" s="76">
        <v>180</v>
      </c>
    </row>
    <row r="100" spans="1:12" ht="36.6" hidden="1" x14ac:dyDescent="0.3">
      <c r="A100" s="76" t="s">
        <v>60</v>
      </c>
      <c r="B100" s="76" t="s">
        <v>33</v>
      </c>
      <c r="C100" s="76" t="s">
        <v>64</v>
      </c>
      <c r="D100" s="80" t="s">
        <v>224</v>
      </c>
      <c r="E100" s="76" t="s">
        <v>42</v>
      </c>
      <c r="F100" s="68" t="s">
        <v>10</v>
      </c>
      <c r="G100" s="77">
        <v>46072</v>
      </c>
      <c r="H100" s="76" t="s">
        <v>69</v>
      </c>
      <c r="I100" s="78">
        <v>0.29166666666666669</v>
      </c>
      <c r="J100" s="78">
        <v>0.5</v>
      </c>
      <c r="K100" s="78">
        <v>0.875</v>
      </c>
      <c r="L100" s="76">
        <v>420</v>
      </c>
    </row>
    <row r="101" spans="1:12" ht="36.6" hidden="1" x14ac:dyDescent="0.3">
      <c r="A101" s="76" t="s">
        <v>60</v>
      </c>
      <c r="B101" s="76" t="s">
        <v>33</v>
      </c>
      <c r="C101" s="76" t="s">
        <v>65</v>
      </c>
      <c r="D101" s="80" t="s">
        <v>223</v>
      </c>
      <c r="E101" s="76" t="s">
        <v>42</v>
      </c>
      <c r="F101" s="68" t="s">
        <v>10</v>
      </c>
      <c r="G101" s="77">
        <v>46072</v>
      </c>
      <c r="H101" s="76" t="s">
        <v>69</v>
      </c>
      <c r="I101" s="78">
        <v>4.1666666666666664E-2</v>
      </c>
      <c r="J101" s="78">
        <v>0.6875</v>
      </c>
      <c r="K101" s="78">
        <v>0.72916666666666663</v>
      </c>
      <c r="L101" s="76">
        <v>60</v>
      </c>
    </row>
    <row r="102" spans="1:12" ht="24.6" hidden="1" x14ac:dyDescent="0.3">
      <c r="A102" s="76" t="s">
        <v>60</v>
      </c>
      <c r="B102" s="76" t="s">
        <v>33</v>
      </c>
      <c r="C102" s="76" t="s">
        <v>64</v>
      </c>
      <c r="D102" s="80" t="s">
        <v>225</v>
      </c>
      <c r="E102" s="76" t="s">
        <v>42</v>
      </c>
      <c r="F102" s="69" t="s">
        <v>45</v>
      </c>
      <c r="G102" s="77">
        <v>46073</v>
      </c>
      <c r="H102" s="76" t="s">
        <v>69</v>
      </c>
      <c r="I102" s="78">
        <v>0.29166666666666669</v>
      </c>
      <c r="J102" s="78">
        <v>0.5</v>
      </c>
      <c r="K102" s="78">
        <v>0.875</v>
      </c>
      <c r="L102" s="76">
        <v>420</v>
      </c>
    </row>
    <row r="103" spans="1:12" hidden="1" x14ac:dyDescent="0.3">
      <c r="A103" s="28" t="s">
        <v>46</v>
      </c>
      <c r="B103" s="28" t="s">
        <v>33</v>
      </c>
      <c r="C103" s="29" t="s">
        <v>56</v>
      </c>
      <c r="D103" s="30" t="s">
        <v>179</v>
      </c>
      <c r="E103" s="28" t="s">
        <v>42</v>
      </c>
      <c r="F103" s="68" t="s">
        <v>10</v>
      </c>
      <c r="G103" s="31">
        <v>46069</v>
      </c>
      <c r="H103" s="28" t="s">
        <v>47</v>
      </c>
      <c r="I103" s="67">
        <v>2.0833333333333332E-2</v>
      </c>
      <c r="J103" s="67">
        <v>0.6875</v>
      </c>
      <c r="K103" s="67">
        <v>0.70833333333333337</v>
      </c>
      <c r="L103" s="28">
        <v>30</v>
      </c>
    </row>
    <row r="104" spans="1:12" ht="24.6" hidden="1" x14ac:dyDescent="0.3">
      <c r="A104" s="28" t="s">
        <v>46</v>
      </c>
      <c r="B104" s="28" t="s">
        <v>33</v>
      </c>
      <c r="C104" s="29" t="s">
        <v>72</v>
      </c>
      <c r="D104" s="30" t="s">
        <v>237</v>
      </c>
      <c r="E104" s="28" t="s">
        <v>42</v>
      </c>
      <c r="F104" s="68" t="s">
        <v>10</v>
      </c>
      <c r="G104" s="31">
        <v>46069</v>
      </c>
      <c r="H104" s="28" t="s">
        <v>47</v>
      </c>
      <c r="I104" s="67">
        <v>0.29166666666666669</v>
      </c>
      <c r="J104" s="67">
        <v>0.47916666666666669</v>
      </c>
      <c r="K104" s="67">
        <v>0.89583333333333337</v>
      </c>
      <c r="L104" s="28">
        <v>420</v>
      </c>
    </row>
    <row r="105" spans="1:12" ht="24.6" hidden="1" x14ac:dyDescent="0.3">
      <c r="A105" s="28" t="s">
        <v>46</v>
      </c>
      <c r="B105" s="28" t="s">
        <v>33</v>
      </c>
      <c r="C105" s="29" t="s">
        <v>72</v>
      </c>
      <c r="D105" s="30" t="s">
        <v>238</v>
      </c>
      <c r="E105" s="28" t="s">
        <v>42</v>
      </c>
      <c r="F105" s="68" t="s">
        <v>10</v>
      </c>
      <c r="G105" s="31">
        <v>46070</v>
      </c>
      <c r="H105" s="28" t="s">
        <v>47</v>
      </c>
      <c r="I105" s="67">
        <v>0.10416666666666667</v>
      </c>
      <c r="J105" s="67">
        <v>0.83333333333333337</v>
      </c>
      <c r="K105" s="67">
        <v>0.9375</v>
      </c>
      <c r="L105" s="28">
        <v>150</v>
      </c>
    </row>
    <row r="106" spans="1:12" hidden="1" x14ac:dyDescent="0.3">
      <c r="A106" s="28" t="s">
        <v>46</v>
      </c>
      <c r="B106" s="28" t="s">
        <v>33</v>
      </c>
      <c r="C106" s="29" t="s">
        <v>72</v>
      </c>
      <c r="D106" s="30" t="s">
        <v>239</v>
      </c>
      <c r="E106" s="28" t="s">
        <v>42</v>
      </c>
      <c r="F106" s="68" t="s">
        <v>10</v>
      </c>
      <c r="G106" s="31">
        <v>46070</v>
      </c>
      <c r="H106" s="28" t="s">
        <v>47</v>
      </c>
      <c r="I106" s="67">
        <v>0.1875</v>
      </c>
      <c r="J106" s="67">
        <v>0.5</v>
      </c>
      <c r="K106" s="67">
        <v>0.72916666666666663</v>
      </c>
      <c r="L106" s="28">
        <v>270</v>
      </c>
    </row>
    <row r="107" spans="1:12" ht="24.6" hidden="1" x14ac:dyDescent="0.3">
      <c r="A107" s="28" t="s">
        <v>46</v>
      </c>
      <c r="B107" s="28" t="s">
        <v>33</v>
      </c>
      <c r="C107" s="29" t="s">
        <v>72</v>
      </c>
      <c r="D107" s="30" t="s">
        <v>240</v>
      </c>
      <c r="E107" s="28" t="s">
        <v>42</v>
      </c>
      <c r="F107" s="68" t="s">
        <v>10</v>
      </c>
      <c r="G107" s="31">
        <v>46070</v>
      </c>
      <c r="H107" s="28" t="s">
        <v>47</v>
      </c>
      <c r="I107" s="67">
        <v>0.25</v>
      </c>
      <c r="J107" s="67">
        <v>0.5</v>
      </c>
      <c r="K107" s="67">
        <v>0.89583333333333337</v>
      </c>
      <c r="L107" s="28">
        <v>360</v>
      </c>
    </row>
    <row r="108" spans="1:12" ht="36.6" hidden="1" x14ac:dyDescent="0.3">
      <c r="A108" s="28" t="s">
        <v>46</v>
      </c>
      <c r="B108" s="28" t="s">
        <v>33</v>
      </c>
      <c r="C108" s="29" t="s">
        <v>72</v>
      </c>
      <c r="D108" s="30" t="s">
        <v>236</v>
      </c>
      <c r="E108" s="28" t="s">
        <v>42</v>
      </c>
      <c r="F108" s="68" t="s">
        <v>10</v>
      </c>
      <c r="G108" s="31">
        <v>46071</v>
      </c>
      <c r="H108" s="28" t="s">
        <v>47</v>
      </c>
      <c r="I108" s="67">
        <v>0.33333333333333331</v>
      </c>
      <c r="J108" s="67">
        <v>0.5</v>
      </c>
      <c r="K108" s="67">
        <v>0.89583333333333337</v>
      </c>
      <c r="L108" s="28">
        <v>480</v>
      </c>
    </row>
    <row r="109" spans="1:12" ht="24.6" hidden="1" x14ac:dyDescent="0.3">
      <c r="A109" s="28" t="s">
        <v>46</v>
      </c>
      <c r="B109" s="28" t="s">
        <v>33</v>
      </c>
      <c r="C109" s="29" t="s">
        <v>72</v>
      </c>
      <c r="D109" s="30" t="s">
        <v>147</v>
      </c>
      <c r="E109" s="28" t="s">
        <v>42</v>
      </c>
      <c r="F109" s="68" t="s">
        <v>10</v>
      </c>
      <c r="G109" s="31">
        <v>46072</v>
      </c>
      <c r="H109" s="28" t="s">
        <v>47</v>
      </c>
      <c r="I109" s="67">
        <v>0.3125</v>
      </c>
      <c r="J109" s="67">
        <v>0.5</v>
      </c>
      <c r="K109" s="67">
        <v>0.89583333333333337</v>
      </c>
      <c r="L109" s="28">
        <v>450</v>
      </c>
    </row>
    <row r="110" spans="1:12" ht="24.6" hidden="1" x14ac:dyDescent="0.3">
      <c r="A110" s="28" t="s">
        <v>46</v>
      </c>
      <c r="B110" s="28" t="s">
        <v>33</v>
      </c>
      <c r="C110" s="29" t="s">
        <v>72</v>
      </c>
      <c r="D110" s="30" t="s">
        <v>234</v>
      </c>
      <c r="E110" s="28" t="s">
        <v>42</v>
      </c>
      <c r="F110" s="68" t="s">
        <v>10</v>
      </c>
      <c r="G110" s="31">
        <v>46073</v>
      </c>
      <c r="H110" s="28" t="s">
        <v>47</v>
      </c>
      <c r="I110" s="67">
        <v>0.125</v>
      </c>
      <c r="J110" s="67">
        <v>0.5</v>
      </c>
      <c r="K110" s="67">
        <v>0.89583333333333337</v>
      </c>
      <c r="L110" s="28">
        <v>180</v>
      </c>
    </row>
    <row r="111" spans="1:12" ht="24.6" hidden="1" x14ac:dyDescent="0.3">
      <c r="A111" s="28" t="s">
        <v>46</v>
      </c>
      <c r="B111" s="28" t="s">
        <v>33</v>
      </c>
      <c r="C111" s="29" t="s">
        <v>72</v>
      </c>
      <c r="D111" s="30" t="s">
        <v>235</v>
      </c>
      <c r="E111" s="28" t="s">
        <v>42</v>
      </c>
      <c r="F111" s="68" t="s">
        <v>10</v>
      </c>
      <c r="G111" s="31">
        <v>46073</v>
      </c>
      <c r="H111" s="28" t="s">
        <v>47</v>
      </c>
      <c r="I111" s="67">
        <v>0.125</v>
      </c>
      <c r="J111" s="67">
        <v>0.5</v>
      </c>
      <c r="K111" s="67">
        <v>0.89583333333333337</v>
      </c>
      <c r="L111" s="28">
        <v>180</v>
      </c>
    </row>
    <row r="112" spans="1:12" ht="24.6" hidden="1" x14ac:dyDescent="0.3">
      <c r="A112" s="76" t="s">
        <v>60</v>
      </c>
      <c r="B112" s="76" t="s">
        <v>33</v>
      </c>
      <c r="C112" s="76" t="s">
        <v>64</v>
      </c>
      <c r="D112" s="80" t="s">
        <v>246</v>
      </c>
      <c r="E112" s="76" t="s">
        <v>42</v>
      </c>
      <c r="F112" s="68" t="s">
        <v>10</v>
      </c>
      <c r="G112" s="77">
        <v>46076</v>
      </c>
      <c r="H112" s="76" t="s">
        <v>69</v>
      </c>
      <c r="I112" s="78">
        <v>0.3125</v>
      </c>
      <c r="J112" s="78">
        <v>0.5</v>
      </c>
      <c r="K112" s="78">
        <v>0.83333333333333337</v>
      </c>
      <c r="L112" s="76">
        <v>450</v>
      </c>
    </row>
    <row r="113" spans="1:12" hidden="1" x14ac:dyDescent="0.3">
      <c r="A113" s="76" t="s">
        <v>60</v>
      </c>
      <c r="B113" s="76" t="s">
        <v>33</v>
      </c>
      <c r="C113" s="76" t="s">
        <v>65</v>
      </c>
      <c r="D113" s="80" t="s">
        <v>179</v>
      </c>
      <c r="E113" s="76" t="s">
        <v>42</v>
      </c>
      <c r="F113" s="68" t="s">
        <v>10</v>
      </c>
      <c r="G113" s="77">
        <v>46076</v>
      </c>
      <c r="H113" s="76" t="s">
        <v>69</v>
      </c>
      <c r="I113" s="78">
        <v>2.0833333333333332E-2</v>
      </c>
      <c r="J113" s="78">
        <v>0.6875</v>
      </c>
      <c r="K113" s="78">
        <v>0.70833333333333337</v>
      </c>
      <c r="L113" s="76">
        <v>30</v>
      </c>
    </row>
    <row r="114" spans="1:12" ht="24.6" hidden="1" x14ac:dyDescent="0.3">
      <c r="A114" s="76" t="s">
        <v>60</v>
      </c>
      <c r="B114" s="76" t="s">
        <v>33</v>
      </c>
      <c r="C114" s="76" t="s">
        <v>64</v>
      </c>
      <c r="D114" s="80" t="s">
        <v>247</v>
      </c>
      <c r="E114" s="76" t="s">
        <v>42</v>
      </c>
      <c r="F114" s="68" t="s">
        <v>10</v>
      </c>
      <c r="G114" s="77">
        <v>46077</v>
      </c>
      <c r="H114" s="76" t="s">
        <v>69</v>
      </c>
      <c r="I114" s="78">
        <v>0.29166666666666669</v>
      </c>
      <c r="J114" s="78">
        <v>0.5</v>
      </c>
      <c r="K114" s="78">
        <v>0.83333333333333337</v>
      </c>
      <c r="L114" s="76">
        <v>420</v>
      </c>
    </row>
    <row r="115" spans="1:12" ht="24.6" hidden="1" x14ac:dyDescent="0.3">
      <c r="A115" s="76" t="s">
        <v>60</v>
      </c>
      <c r="B115" s="76" t="s">
        <v>33</v>
      </c>
      <c r="C115" s="76" t="s">
        <v>65</v>
      </c>
      <c r="D115" s="80" t="s">
        <v>250</v>
      </c>
      <c r="E115" s="76" t="s">
        <v>42</v>
      </c>
      <c r="F115" s="68" t="s">
        <v>10</v>
      </c>
      <c r="G115" s="77">
        <v>46077</v>
      </c>
      <c r="H115" s="76" t="s">
        <v>69</v>
      </c>
      <c r="I115" s="78">
        <v>2.0833333333333332E-2</v>
      </c>
      <c r="J115" s="78">
        <v>0.66666666666666663</v>
      </c>
      <c r="K115" s="78">
        <v>0.6875</v>
      </c>
      <c r="L115" s="76">
        <v>30</v>
      </c>
    </row>
    <row r="116" spans="1:12" ht="24.6" hidden="1" x14ac:dyDescent="0.3">
      <c r="A116" s="76" t="s">
        <v>60</v>
      </c>
      <c r="B116" s="76" t="s">
        <v>33</v>
      </c>
      <c r="C116" s="76" t="s">
        <v>64</v>
      </c>
      <c r="D116" s="80" t="s">
        <v>248</v>
      </c>
      <c r="E116" s="76" t="s">
        <v>42</v>
      </c>
      <c r="F116" s="68" t="s">
        <v>10</v>
      </c>
      <c r="G116" s="77">
        <v>46078</v>
      </c>
      <c r="H116" s="76" t="s">
        <v>69</v>
      </c>
      <c r="I116" s="78">
        <v>0.33333333333333331</v>
      </c>
      <c r="J116" s="78">
        <v>0.5</v>
      </c>
      <c r="K116" s="78">
        <v>0.875</v>
      </c>
      <c r="L116" s="76">
        <v>480</v>
      </c>
    </row>
    <row r="117" spans="1:12" ht="24.6" hidden="1" x14ac:dyDescent="0.3">
      <c r="A117" s="76" t="s">
        <v>60</v>
      </c>
      <c r="B117" s="76" t="s">
        <v>33</v>
      </c>
      <c r="C117" s="76" t="s">
        <v>64</v>
      </c>
      <c r="D117" s="80" t="s">
        <v>249</v>
      </c>
      <c r="E117" s="76" t="s">
        <v>42</v>
      </c>
      <c r="F117" s="68" t="s">
        <v>10</v>
      </c>
      <c r="G117" s="77">
        <v>46079</v>
      </c>
      <c r="H117" s="76" t="s">
        <v>69</v>
      </c>
      <c r="I117" s="78">
        <v>0.25</v>
      </c>
      <c r="J117" s="78">
        <v>0.5</v>
      </c>
      <c r="K117" s="78">
        <v>0.75</v>
      </c>
      <c r="L117" s="76">
        <v>360</v>
      </c>
    </row>
    <row r="118" spans="1:12" ht="24.6" hidden="1" x14ac:dyDescent="0.3">
      <c r="A118" s="76" t="s">
        <v>60</v>
      </c>
      <c r="B118" s="76" t="s">
        <v>33</v>
      </c>
      <c r="C118" s="76" t="s">
        <v>64</v>
      </c>
      <c r="D118" s="80" t="s">
        <v>251</v>
      </c>
      <c r="E118" s="76" t="s">
        <v>42</v>
      </c>
      <c r="F118" s="68" t="s">
        <v>10</v>
      </c>
      <c r="G118" s="77">
        <v>46079</v>
      </c>
      <c r="H118" s="76" t="s">
        <v>69</v>
      </c>
      <c r="I118" s="78">
        <v>0.14583333333333334</v>
      </c>
      <c r="J118" s="78">
        <v>0.77083333333333337</v>
      </c>
      <c r="K118" s="78">
        <v>0.9375</v>
      </c>
      <c r="L118" s="76">
        <v>210</v>
      </c>
    </row>
    <row r="119" spans="1:12" ht="24.6" hidden="1" x14ac:dyDescent="0.3">
      <c r="A119" s="76" t="s">
        <v>60</v>
      </c>
      <c r="B119" s="76" t="s">
        <v>33</v>
      </c>
      <c r="C119" s="76" t="s">
        <v>64</v>
      </c>
      <c r="D119" s="80" t="s">
        <v>252</v>
      </c>
      <c r="E119" s="76" t="s">
        <v>42</v>
      </c>
      <c r="F119" s="69" t="s">
        <v>45</v>
      </c>
      <c r="G119" s="77">
        <v>46080</v>
      </c>
      <c r="H119" s="76" t="s">
        <v>69</v>
      </c>
      <c r="I119" s="78">
        <v>0.29166666666666669</v>
      </c>
      <c r="J119" s="78">
        <v>0.5</v>
      </c>
      <c r="K119" s="78">
        <v>0.875</v>
      </c>
      <c r="L119" s="76">
        <v>420</v>
      </c>
    </row>
    <row r="120" spans="1:12" hidden="1" x14ac:dyDescent="0.3">
      <c r="A120" s="28" t="s">
        <v>46</v>
      </c>
      <c r="B120" s="28" t="s">
        <v>33</v>
      </c>
      <c r="C120" s="29" t="s">
        <v>56</v>
      </c>
      <c r="D120" s="30" t="s">
        <v>179</v>
      </c>
      <c r="E120" s="28" t="s">
        <v>42</v>
      </c>
      <c r="F120" s="68" t="s">
        <v>10</v>
      </c>
      <c r="G120" s="31">
        <v>46076</v>
      </c>
      <c r="H120" s="28" t="s">
        <v>47</v>
      </c>
      <c r="I120" s="67">
        <v>2.0833333333333332E-2</v>
      </c>
      <c r="J120" s="67">
        <v>0.6875</v>
      </c>
      <c r="K120" s="67">
        <v>0.70833333333333337</v>
      </c>
      <c r="L120" s="28">
        <v>30</v>
      </c>
    </row>
    <row r="121" spans="1:12" ht="24.6" hidden="1" x14ac:dyDescent="0.3">
      <c r="A121" s="28" t="s">
        <v>46</v>
      </c>
      <c r="B121" s="28" t="s">
        <v>33</v>
      </c>
      <c r="C121" s="29" t="s">
        <v>72</v>
      </c>
      <c r="D121" s="30" t="s">
        <v>259</v>
      </c>
      <c r="E121" s="28" t="s">
        <v>42</v>
      </c>
      <c r="F121" s="69" t="s">
        <v>45</v>
      </c>
      <c r="G121" s="31">
        <v>46076</v>
      </c>
      <c r="H121" s="28" t="s">
        <v>47</v>
      </c>
      <c r="I121" s="67">
        <v>0.29166666666666669</v>
      </c>
      <c r="J121" s="67">
        <v>0.5</v>
      </c>
      <c r="K121" s="67">
        <v>0.89583333333333337</v>
      </c>
      <c r="L121" s="28">
        <v>420</v>
      </c>
    </row>
    <row r="122" spans="1:12" ht="24.6" hidden="1" x14ac:dyDescent="0.3">
      <c r="A122" s="28" t="s">
        <v>46</v>
      </c>
      <c r="B122" s="28" t="s">
        <v>33</v>
      </c>
      <c r="C122" s="29" t="s">
        <v>72</v>
      </c>
      <c r="D122" s="30" t="s">
        <v>147</v>
      </c>
      <c r="E122" s="28" t="s">
        <v>42</v>
      </c>
      <c r="F122" s="68" t="s">
        <v>10</v>
      </c>
      <c r="G122" s="31">
        <v>46077</v>
      </c>
      <c r="H122" s="28" t="s">
        <v>47</v>
      </c>
      <c r="I122" s="67">
        <v>0.20833333333333334</v>
      </c>
      <c r="J122" s="67">
        <v>0.5</v>
      </c>
      <c r="K122" s="67">
        <v>0.89583333333333337</v>
      </c>
      <c r="L122" s="28">
        <v>300</v>
      </c>
    </row>
    <row r="123" spans="1:12" ht="24.6" hidden="1" x14ac:dyDescent="0.3">
      <c r="A123" s="28" t="s">
        <v>46</v>
      </c>
      <c r="B123" s="28" t="s">
        <v>33</v>
      </c>
      <c r="C123" s="29" t="s">
        <v>72</v>
      </c>
      <c r="D123" s="30" t="s">
        <v>264</v>
      </c>
      <c r="E123" s="28" t="s">
        <v>42</v>
      </c>
      <c r="F123" s="69" t="s">
        <v>45</v>
      </c>
      <c r="G123" s="31">
        <v>46077</v>
      </c>
      <c r="H123" s="28" t="s">
        <v>47</v>
      </c>
      <c r="I123" s="67">
        <v>0.20833333333333334</v>
      </c>
      <c r="J123" s="67">
        <v>0.5</v>
      </c>
      <c r="K123" s="67">
        <v>0.89583333333333337</v>
      </c>
      <c r="L123" s="28">
        <v>300</v>
      </c>
    </row>
    <row r="124" spans="1:12" ht="24.6" hidden="1" x14ac:dyDescent="0.3">
      <c r="A124" s="28" t="s">
        <v>46</v>
      </c>
      <c r="B124" s="28" t="s">
        <v>33</v>
      </c>
      <c r="C124" s="29" t="s">
        <v>72</v>
      </c>
      <c r="D124" s="30" t="s">
        <v>259</v>
      </c>
      <c r="E124" s="28" t="s">
        <v>42</v>
      </c>
      <c r="F124" s="68" t="s">
        <v>10</v>
      </c>
      <c r="G124" s="31">
        <v>46078</v>
      </c>
      <c r="H124" s="28" t="s">
        <v>47</v>
      </c>
      <c r="I124" s="67">
        <v>0.33333333333333331</v>
      </c>
      <c r="J124" s="67">
        <v>0.5</v>
      </c>
      <c r="K124" s="67">
        <v>0.89583333333333337</v>
      </c>
      <c r="L124" s="28">
        <v>480</v>
      </c>
    </row>
    <row r="125" spans="1:12" ht="24.6" hidden="1" x14ac:dyDescent="0.3">
      <c r="A125" s="28" t="s">
        <v>46</v>
      </c>
      <c r="B125" s="28" t="s">
        <v>33</v>
      </c>
      <c r="C125" s="29" t="s">
        <v>72</v>
      </c>
      <c r="D125" s="30" t="s">
        <v>260</v>
      </c>
      <c r="E125" s="28" t="s">
        <v>42</v>
      </c>
      <c r="F125" s="69" t="s">
        <v>45</v>
      </c>
      <c r="G125" s="31">
        <v>46079</v>
      </c>
      <c r="H125" s="28" t="s">
        <v>47</v>
      </c>
      <c r="I125" s="67">
        <v>0.29166666666666669</v>
      </c>
      <c r="J125" s="67">
        <v>0.5</v>
      </c>
      <c r="K125" s="67">
        <v>0.89583333333333337</v>
      </c>
      <c r="L125" s="28">
        <v>420</v>
      </c>
    </row>
    <row r="126" spans="1:12" ht="24.6" hidden="1" x14ac:dyDescent="0.3">
      <c r="A126" s="28" t="s">
        <v>46</v>
      </c>
      <c r="B126" s="28" t="s">
        <v>33</v>
      </c>
      <c r="C126" s="29" t="s">
        <v>72</v>
      </c>
      <c r="D126" s="30" t="s">
        <v>260</v>
      </c>
      <c r="E126" s="28" t="s">
        <v>42</v>
      </c>
      <c r="F126" s="68" t="s">
        <v>10</v>
      </c>
      <c r="G126" s="31">
        <v>46079</v>
      </c>
      <c r="H126" s="28" t="s">
        <v>47</v>
      </c>
      <c r="I126" s="67">
        <v>0.33333333333333331</v>
      </c>
      <c r="J126" s="67">
        <v>0.5</v>
      </c>
      <c r="K126" s="67">
        <v>0.89583333333333337</v>
      </c>
      <c r="L126" s="28">
        <v>480</v>
      </c>
    </row>
    <row r="127" spans="1:12" ht="24.6" hidden="1" x14ac:dyDescent="0.3">
      <c r="A127" s="76" t="s">
        <v>60</v>
      </c>
      <c r="B127" s="76" t="s">
        <v>33</v>
      </c>
      <c r="C127" s="76" t="s">
        <v>64</v>
      </c>
      <c r="D127" s="80" t="s">
        <v>265</v>
      </c>
      <c r="E127" s="76" t="s">
        <v>42</v>
      </c>
      <c r="F127" s="68" t="s">
        <v>10</v>
      </c>
      <c r="G127" s="77">
        <v>46083</v>
      </c>
      <c r="H127" s="76" t="s">
        <v>69</v>
      </c>
      <c r="I127" s="78">
        <v>0.3125</v>
      </c>
      <c r="J127" s="78">
        <v>0.5</v>
      </c>
      <c r="K127" s="78">
        <v>0.83333333333333337</v>
      </c>
      <c r="L127" s="76">
        <v>450</v>
      </c>
    </row>
    <row r="128" spans="1:12" hidden="1" x14ac:dyDescent="0.3">
      <c r="A128" s="76" t="s">
        <v>60</v>
      </c>
      <c r="B128" s="76" t="s">
        <v>33</v>
      </c>
      <c r="C128" s="76" t="s">
        <v>65</v>
      </c>
      <c r="D128" s="80" t="s">
        <v>179</v>
      </c>
      <c r="E128" s="76" t="s">
        <v>42</v>
      </c>
      <c r="F128" s="68" t="s">
        <v>10</v>
      </c>
      <c r="G128" s="77">
        <v>46083</v>
      </c>
      <c r="H128" s="76" t="s">
        <v>69</v>
      </c>
      <c r="I128" s="78">
        <v>2.0833333333333332E-2</v>
      </c>
      <c r="J128" s="78">
        <v>0.6875</v>
      </c>
      <c r="K128" s="78">
        <v>0.70833333333333337</v>
      </c>
      <c r="L128" s="76">
        <v>30</v>
      </c>
    </row>
    <row r="129" spans="1:12" ht="24.6" hidden="1" x14ac:dyDescent="0.3">
      <c r="A129" s="76" t="s">
        <v>60</v>
      </c>
      <c r="B129" s="76" t="s">
        <v>33</v>
      </c>
      <c r="C129" s="76" t="s">
        <v>64</v>
      </c>
      <c r="D129" s="80" t="s">
        <v>266</v>
      </c>
      <c r="E129" s="76" t="s">
        <v>42</v>
      </c>
      <c r="F129" s="68" t="s">
        <v>10</v>
      </c>
      <c r="G129" s="77">
        <v>46085</v>
      </c>
      <c r="H129" s="76" t="s">
        <v>69</v>
      </c>
      <c r="I129" s="78">
        <v>0.29166666666666669</v>
      </c>
      <c r="J129" s="78">
        <v>0.5</v>
      </c>
      <c r="K129" s="78">
        <v>0.83333333333333337</v>
      </c>
      <c r="L129" s="76">
        <v>420</v>
      </c>
    </row>
    <row r="130" spans="1:12" ht="48.6" hidden="1" x14ac:dyDescent="0.3">
      <c r="A130" s="76" t="s">
        <v>60</v>
      </c>
      <c r="B130" s="76" t="s">
        <v>33</v>
      </c>
      <c r="C130" s="76" t="s">
        <v>65</v>
      </c>
      <c r="D130" s="80" t="s">
        <v>267</v>
      </c>
      <c r="E130" s="76" t="s">
        <v>42</v>
      </c>
      <c r="F130" s="68" t="s">
        <v>10</v>
      </c>
      <c r="G130" s="77">
        <v>46086</v>
      </c>
      <c r="H130" s="76" t="s">
        <v>69</v>
      </c>
      <c r="I130" s="78">
        <v>0.35416666666666669</v>
      </c>
      <c r="J130" s="78">
        <v>0.5</v>
      </c>
      <c r="K130" s="78">
        <v>0.89583333333333337</v>
      </c>
      <c r="L130" s="76">
        <v>510</v>
      </c>
    </row>
    <row r="131" spans="1:12" ht="24.6" hidden="1" x14ac:dyDescent="0.3">
      <c r="A131" s="76" t="s">
        <v>60</v>
      </c>
      <c r="B131" s="76" t="s">
        <v>33</v>
      </c>
      <c r="C131" s="76" t="s">
        <v>64</v>
      </c>
      <c r="D131" s="80" t="s">
        <v>268</v>
      </c>
      <c r="E131" s="76" t="s">
        <v>42</v>
      </c>
      <c r="F131" s="69" t="s">
        <v>45</v>
      </c>
      <c r="G131" s="77">
        <v>46087</v>
      </c>
      <c r="H131" s="76" t="s">
        <v>69</v>
      </c>
      <c r="I131" s="78">
        <v>0.33333333333333331</v>
      </c>
      <c r="J131" s="78">
        <v>0.5</v>
      </c>
      <c r="K131" s="78">
        <v>0.875</v>
      </c>
      <c r="L131" s="76">
        <v>480</v>
      </c>
    </row>
    <row r="132" spans="1:12" ht="24.6" hidden="1" x14ac:dyDescent="0.3">
      <c r="A132" s="28" t="s">
        <v>46</v>
      </c>
      <c r="B132" s="28" t="s">
        <v>33</v>
      </c>
      <c r="C132" s="29" t="s">
        <v>72</v>
      </c>
      <c r="D132" s="30" t="s">
        <v>278</v>
      </c>
      <c r="E132" s="28" t="s">
        <v>42</v>
      </c>
      <c r="F132" s="68" t="s">
        <v>10</v>
      </c>
      <c r="G132" s="31">
        <v>46083</v>
      </c>
      <c r="H132" s="28" t="s">
        <v>47</v>
      </c>
      <c r="I132" s="67">
        <v>0.375</v>
      </c>
      <c r="J132" s="67">
        <v>0.5</v>
      </c>
      <c r="K132" s="67">
        <v>0.89583333333333337</v>
      </c>
      <c r="L132" s="28">
        <v>540</v>
      </c>
    </row>
    <row r="133" spans="1:12" hidden="1" x14ac:dyDescent="0.3">
      <c r="A133" s="28" t="s">
        <v>46</v>
      </c>
      <c r="B133" s="28" t="s">
        <v>33</v>
      </c>
      <c r="C133" s="29" t="s">
        <v>56</v>
      </c>
      <c r="D133" s="30" t="s">
        <v>179</v>
      </c>
      <c r="E133" s="28" t="s">
        <v>42</v>
      </c>
      <c r="F133" s="68" t="s">
        <v>10</v>
      </c>
      <c r="G133" s="31">
        <v>46083</v>
      </c>
      <c r="H133" s="28" t="s">
        <v>47</v>
      </c>
      <c r="I133" s="67">
        <v>2.0833333333333332E-2</v>
      </c>
      <c r="J133" s="67">
        <v>0.6875</v>
      </c>
      <c r="K133" s="67">
        <v>0.70833333333333337</v>
      </c>
      <c r="L133" s="28">
        <v>30</v>
      </c>
    </row>
    <row r="134" spans="1:12" ht="24.6" hidden="1" x14ac:dyDescent="0.3">
      <c r="A134" s="28" t="s">
        <v>46</v>
      </c>
      <c r="B134" s="28" t="s">
        <v>33</v>
      </c>
      <c r="C134" s="29" t="s">
        <v>72</v>
      </c>
      <c r="D134" s="30" t="s">
        <v>147</v>
      </c>
      <c r="E134" s="28" t="s">
        <v>42</v>
      </c>
      <c r="F134" s="69" t="s">
        <v>45</v>
      </c>
      <c r="G134" s="31">
        <v>46085</v>
      </c>
      <c r="H134" s="28" t="s">
        <v>47</v>
      </c>
      <c r="I134" s="67">
        <v>0.20833333333333334</v>
      </c>
      <c r="J134" s="67">
        <v>0.5</v>
      </c>
      <c r="K134" s="67">
        <v>0.89583333333333337</v>
      </c>
      <c r="L134" s="28">
        <v>300</v>
      </c>
    </row>
    <row r="135" spans="1:12" ht="24.6" hidden="1" x14ac:dyDescent="0.3">
      <c r="A135" s="28" t="s">
        <v>46</v>
      </c>
      <c r="B135" s="28" t="s">
        <v>33</v>
      </c>
      <c r="C135" s="29" t="s">
        <v>72</v>
      </c>
      <c r="D135" s="30" t="s">
        <v>147</v>
      </c>
      <c r="E135" s="28" t="s">
        <v>42</v>
      </c>
      <c r="F135" s="68" t="s">
        <v>10</v>
      </c>
      <c r="G135" s="31">
        <v>46086</v>
      </c>
      <c r="H135" s="28" t="s">
        <v>47</v>
      </c>
      <c r="I135" s="67">
        <v>8.3333333333333329E-2</v>
      </c>
      <c r="J135" s="67">
        <v>0.5</v>
      </c>
      <c r="K135" s="67">
        <v>0.89583333333333337</v>
      </c>
      <c r="L135" s="28">
        <v>120</v>
      </c>
    </row>
    <row r="136" spans="1:12" hidden="1" x14ac:dyDescent="0.3">
      <c r="A136" s="28" t="s">
        <v>46</v>
      </c>
      <c r="B136" s="28" t="s">
        <v>33</v>
      </c>
      <c r="C136" s="29" t="s">
        <v>72</v>
      </c>
      <c r="D136" s="30" t="s">
        <v>277</v>
      </c>
      <c r="E136" s="28" t="s">
        <v>42</v>
      </c>
      <c r="F136" s="68" t="s">
        <v>10</v>
      </c>
      <c r="G136" s="31">
        <v>46086</v>
      </c>
      <c r="H136" s="28" t="s">
        <v>47</v>
      </c>
      <c r="I136" s="67">
        <v>8.3333333333333329E-2</v>
      </c>
      <c r="J136" s="67">
        <v>0.5</v>
      </c>
      <c r="K136" s="67">
        <v>0.89583333333333337</v>
      </c>
      <c r="L136" s="28">
        <v>120</v>
      </c>
    </row>
    <row r="137" spans="1:12" ht="24.6" hidden="1" x14ac:dyDescent="0.3">
      <c r="A137" s="28" t="s">
        <v>46</v>
      </c>
      <c r="B137" s="28" t="s">
        <v>33</v>
      </c>
      <c r="C137" s="29" t="s">
        <v>57</v>
      </c>
      <c r="D137" s="30" t="s">
        <v>276</v>
      </c>
      <c r="E137" s="28" t="s">
        <v>42</v>
      </c>
      <c r="F137" s="68" t="s">
        <v>10</v>
      </c>
      <c r="G137" s="31">
        <v>46086</v>
      </c>
      <c r="H137" s="28" t="s">
        <v>47</v>
      </c>
      <c r="I137" s="67">
        <v>0.16666666666666666</v>
      </c>
      <c r="J137" s="67">
        <v>0.5</v>
      </c>
      <c r="K137" s="67">
        <v>0.89583333333333337</v>
      </c>
      <c r="L137" s="28">
        <v>240</v>
      </c>
    </row>
    <row r="138" spans="1:12" ht="24.6" hidden="1" x14ac:dyDescent="0.3">
      <c r="A138" s="28" t="s">
        <v>46</v>
      </c>
      <c r="B138" s="28" t="s">
        <v>33</v>
      </c>
      <c r="C138" s="29" t="s">
        <v>56</v>
      </c>
      <c r="D138" s="30" t="s">
        <v>275</v>
      </c>
      <c r="E138" s="28" t="s">
        <v>42</v>
      </c>
      <c r="F138" s="68" t="s">
        <v>10</v>
      </c>
      <c r="G138" s="31">
        <v>46087</v>
      </c>
      <c r="H138" s="28" t="s">
        <v>47</v>
      </c>
      <c r="I138" s="67">
        <v>2.7777777777777776E-2</v>
      </c>
      <c r="J138" s="67">
        <v>0.6875</v>
      </c>
      <c r="K138" s="67">
        <v>0.72916666666666663</v>
      </c>
      <c r="L138" s="28">
        <v>40</v>
      </c>
    </row>
    <row r="139" spans="1:12" ht="24.6" hidden="1" x14ac:dyDescent="0.3">
      <c r="A139" s="28" t="s">
        <v>46</v>
      </c>
      <c r="B139" s="28" t="s">
        <v>33</v>
      </c>
      <c r="C139" s="29" t="s">
        <v>57</v>
      </c>
      <c r="D139" s="30" t="s">
        <v>276</v>
      </c>
      <c r="E139" s="28" t="s">
        <v>42</v>
      </c>
      <c r="F139" s="68" t="s">
        <v>10</v>
      </c>
      <c r="G139" s="31">
        <v>46087</v>
      </c>
      <c r="H139" s="28" t="s">
        <v>47</v>
      </c>
      <c r="I139" s="67">
        <v>0.125</v>
      </c>
      <c r="J139" s="67">
        <v>0.5</v>
      </c>
      <c r="K139" s="67">
        <v>0.89583333333333337</v>
      </c>
      <c r="L139" s="28">
        <v>180</v>
      </c>
    </row>
    <row r="140" spans="1:12" hidden="1" x14ac:dyDescent="0.3">
      <c r="A140" s="28" t="s">
        <v>46</v>
      </c>
      <c r="B140" s="28" t="s">
        <v>33</v>
      </c>
      <c r="C140" s="29" t="s">
        <v>57</v>
      </c>
      <c r="D140" s="30" t="s">
        <v>279</v>
      </c>
      <c r="E140" s="28" t="s">
        <v>42</v>
      </c>
      <c r="F140" s="68" t="s">
        <v>10</v>
      </c>
      <c r="G140" s="31">
        <v>46087</v>
      </c>
      <c r="H140" s="28" t="s">
        <v>47</v>
      </c>
      <c r="I140" s="67">
        <v>0.125</v>
      </c>
      <c r="J140" s="67">
        <v>0.5</v>
      </c>
      <c r="K140" s="67">
        <v>0.89583333333333337</v>
      </c>
      <c r="L140" s="28">
        <v>180</v>
      </c>
    </row>
    <row r="141" spans="1:12" ht="24.6" hidden="1" x14ac:dyDescent="0.3">
      <c r="A141" s="76" t="s">
        <v>60</v>
      </c>
      <c r="B141" s="76" t="s">
        <v>33</v>
      </c>
      <c r="C141" s="76" t="s">
        <v>64</v>
      </c>
      <c r="D141" s="80" t="s">
        <v>284</v>
      </c>
      <c r="E141" s="76" t="s">
        <v>42</v>
      </c>
      <c r="F141" s="68" t="s">
        <v>10</v>
      </c>
      <c r="G141" s="77">
        <v>46090</v>
      </c>
      <c r="H141" s="76" t="s">
        <v>69</v>
      </c>
      <c r="I141" s="78">
        <v>0.3125</v>
      </c>
      <c r="J141" s="78">
        <v>0.5</v>
      </c>
      <c r="K141" s="78">
        <v>0.83333333333333337</v>
      </c>
      <c r="L141" s="76">
        <v>450</v>
      </c>
    </row>
    <row r="142" spans="1:12" hidden="1" x14ac:dyDescent="0.3">
      <c r="A142" s="76" t="s">
        <v>60</v>
      </c>
      <c r="B142" s="76" t="s">
        <v>33</v>
      </c>
      <c r="C142" s="76" t="s">
        <v>65</v>
      </c>
      <c r="D142" s="80" t="s">
        <v>179</v>
      </c>
      <c r="E142" s="76" t="s">
        <v>42</v>
      </c>
      <c r="F142" s="68" t="s">
        <v>10</v>
      </c>
      <c r="G142" s="77">
        <v>46090</v>
      </c>
      <c r="H142" s="76" t="s">
        <v>69</v>
      </c>
      <c r="I142" s="78">
        <v>2.0833333333333332E-2</v>
      </c>
      <c r="J142" s="78">
        <v>0.6875</v>
      </c>
      <c r="K142" s="78">
        <v>0.70833333333333337</v>
      </c>
      <c r="L142" s="76">
        <v>30</v>
      </c>
    </row>
    <row r="143" spans="1:12" ht="24.6" hidden="1" x14ac:dyDescent="0.3">
      <c r="A143" s="76" t="s">
        <v>60</v>
      </c>
      <c r="B143" s="76" t="s">
        <v>33</v>
      </c>
      <c r="C143" s="76" t="s">
        <v>64</v>
      </c>
      <c r="D143" s="80" t="s">
        <v>285</v>
      </c>
      <c r="E143" s="76" t="s">
        <v>42</v>
      </c>
      <c r="F143" s="68" t="s">
        <v>10</v>
      </c>
      <c r="G143" s="77">
        <v>46091</v>
      </c>
      <c r="H143" s="76" t="s">
        <v>69</v>
      </c>
      <c r="I143" s="78">
        <v>0.27083333333333331</v>
      </c>
      <c r="J143" s="78">
        <v>0.5</v>
      </c>
      <c r="K143" s="78">
        <v>0.83333333333333337</v>
      </c>
      <c r="L143" s="76">
        <v>390</v>
      </c>
    </row>
    <row r="144" spans="1:12" ht="24.6" hidden="1" x14ac:dyDescent="0.3">
      <c r="A144" s="76" t="s">
        <v>60</v>
      </c>
      <c r="B144" s="76" t="s">
        <v>33</v>
      </c>
      <c r="C144" s="76" t="s">
        <v>65</v>
      </c>
      <c r="D144" s="80" t="s">
        <v>286</v>
      </c>
      <c r="E144" s="76" t="s">
        <v>123</v>
      </c>
      <c r="F144" s="68" t="s">
        <v>10</v>
      </c>
      <c r="G144" s="77">
        <v>46091</v>
      </c>
      <c r="H144" s="76" t="s">
        <v>69</v>
      </c>
      <c r="I144" s="78">
        <v>6.25E-2</v>
      </c>
      <c r="J144" s="78">
        <v>0.72916666666666663</v>
      </c>
      <c r="K144" s="78">
        <v>0.79166666666666663</v>
      </c>
      <c r="L144" s="76">
        <v>90</v>
      </c>
    </row>
    <row r="145" spans="1:12" ht="24.6" hidden="1" x14ac:dyDescent="0.3">
      <c r="A145" s="76" t="s">
        <v>60</v>
      </c>
      <c r="B145" s="76" t="s">
        <v>33</v>
      </c>
      <c r="C145" s="76" t="s">
        <v>64</v>
      </c>
      <c r="D145" s="80" t="s">
        <v>287</v>
      </c>
      <c r="E145" s="76" t="s">
        <v>42</v>
      </c>
      <c r="F145" s="68" t="s">
        <v>10</v>
      </c>
      <c r="G145" s="77">
        <v>46092</v>
      </c>
      <c r="H145" s="76" t="s">
        <v>69</v>
      </c>
      <c r="I145" s="78">
        <v>0.33333333333333331</v>
      </c>
      <c r="J145" s="78">
        <v>0.5</v>
      </c>
      <c r="K145" s="78">
        <v>0.875</v>
      </c>
      <c r="L145" s="76">
        <v>480</v>
      </c>
    </row>
    <row r="146" spans="1:12" ht="24.6" hidden="1" x14ac:dyDescent="0.3">
      <c r="A146" s="76" t="s">
        <v>60</v>
      </c>
      <c r="B146" s="76" t="s">
        <v>33</v>
      </c>
      <c r="C146" s="76" t="s">
        <v>64</v>
      </c>
      <c r="D146" s="80" t="s">
        <v>288</v>
      </c>
      <c r="E146" s="76" t="s">
        <v>42</v>
      </c>
      <c r="F146" s="68" t="s">
        <v>10</v>
      </c>
      <c r="G146" s="77">
        <v>46093</v>
      </c>
      <c r="H146" s="76" t="s">
        <v>69</v>
      </c>
      <c r="I146" s="78">
        <v>0.3125</v>
      </c>
      <c r="J146" s="78">
        <v>0.5</v>
      </c>
      <c r="K146" s="78">
        <v>0.83333333333333337</v>
      </c>
      <c r="L146" s="76">
        <v>450</v>
      </c>
    </row>
    <row r="147" spans="1:12" ht="36.6" hidden="1" x14ac:dyDescent="0.3">
      <c r="A147" s="76" t="s">
        <v>60</v>
      </c>
      <c r="B147" s="76" t="s">
        <v>33</v>
      </c>
      <c r="C147" s="76" t="s">
        <v>64</v>
      </c>
      <c r="D147" s="80" t="s">
        <v>289</v>
      </c>
      <c r="E147" s="76" t="s">
        <v>42</v>
      </c>
      <c r="F147" s="69" t="s">
        <v>45</v>
      </c>
      <c r="G147" s="77">
        <v>46094</v>
      </c>
      <c r="H147" s="76" t="s">
        <v>69</v>
      </c>
      <c r="I147" s="78">
        <v>0.33333333333333331</v>
      </c>
      <c r="J147" s="78">
        <v>0.5</v>
      </c>
      <c r="K147" s="78">
        <v>0.875</v>
      </c>
      <c r="L147" s="76">
        <v>480</v>
      </c>
    </row>
    <row r="148" spans="1:12" hidden="1" x14ac:dyDescent="0.3">
      <c r="A148" s="28" t="s">
        <v>46</v>
      </c>
      <c r="B148" s="28" t="s">
        <v>33</v>
      </c>
      <c r="C148" s="29" t="s">
        <v>56</v>
      </c>
      <c r="D148" s="30" t="s">
        <v>179</v>
      </c>
      <c r="E148" s="28" t="s">
        <v>42</v>
      </c>
      <c r="F148" s="68" t="s">
        <v>10</v>
      </c>
      <c r="G148" s="31">
        <v>46090</v>
      </c>
      <c r="H148" s="28" t="s">
        <v>47</v>
      </c>
      <c r="I148" s="67">
        <v>2.0833333333333332E-2</v>
      </c>
      <c r="J148" s="67">
        <v>0.6875</v>
      </c>
      <c r="K148" s="67">
        <v>0.70833333333333337</v>
      </c>
      <c r="L148" s="28">
        <v>30</v>
      </c>
    </row>
    <row r="149" spans="1:12" hidden="1" x14ac:dyDescent="0.3">
      <c r="A149" s="28" t="s">
        <v>46</v>
      </c>
      <c r="B149" s="28" t="s">
        <v>33</v>
      </c>
      <c r="C149" s="29" t="s">
        <v>57</v>
      </c>
      <c r="D149" s="30" t="s">
        <v>306</v>
      </c>
      <c r="E149" s="28" t="s">
        <v>42</v>
      </c>
      <c r="F149" s="68" t="s">
        <v>10</v>
      </c>
      <c r="G149" s="31">
        <v>46090</v>
      </c>
      <c r="H149" s="28" t="s">
        <v>47</v>
      </c>
      <c r="I149" s="67">
        <v>0.125</v>
      </c>
      <c r="J149" s="67">
        <v>0.72916666666666663</v>
      </c>
      <c r="K149" s="67">
        <v>0.83333333333333337</v>
      </c>
      <c r="L149" s="28">
        <v>180</v>
      </c>
    </row>
    <row r="150" spans="1:12" hidden="1" x14ac:dyDescent="0.3">
      <c r="A150" s="28" t="s">
        <v>46</v>
      </c>
      <c r="B150" s="28" t="s">
        <v>33</v>
      </c>
      <c r="C150" s="29" t="s">
        <v>57</v>
      </c>
      <c r="D150" s="30" t="s">
        <v>307</v>
      </c>
      <c r="E150" s="28" t="s">
        <v>42</v>
      </c>
      <c r="F150" s="68" t="s">
        <v>10</v>
      </c>
      <c r="G150" s="31">
        <v>46091</v>
      </c>
      <c r="H150" s="28" t="s">
        <v>47</v>
      </c>
      <c r="I150" s="67">
        <v>0.125</v>
      </c>
      <c r="J150" s="67">
        <v>0.52083333333333337</v>
      </c>
      <c r="K150" s="67">
        <v>0.83333333333333337</v>
      </c>
      <c r="L150" s="28">
        <v>180</v>
      </c>
    </row>
    <row r="151" spans="1:12" hidden="1" x14ac:dyDescent="0.3">
      <c r="A151" s="28" t="s">
        <v>46</v>
      </c>
      <c r="B151" s="28" t="s">
        <v>33</v>
      </c>
      <c r="C151" s="29" t="s">
        <v>57</v>
      </c>
      <c r="D151" s="30" t="s">
        <v>303</v>
      </c>
      <c r="E151" s="28" t="s">
        <v>42</v>
      </c>
      <c r="F151" s="69" t="s">
        <v>45</v>
      </c>
      <c r="G151" s="31">
        <v>46091</v>
      </c>
      <c r="H151" s="28" t="s">
        <v>47</v>
      </c>
      <c r="I151" s="67">
        <v>0.125</v>
      </c>
      <c r="J151" s="67">
        <v>0.5</v>
      </c>
      <c r="K151" s="67">
        <v>0.89583333333333337</v>
      </c>
      <c r="L151" s="28">
        <v>180</v>
      </c>
    </row>
    <row r="152" spans="1:12" ht="24.6" hidden="1" x14ac:dyDescent="0.3">
      <c r="A152" s="28" t="s">
        <v>46</v>
      </c>
      <c r="B152" s="28" t="s">
        <v>33</v>
      </c>
      <c r="C152" s="29" t="s">
        <v>57</v>
      </c>
      <c r="D152" s="30" t="s">
        <v>312</v>
      </c>
      <c r="E152" s="28" t="s">
        <v>42</v>
      </c>
      <c r="F152" s="69" t="s">
        <v>45</v>
      </c>
      <c r="G152" s="31">
        <v>46092</v>
      </c>
      <c r="H152" s="28" t="s">
        <v>47</v>
      </c>
      <c r="I152" s="67">
        <v>0.125</v>
      </c>
      <c r="J152" s="67">
        <v>0.5</v>
      </c>
      <c r="K152" s="67">
        <v>0.89583333333333337</v>
      </c>
      <c r="L152" s="28">
        <v>180</v>
      </c>
    </row>
    <row r="153" spans="1:12" ht="24.6" hidden="1" x14ac:dyDescent="0.3">
      <c r="A153" s="28" t="s">
        <v>46</v>
      </c>
      <c r="B153" s="28" t="s">
        <v>33</v>
      </c>
      <c r="C153" s="29" t="s">
        <v>57</v>
      </c>
      <c r="D153" s="30" t="s">
        <v>311</v>
      </c>
      <c r="E153" s="28" t="s">
        <v>42</v>
      </c>
      <c r="F153" s="69" t="s">
        <v>45</v>
      </c>
      <c r="G153" s="31">
        <v>46092</v>
      </c>
      <c r="H153" s="28" t="s">
        <v>47</v>
      </c>
      <c r="I153" s="67">
        <v>6.25E-2</v>
      </c>
      <c r="J153" s="67">
        <v>0.5</v>
      </c>
      <c r="K153" s="67">
        <v>0.89583333333333337</v>
      </c>
      <c r="L153" s="28">
        <v>90</v>
      </c>
    </row>
    <row r="154" spans="1:12" hidden="1" x14ac:dyDescent="0.3">
      <c r="A154" s="28" t="s">
        <v>46</v>
      </c>
      <c r="B154" s="28" t="s">
        <v>33</v>
      </c>
      <c r="C154" s="29" t="s">
        <v>56</v>
      </c>
      <c r="D154" s="30" t="s">
        <v>300</v>
      </c>
      <c r="E154" s="28" t="s">
        <v>42</v>
      </c>
      <c r="F154" s="68" t="s">
        <v>10</v>
      </c>
      <c r="G154" s="31">
        <v>46092</v>
      </c>
      <c r="H154" s="28" t="s">
        <v>47</v>
      </c>
      <c r="I154" s="67">
        <v>2.0833333333333332E-2</v>
      </c>
      <c r="J154" s="67">
        <v>0.8125</v>
      </c>
      <c r="K154" s="67">
        <v>0.83333333333333337</v>
      </c>
      <c r="L154" s="28">
        <v>30</v>
      </c>
    </row>
    <row r="155" spans="1:12" hidden="1" x14ac:dyDescent="0.3">
      <c r="A155" s="28" t="s">
        <v>46</v>
      </c>
      <c r="B155" s="28" t="s">
        <v>33</v>
      </c>
      <c r="C155" s="29" t="s">
        <v>72</v>
      </c>
      <c r="D155" s="30" t="s">
        <v>301</v>
      </c>
      <c r="E155" s="28" t="s">
        <v>42</v>
      </c>
      <c r="F155" s="69" t="s">
        <v>45</v>
      </c>
      <c r="G155" s="31">
        <v>46092</v>
      </c>
      <c r="H155" s="28" t="s">
        <v>47</v>
      </c>
      <c r="I155" s="67">
        <v>0.125</v>
      </c>
      <c r="J155" s="67">
        <v>0.5</v>
      </c>
      <c r="K155" s="67">
        <v>0.89583333333333337</v>
      </c>
      <c r="L155" s="28">
        <v>180</v>
      </c>
    </row>
    <row r="156" spans="1:12" hidden="1" x14ac:dyDescent="0.3">
      <c r="A156" s="28" t="s">
        <v>46</v>
      </c>
      <c r="B156" s="28" t="s">
        <v>33</v>
      </c>
      <c r="C156" s="29" t="s">
        <v>72</v>
      </c>
      <c r="D156" s="30" t="s">
        <v>304</v>
      </c>
      <c r="E156" s="28" t="s">
        <v>42</v>
      </c>
      <c r="F156" s="68" t="s">
        <v>10</v>
      </c>
      <c r="G156" s="31">
        <v>46092</v>
      </c>
      <c r="H156" s="28" t="s">
        <v>47</v>
      </c>
      <c r="I156" s="67">
        <v>8.3333333333333329E-2</v>
      </c>
      <c r="J156" s="67">
        <v>0.5</v>
      </c>
      <c r="K156" s="67">
        <v>0.89583333333333337</v>
      </c>
      <c r="L156" s="28">
        <v>120</v>
      </c>
    </row>
    <row r="157" spans="1:12" hidden="1" x14ac:dyDescent="0.3">
      <c r="A157" s="28" t="s">
        <v>46</v>
      </c>
      <c r="B157" s="28" t="s">
        <v>33</v>
      </c>
      <c r="C157" s="29" t="s">
        <v>72</v>
      </c>
      <c r="D157" s="30" t="s">
        <v>302</v>
      </c>
      <c r="E157" s="28" t="s">
        <v>42</v>
      </c>
      <c r="F157" s="69" t="s">
        <v>45</v>
      </c>
      <c r="G157" s="31">
        <v>46093</v>
      </c>
      <c r="H157" s="28" t="s">
        <v>47</v>
      </c>
      <c r="I157" s="67">
        <v>0.125</v>
      </c>
      <c r="J157" s="67">
        <v>0.5</v>
      </c>
      <c r="K157" s="67">
        <v>0.89583333333333337</v>
      </c>
      <c r="L157" s="28">
        <v>180</v>
      </c>
    </row>
    <row r="158" spans="1:12" hidden="1" x14ac:dyDescent="0.3">
      <c r="A158" s="28" t="s">
        <v>46</v>
      </c>
      <c r="B158" s="28" t="s">
        <v>33</v>
      </c>
      <c r="C158" s="29" t="s">
        <v>72</v>
      </c>
      <c r="D158" s="30" t="s">
        <v>305</v>
      </c>
      <c r="E158" s="28" t="s">
        <v>42</v>
      </c>
      <c r="F158" s="68" t="s">
        <v>10</v>
      </c>
      <c r="G158" s="31">
        <v>46093</v>
      </c>
      <c r="H158" s="28" t="s">
        <v>47</v>
      </c>
      <c r="I158" s="67">
        <v>0.16666666666666666</v>
      </c>
      <c r="J158" s="67">
        <v>0.5</v>
      </c>
      <c r="K158" s="67">
        <v>0.89583333333333337</v>
      </c>
      <c r="L158" s="28">
        <v>240</v>
      </c>
    </row>
    <row r="159" spans="1:12" hidden="1" x14ac:dyDescent="0.3">
      <c r="A159" s="28" t="s">
        <v>46</v>
      </c>
      <c r="B159" s="28" t="s">
        <v>33</v>
      </c>
      <c r="C159" s="29" t="s">
        <v>56</v>
      </c>
      <c r="D159" s="30" t="s">
        <v>296</v>
      </c>
      <c r="E159" s="28" t="s">
        <v>42</v>
      </c>
      <c r="F159" s="68" t="s">
        <v>10</v>
      </c>
      <c r="G159" s="31">
        <v>46093</v>
      </c>
      <c r="H159" s="28" t="s">
        <v>47</v>
      </c>
      <c r="I159" s="67">
        <v>6.25E-2</v>
      </c>
      <c r="J159" s="67">
        <v>0.66666666666666663</v>
      </c>
      <c r="K159" s="67">
        <v>0.72916666666666663</v>
      </c>
      <c r="L159" s="28">
        <v>90</v>
      </c>
    </row>
    <row r="160" spans="1:12" ht="24.6" hidden="1" x14ac:dyDescent="0.3">
      <c r="A160" s="28" t="s">
        <v>46</v>
      </c>
      <c r="B160" s="28" t="s">
        <v>33</v>
      </c>
      <c r="C160" s="29" t="s">
        <v>57</v>
      </c>
      <c r="D160" s="30" t="s">
        <v>308</v>
      </c>
      <c r="E160" s="28" t="s">
        <v>42</v>
      </c>
      <c r="F160" s="68" t="s">
        <v>10</v>
      </c>
      <c r="G160" s="31">
        <v>46094</v>
      </c>
      <c r="H160" s="28" t="s">
        <v>47</v>
      </c>
      <c r="I160" s="67">
        <v>0.125</v>
      </c>
      <c r="J160" s="67">
        <v>0.5</v>
      </c>
      <c r="K160" s="67">
        <v>0.89583333333333337</v>
      </c>
      <c r="L160" s="28">
        <v>180</v>
      </c>
    </row>
    <row r="161" spans="1:12" hidden="1" x14ac:dyDescent="0.3">
      <c r="A161" s="28" t="s">
        <v>46</v>
      </c>
      <c r="B161" s="28" t="s">
        <v>33</v>
      </c>
      <c r="C161" s="29" t="s">
        <v>72</v>
      </c>
      <c r="D161" s="30" t="s">
        <v>304</v>
      </c>
      <c r="E161" s="28" t="s">
        <v>42</v>
      </c>
      <c r="F161" s="68" t="s">
        <v>10</v>
      </c>
      <c r="G161" s="31">
        <v>46094</v>
      </c>
      <c r="H161" s="28" t="s">
        <v>47</v>
      </c>
      <c r="I161" s="67">
        <v>8.3333333333333329E-2</v>
      </c>
      <c r="J161" s="67">
        <v>0.5</v>
      </c>
      <c r="K161" s="67">
        <v>0.89583333333333337</v>
      </c>
      <c r="L161" s="28">
        <v>240</v>
      </c>
    </row>
    <row r="162" spans="1:12" ht="24.6" hidden="1" x14ac:dyDescent="0.3">
      <c r="A162" s="28" t="s">
        <v>46</v>
      </c>
      <c r="B162" s="28" t="s">
        <v>33</v>
      </c>
      <c r="C162" s="29" t="s">
        <v>57</v>
      </c>
      <c r="D162" s="30" t="s">
        <v>147</v>
      </c>
      <c r="E162" s="28" t="s">
        <v>42</v>
      </c>
      <c r="F162" s="68" t="s">
        <v>10</v>
      </c>
      <c r="G162" s="31">
        <v>46094</v>
      </c>
      <c r="H162" s="28" t="s">
        <v>47</v>
      </c>
      <c r="I162" s="67">
        <v>0.20833333333333334</v>
      </c>
      <c r="J162" s="67">
        <v>0.5</v>
      </c>
      <c r="K162" s="67">
        <v>0.89583333333333337</v>
      </c>
      <c r="L162" s="28">
        <v>300</v>
      </c>
    </row>
    <row r="163" spans="1:12" ht="36.6" hidden="1" x14ac:dyDescent="0.3">
      <c r="A163" s="76" t="s">
        <v>60</v>
      </c>
      <c r="B163" s="76" t="s">
        <v>33</v>
      </c>
      <c r="C163" s="76" t="s">
        <v>64</v>
      </c>
      <c r="D163" s="80" t="s">
        <v>327</v>
      </c>
      <c r="E163" s="76" t="s">
        <v>42</v>
      </c>
      <c r="F163" s="68" t="s">
        <v>10</v>
      </c>
      <c r="G163" s="77">
        <v>46097</v>
      </c>
      <c r="H163" s="76" t="s">
        <v>69</v>
      </c>
      <c r="I163" s="78">
        <v>0.27083333333333331</v>
      </c>
      <c r="J163" s="78">
        <v>0.5</v>
      </c>
      <c r="K163" s="78">
        <v>0.83333333333333337</v>
      </c>
      <c r="L163" s="76">
        <v>390</v>
      </c>
    </row>
    <row r="164" spans="1:12" hidden="1" x14ac:dyDescent="0.3">
      <c r="A164" s="76" t="s">
        <v>60</v>
      </c>
      <c r="B164" s="76" t="s">
        <v>33</v>
      </c>
      <c r="C164" s="76" t="s">
        <v>65</v>
      </c>
      <c r="D164" s="80" t="s">
        <v>179</v>
      </c>
      <c r="E164" s="76" t="s">
        <v>42</v>
      </c>
      <c r="F164" s="68" t="s">
        <v>10</v>
      </c>
      <c r="G164" s="77">
        <v>46097</v>
      </c>
      <c r="H164" s="76" t="s">
        <v>69</v>
      </c>
      <c r="I164" s="78">
        <v>2.0833333333333332E-2</v>
      </c>
      <c r="J164" s="78">
        <v>0.6875</v>
      </c>
      <c r="K164" s="78">
        <v>0.70833333333333337</v>
      </c>
      <c r="L164" s="76">
        <v>30</v>
      </c>
    </row>
    <row r="165" spans="1:12" hidden="1" x14ac:dyDescent="0.3">
      <c r="A165" s="76" t="s">
        <v>60</v>
      </c>
      <c r="B165" s="76" t="s">
        <v>33</v>
      </c>
      <c r="C165" s="76" t="s">
        <v>65</v>
      </c>
      <c r="D165" s="80" t="s">
        <v>328</v>
      </c>
      <c r="E165" s="76" t="s">
        <v>42</v>
      </c>
      <c r="F165" s="68" t="s">
        <v>10</v>
      </c>
      <c r="G165" s="77">
        <v>46097</v>
      </c>
      <c r="H165" s="76" t="s">
        <v>69</v>
      </c>
      <c r="I165" s="78">
        <v>6.25E-2</v>
      </c>
      <c r="J165" s="78">
        <v>0.625</v>
      </c>
      <c r="K165" s="78">
        <v>0.6875</v>
      </c>
      <c r="L165" s="76">
        <v>90</v>
      </c>
    </row>
    <row r="166" spans="1:12" hidden="1" x14ac:dyDescent="0.3">
      <c r="A166" s="76" t="s">
        <v>60</v>
      </c>
      <c r="B166" s="76" t="s">
        <v>33</v>
      </c>
      <c r="C166" s="76" t="s">
        <v>65</v>
      </c>
      <c r="D166" s="80" t="s">
        <v>329</v>
      </c>
      <c r="E166" s="76" t="s">
        <v>42</v>
      </c>
      <c r="F166" s="68" t="s">
        <v>10</v>
      </c>
      <c r="G166" s="77">
        <v>46098</v>
      </c>
      <c r="H166" s="76" t="s">
        <v>69</v>
      </c>
      <c r="I166" s="78">
        <v>6.25E-2</v>
      </c>
      <c r="J166" s="78">
        <v>0.85416666666666663</v>
      </c>
      <c r="K166" s="78">
        <v>0.91666666666666663</v>
      </c>
      <c r="L166" s="76">
        <v>90</v>
      </c>
    </row>
    <row r="167" spans="1:12" ht="24.6" hidden="1" x14ac:dyDescent="0.3">
      <c r="A167" s="76" t="s">
        <v>60</v>
      </c>
      <c r="B167" s="76" t="s">
        <v>33</v>
      </c>
      <c r="C167" s="76" t="s">
        <v>64</v>
      </c>
      <c r="D167" s="80" t="s">
        <v>330</v>
      </c>
      <c r="E167" s="76" t="s">
        <v>42</v>
      </c>
      <c r="F167" s="68" t="s">
        <v>10</v>
      </c>
      <c r="G167" s="77">
        <v>46098</v>
      </c>
      <c r="H167" s="76" t="s">
        <v>69</v>
      </c>
      <c r="I167" s="78">
        <v>0.14583333333333334</v>
      </c>
      <c r="J167" s="78">
        <v>0.5</v>
      </c>
      <c r="K167" s="78">
        <v>0.66666666666666663</v>
      </c>
      <c r="L167" s="76">
        <v>210</v>
      </c>
    </row>
    <row r="168" spans="1:12" ht="24.6" hidden="1" x14ac:dyDescent="0.3">
      <c r="A168" s="76" t="s">
        <v>60</v>
      </c>
      <c r="B168" s="76" t="s">
        <v>33</v>
      </c>
      <c r="C168" s="76" t="s">
        <v>64</v>
      </c>
      <c r="D168" s="80" t="s">
        <v>331</v>
      </c>
      <c r="E168" s="76" t="s">
        <v>42</v>
      </c>
      <c r="F168" s="68" t="s">
        <v>10</v>
      </c>
      <c r="G168" s="77">
        <v>46098</v>
      </c>
      <c r="H168" s="76" t="s">
        <v>69</v>
      </c>
      <c r="I168" s="78">
        <v>0.20833333333333334</v>
      </c>
      <c r="J168" s="78">
        <v>0.66666666666666663</v>
      </c>
      <c r="K168" s="78">
        <v>0.91666666666666663</v>
      </c>
      <c r="L168" s="76">
        <v>300</v>
      </c>
    </row>
    <row r="169" spans="1:12" ht="24.6" hidden="1" x14ac:dyDescent="0.3">
      <c r="A169" s="76" t="s">
        <v>60</v>
      </c>
      <c r="B169" s="76" t="s">
        <v>33</v>
      </c>
      <c r="C169" s="76" t="s">
        <v>64</v>
      </c>
      <c r="D169" s="80" t="s">
        <v>332</v>
      </c>
      <c r="E169" s="76" t="s">
        <v>42</v>
      </c>
      <c r="F169" s="68" t="s">
        <v>10</v>
      </c>
      <c r="G169" s="77">
        <v>46099</v>
      </c>
      <c r="H169" s="76" t="s">
        <v>69</v>
      </c>
      <c r="I169" s="78">
        <v>0.33333333333333331</v>
      </c>
      <c r="J169" s="78">
        <v>0.5</v>
      </c>
      <c r="K169" s="78">
        <v>0.875</v>
      </c>
      <c r="L169" s="76">
        <v>480</v>
      </c>
    </row>
    <row r="170" spans="1:12" ht="24.6" hidden="1" x14ac:dyDescent="0.3">
      <c r="A170" s="76" t="s">
        <v>60</v>
      </c>
      <c r="B170" s="76" t="s">
        <v>33</v>
      </c>
      <c r="C170" s="76" t="s">
        <v>65</v>
      </c>
      <c r="D170" s="80" t="s">
        <v>286</v>
      </c>
      <c r="E170" s="76" t="s">
        <v>42</v>
      </c>
      <c r="F170" s="68" t="s">
        <v>10</v>
      </c>
      <c r="G170" s="77">
        <v>46100</v>
      </c>
      <c r="H170" s="76" t="s">
        <v>69</v>
      </c>
      <c r="I170" s="78">
        <v>3.125E-2</v>
      </c>
      <c r="J170" s="78">
        <v>0.71875</v>
      </c>
      <c r="K170" s="78">
        <v>0.75</v>
      </c>
      <c r="L170" s="76">
        <v>45</v>
      </c>
    </row>
    <row r="171" spans="1:12" ht="24.6" hidden="1" x14ac:dyDescent="0.3">
      <c r="A171" s="76" t="s">
        <v>60</v>
      </c>
      <c r="B171" s="76" t="s">
        <v>33</v>
      </c>
      <c r="C171" s="76" t="s">
        <v>64</v>
      </c>
      <c r="D171" s="80" t="s">
        <v>333</v>
      </c>
      <c r="E171" s="76" t="s">
        <v>42</v>
      </c>
      <c r="F171" s="68" t="s">
        <v>10</v>
      </c>
      <c r="G171" s="77">
        <v>46100</v>
      </c>
      <c r="H171" s="76" t="s">
        <v>69</v>
      </c>
      <c r="I171" s="78">
        <v>0.3125</v>
      </c>
      <c r="J171" s="78">
        <v>0.5</v>
      </c>
      <c r="K171" s="78">
        <v>0.83333333333333337</v>
      </c>
      <c r="L171" s="76">
        <v>450</v>
      </c>
    </row>
    <row r="172" spans="1:12" hidden="1" x14ac:dyDescent="0.3">
      <c r="A172" s="28" t="s">
        <v>46</v>
      </c>
      <c r="B172" s="28" t="s">
        <v>33</v>
      </c>
      <c r="C172" s="29" t="s">
        <v>56</v>
      </c>
      <c r="D172" s="30" t="s">
        <v>179</v>
      </c>
      <c r="E172" s="28" t="s">
        <v>42</v>
      </c>
      <c r="F172" s="68" t="s">
        <v>10</v>
      </c>
      <c r="G172" s="31">
        <v>46097</v>
      </c>
      <c r="H172" s="28" t="s">
        <v>47</v>
      </c>
      <c r="I172" s="67">
        <v>2.0833333333333332E-2</v>
      </c>
      <c r="J172" s="67">
        <v>0.6875</v>
      </c>
      <c r="K172" s="67">
        <v>0.70833333333333337</v>
      </c>
      <c r="L172" s="28">
        <v>30</v>
      </c>
    </row>
    <row r="173" spans="1:12" hidden="1" x14ac:dyDescent="0.3">
      <c r="A173" s="28" t="s">
        <v>46</v>
      </c>
      <c r="B173" s="28" t="s">
        <v>33</v>
      </c>
      <c r="C173" s="29" t="s">
        <v>56</v>
      </c>
      <c r="D173" s="30" t="s">
        <v>297</v>
      </c>
      <c r="E173" s="28" t="s">
        <v>42</v>
      </c>
      <c r="F173" s="68" t="s">
        <v>10</v>
      </c>
      <c r="G173" s="31">
        <v>46097</v>
      </c>
      <c r="H173" s="28" t="s">
        <v>47</v>
      </c>
      <c r="I173" s="67">
        <v>6.25E-2</v>
      </c>
      <c r="J173" s="67">
        <v>0.625</v>
      </c>
      <c r="K173" s="67">
        <v>0.6875</v>
      </c>
      <c r="L173" s="28">
        <v>90</v>
      </c>
    </row>
    <row r="174" spans="1:12" ht="48.6" hidden="1" x14ac:dyDescent="0.3">
      <c r="A174" s="28" t="s">
        <v>46</v>
      </c>
      <c r="B174" s="28" t="s">
        <v>33</v>
      </c>
      <c r="C174" s="29" t="s">
        <v>72</v>
      </c>
      <c r="D174" s="30" t="s">
        <v>318</v>
      </c>
      <c r="E174" s="28" t="s">
        <v>42</v>
      </c>
      <c r="F174" s="68" t="s">
        <v>10</v>
      </c>
      <c r="G174" s="31">
        <v>46097</v>
      </c>
      <c r="H174" s="28" t="s">
        <v>47</v>
      </c>
      <c r="I174" s="67">
        <v>0.16666666666666666</v>
      </c>
      <c r="J174" s="67">
        <v>0.5</v>
      </c>
      <c r="K174" s="67">
        <v>0.89583333333333337</v>
      </c>
      <c r="L174" s="28">
        <v>240</v>
      </c>
    </row>
    <row r="175" spans="1:12" hidden="1" x14ac:dyDescent="0.3">
      <c r="A175" s="28" t="s">
        <v>46</v>
      </c>
      <c r="B175" s="28" t="s">
        <v>33</v>
      </c>
      <c r="C175" s="29" t="s">
        <v>72</v>
      </c>
      <c r="D175" s="30" t="s">
        <v>309</v>
      </c>
      <c r="E175" s="28" t="s">
        <v>42</v>
      </c>
      <c r="F175" s="69" t="s">
        <v>45</v>
      </c>
      <c r="G175" s="31">
        <v>46098</v>
      </c>
      <c r="H175" s="28" t="s">
        <v>47</v>
      </c>
      <c r="I175" s="67">
        <v>8.3333333333333329E-2</v>
      </c>
      <c r="J175" s="67">
        <v>0.5</v>
      </c>
      <c r="K175" s="67">
        <v>0.89583333333333337</v>
      </c>
      <c r="L175" s="28">
        <v>120</v>
      </c>
    </row>
    <row r="176" spans="1:12" ht="24.6" hidden="1" x14ac:dyDescent="0.3">
      <c r="A176" s="28" t="s">
        <v>46</v>
      </c>
      <c r="B176" s="28" t="s">
        <v>33</v>
      </c>
      <c r="C176" s="29" t="s">
        <v>72</v>
      </c>
      <c r="D176" s="30" t="s">
        <v>310</v>
      </c>
      <c r="E176" s="28" t="s">
        <v>42</v>
      </c>
      <c r="F176" s="69" t="s">
        <v>45</v>
      </c>
      <c r="G176" s="31">
        <v>46098</v>
      </c>
      <c r="H176" s="28" t="s">
        <v>47</v>
      </c>
      <c r="I176" s="67">
        <v>0.16666666666666666</v>
      </c>
      <c r="J176" s="67">
        <v>0.5</v>
      </c>
      <c r="K176" s="67">
        <v>0.89583333333333337</v>
      </c>
      <c r="L176" s="28">
        <v>240</v>
      </c>
    </row>
    <row r="177" spans="1:12" hidden="1" x14ac:dyDescent="0.3">
      <c r="A177" s="28" t="s">
        <v>46</v>
      </c>
      <c r="B177" s="28" t="s">
        <v>33</v>
      </c>
      <c r="C177" s="29" t="s">
        <v>56</v>
      </c>
      <c r="D177" s="30" t="s">
        <v>298</v>
      </c>
      <c r="E177" s="28" t="s">
        <v>42</v>
      </c>
      <c r="F177" s="68" t="s">
        <v>10</v>
      </c>
      <c r="G177" s="31">
        <v>46098</v>
      </c>
      <c r="H177" s="28" t="s">
        <v>47</v>
      </c>
      <c r="I177" s="67">
        <v>4.1666666666666664E-2</v>
      </c>
      <c r="J177" s="67">
        <v>0.66666666666666663</v>
      </c>
      <c r="K177" s="67">
        <v>0.70833333333333337</v>
      </c>
      <c r="L177" s="28">
        <v>60</v>
      </c>
    </row>
    <row r="178" spans="1:12" hidden="1" x14ac:dyDescent="0.3">
      <c r="A178" s="28" t="s">
        <v>46</v>
      </c>
      <c r="B178" s="28" t="s">
        <v>33</v>
      </c>
      <c r="C178" s="29" t="s">
        <v>56</v>
      </c>
      <c r="D178" s="30" t="s">
        <v>299</v>
      </c>
      <c r="E178" s="28" t="s">
        <v>42</v>
      </c>
      <c r="F178" s="68" t="s">
        <v>10</v>
      </c>
      <c r="G178" s="31">
        <v>46098</v>
      </c>
      <c r="H178" s="28" t="s">
        <v>47</v>
      </c>
      <c r="I178" s="67">
        <v>6.25E-2</v>
      </c>
      <c r="J178" s="67">
        <v>0.85416666666666663</v>
      </c>
      <c r="K178" s="67">
        <v>0.91666666666666663</v>
      </c>
      <c r="L178" s="28">
        <v>90</v>
      </c>
    </row>
    <row r="179" spans="1:12" ht="24.6" hidden="1" x14ac:dyDescent="0.3">
      <c r="A179" s="28" t="s">
        <v>46</v>
      </c>
      <c r="B179" s="28" t="s">
        <v>33</v>
      </c>
      <c r="C179" s="29" t="s">
        <v>72</v>
      </c>
      <c r="D179" s="30" t="s">
        <v>310</v>
      </c>
      <c r="E179" s="28" t="s">
        <v>42</v>
      </c>
      <c r="F179" s="68" t="s">
        <v>10</v>
      </c>
      <c r="G179" s="31">
        <v>46099</v>
      </c>
      <c r="H179" s="28" t="s">
        <v>47</v>
      </c>
      <c r="I179" s="67">
        <v>0.125</v>
      </c>
      <c r="J179" s="67">
        <v>0.5</v>
      </c>
      <c r="K179" s="67">
        <v>0.89583333333333337</v>
      </c>
      <c r="L179" s="28">
        <v>180</v>
      </c>
    </row>
    <row r="180" spans="1:12" ht="24.6" hidden="1" x14ac:dyDescent="0.3">
      <c r="A180" s="28" t="s">
        <v>46</v>
      </c>
      <c r="B180" s="28" t="s">
        <v>33</v>
      </c>
      <c r="C180" s="29" t="s">
        <v>70</v>
      </c>
      <c r="D180" s="30" t="s">
        <v>315</v>
      </c>
      <c r="E180" s="28" t="s">
        <v>42</v>
      </c>
      <c r="F180" s="69" t="s">
        <v>45</v>
      </c>
      <c r="G180" s="31">
        <v>46099</v>
      </c>
      <c r="H180" s="28" t="s">
        <v>47</v>
      </c>
      <c r="I180" s="67">
        <v>4.1666666666666664E-2</v>
      </c>
      <c r="J180" s="67">
        <v>0.5</v>
      </c>
      <c r="K180" s="67">
        <v>0.89583333333333337</v>
      </c>
      <c r="L180" s="28">
        <v>60</v>
      </c>
    </row>
    <row r="181" spans="1:12" ht="24.6" hidden="1" x14ac:dyDescent="0.3">
      <c r="A181" s="28" t="s">
        <v>46</v>
      </c>
      <c r="B181" s="28" t="s">
        <v>33</v>
      </c>
      <c r="C181" s="29" t="s">
        <v>57</v>
      </c>
      <c r="D181" s="30" t="s">
        <v>147</v>
      </c>
      <c r="E181" s="28" t="s">
        <v>42</v>
      </c>
      <c r="F181" s="68" t="s">
        <v>10</v>
      </c>
      <c r="G181" s="31">
        <v>46099</v>
      </c>
      <c r="H181" s="28" t="s">
        <v>47</v>
      </c>
      <c r="I181" s="67">
        <v>0.16666666666666666</v>
      </c>
      <c r="J181" s="67">
        <v>0.5</v>
      </c>
      <c r="K181" s="67">
        <v>0.89583333333333337</v>
      </c>
      <c r="L181" s="28">
        <v>240</v>
      </c>
    </row>
    <row r="182" spans="1:12" ht="24.6" hidden="1" x14ac:dyDescent="0.3">
      <c r="A182" s="28" t="s">
        <v>46</v>
      </c>
      <c r="B182" s="28" t="s">
        <v>33</v>
      </c>
      <c r="C182" s="29" t="s">
        <v>70</v>
      </c>
      <c r="D182" s="30" t="s">
        <v>314</v>
      </c>
      <c r="E182" s="28" t="s">
        <v>42</v>
      </c>
      <c r="F182" s="69" t="s">
        <v>45</v>
      </c>
      <c r="G182" s="31">
        <v>46100</v>
      </c>
      <c r="H182" s="28" t="s">
        <v>47</v>
      </c>
      <c r="I182" s="67">
        <v>8.3333333333333329E-2</v>
      </c>
      <c r="J182" s="67">
        <v>0.5</v>
      </c>
      <c r="K182" s="67">
        <v>0.89583333333333337</v>
      </c>
      <c r="L182" s="28">
        <v>120</v>
      </c>
    </row>
    <row r="183" spans="1:12" ht="36.6" hidden="1" x14ac:dyDescent="0.3">
      <c r="A183" s="28" t="s">
        <v>46</v>
      </c>
      <c r="B183" s="28" t="s">
        <v>33</v>
      </c>
      <c r="C183" s="29" t="s">
        <v>50</v>
      </c>
      <c r="D183" s="30" t="s">
        <v>316</v>
      </c>
      <c r="E183" s="28" t="s">
        <v>42</v>
      </c>
      <c r="F183" s="68" t="s">
        <v>10</v>
      </c>
      <c r="G183" s="31">
        <v>46100</v>
      </c>
      <c r="H183" s="28" t="s">
        <v>47</v>
      </c>
      <c r="I183" s="67">
        <v>8.3333333333333329E-2</v>
      </c>
      <c r="J183" s="67">
        <v>0.5</v>
      </c>
      <c r="K183" s="67">
        <v>0.89583333333333337</v>
      </c>
      <c r="L183" s="28">
        <v>120</v>
      </c>
    </row>
    <row r="184" spans="1:12" ht="24.6" hidden="1" x14ac:dyDescent="0.3">
      <c r="A184" s="28" t="s">
        <v>46</v>
      </c>
      <c r="B184" s="28" t="s">
        <v>33</v>
      </c>
      <c r="C184" s="29" t="s">
        <v>72</v>
      </c>
      <c r="D184" s="30" t="s">
        <v>313</v>
      </c>
      <c r="E184" s="28" t="s">
        <v>42</v>
      </c>
      <c r="F184" s="68" t="s">
        <v>10</v>
      </c>
      <c r="G184" s="31">
        <v>46100</v>
      </c>
      <c r="H184" s="28" t="s">
        <v>47</v>
      </c>
      <c r="I184" s="67">
        <v>8.3333333333333329E-2</v>
      </c>
      <c r="J184" s="67">
        <v>0.5</v>
      </c>
      <c r="K184" s="67">
        <v>0.89583333333333337</v>
      </c>
      <c r="L184" s="28">
        <v>120</v>
      </c>
    </row>
    <row r="185" spans="1:12" ht="24.6" hidden="1" x14ac:dyDescent="0.3">
      <c r="A185" s="28" t="s">
        <v>46</v>
      </c>
      <c r="B185" s="28" t="s">
        <v>33</v>
      </c>
      <c r="C185" s="29" t="s">
        <v>50</v>
      </c>
      <c r="D185" s="30" t="s">
        <v>317</v>
      </c>
      <c r="E185" s="28" t="s">
        <v>42</v>
      </c>
      <c r="F185" s="68" t="s">
        <v>10</v>
      </c>
      <c r="G185" s="31">
        <v>46100</v>
      </c>
      <c r="H185" s="28" t="s">
        <v>47</v>
      </c>
      <c r="I185" s="67">
        <v>0.125</v>
      </c>
      <c r="J185" s="67">
        <v>0.5</v>
      </c>
      <c r="K185" s="67">
        <v>0.89583333333333337</v>
      </c>
      <c r="L185" s="28">
        <v>180</v>
      </c>
    </row>
    <row r="186" spans="1:12" ht="24.6" hidden="1" x14ac:dyDescent="0.3">
      <c r="A186" s="76" t="s">
        <v>60</v>
      </c>
      <c r="B186" s="76" t="s">
        <v>33</v>
      </c>
      <c r="C186" s="76" t="s">
        <v>64</v>
      </c>
      <c r="D186" s="80" t="s">
        <v>346</v>
      </c>
      <c r="E186" s="76" t="s">
        <v>42</v>
      </c>
      <c r="F186" s="68" t="s">
        <v>10</v>
      </c>
      <c r="G186" s="77">
        <v>46104</v>
      </c>
      <c r="H186" s="76" t="s">
        <v>69</v>
      </c>
      <c r="I186" s="78">
        <v>0.27083333333333331</v>
      </c>
      <c r="J186" s="78">
        <v>0.5</v>
      </c>
      <c r="K186" s="78">
        <v>0.83333333333333337</v>
      </c>
      <c r="L186" s="76">
        <v>390</v>
      </c>
    </row>
    <row r="187" spans="1:12" hidden="1" x14ac:dyDescent="0.3">
      <c r="A187" s="76" t="s">
        <v>60</v>
      </c>
      <c r="B187" s="76" t="s">
        <v>33</v>
      </c>
      <c r="C187" s="76" t="s">
        <v>65</v>
      </c>
      <c r="D187" s="80" t="s">
        <v>179</v>
      </c>
      <c r="E187" s="76" t="s">
        <v>42</v>
      </c>
      <c r="F187" s="68" t="s">
        <v>10</v>
      </c>
      <c r="G187" s="77">
        <v>46104</v>
      </c>
      <c r="H187" s="76" t="s">
        <v>69</v>
      </c>
      <c r="I187" s="78">
        <v>2.0833333333333332E-2</v>
      </c>
      <c r="J187" s="78">
        <v>0.6875</v>
      </c>
      <c r="K187" s="78">
        <v>0.70833333333333337</v>
      </c>
      <c r="L187" s="76">
        <v>30</v>
      </c>
    </row>
    <row r="188" spans="1:12" ht="24.6" hidden="1" x14ac:dyDescent="0.3">
      <c r="A188" s="76" t="s">
        <v>60</v>
      </c>
      <c r="B188" s="76" t="s">
        <v>33</v>
      </c>
      <c r="C188" s="76" t="s">
        <v>64</v>
      </c>
      <c r="D188" s="80" t="s">
        <v>347</v>
      </c>
      <c r="E188" s="76" t="s">
        <v>42</v>
      </c>
      <c r="F188" s="68" t="s">
        <v>10</v>
      </c>
      <c r="G188" s="77">
        <v>46105</v>
      </c>
      <c r="H188" s="76" t="s">
        <v>69</v>
      </c>
      <c r="I188" s="78">
        <v>0.33333333333333331</v>
      </c>
      <c r="J188" s="78">
        <v>0.52083333333333337</v>
      </c>
      <c r="K188" s="78">
        <v>0.89583333333333337</v>
      </c>
      <c r="L188" s="76">
        <v>480</v>
      </c>
    </row>
    <row r="189" spans="1:12" ht="24.6" hidden="1" x14ac:dyDescent="0.3">
      <c r="A189" s="76" t="s">
        <v>60</v>
      </c>
      <c r="B189" s="76" t="s">
        <v>33</v>
      </c>
      <c r="C189" s="76" t="s">
        <v>64</v>
      </c>
      <c r="D189" s="80" t="s">
        <v>344</v>
      </c>
      <c r="E189" s="76" t="s">
        <v>42</v>
      </c>
      <c r="F189" s="68" t="s">
        <v>10</v>
      </c>
      <c r="G189" s="77">
        <v>46106</v>
      </c>
      <c r="H189" s="76" t="s">
        <v>69</v>
      </c>
      <c r="I189" s="78">
        <v>0.33333333333333331</v>
      </c>
      <c r="J189" s="78">
        <v>0.52083333333333337</v>
      </c>
      <c r="K189" s="78">
        <v>0.875</v>
      </c>
      <c r="L189" s="76">
        <v>480</v>
      </c>
    </row>
    <row r="190" spans="1:12" ht="24.6" hidden="1" x14ac:dyDescent="0.3">
      <c r="A190" s="76" t="s">
        <v>60</v>
      </c>
      <c r="B190" s="76" t="s">
        <v>33</v>
      </c>
      <c r="C190" s="76" t="s">
        <v>64</v>
      </c>
      <c r="D190" s="80" t="s">
        <v>345</v>
      </c>
      <c r="E190" s="76" t="s">
        <v>42</v>
      </c>
      <c r="F190" s="68" t="s">
        <v>10</v>
      </c>
      <c r="G190" s="77">
        <v>46107</v>
      </c>
      <c r="H190" s="76" t="s">
        <v>69</v>
      </c>
      <c r="I190" s="78">
        <v>0.22916666666666666</v>
      </c>
      <c r="J190" s="78">
        <v>0.5</v>
      </c>
      <c r="K190" s="78">
        <v>0.75</v>
      </c>
      <c r="L190" s="76">
        <v>330</v>
      </c>
    </row>
    <row r="191" spans="1:12" ht="24.6" hidden="1" x14ac:dyDescent="0.3">
      <c r="A191" s="76" t="s">
        <v>60</v>
      </c>
      <c r="B191" s="76" t="s">
        <v>33</v>
      </c>
      <c r="C191" s="76" t="s">
        <v>64</v>
      </c>
      <c r="D191" s="80" t="s">
        <v>343</v>
      </c>
      <c r="E191" s="76" t="s">
        <v>42</v>
      </c>
      <c r="F191" s="68" t="s">
        <v>10</v>
      </c>
      <c r="G191" s="77">
        <v>46107</v>
      </c>
      <c r="H191" s="76" t="s">
        <v>69</v>
      </c>
      <c r="I191" s="78">
        <v>0.14583333333333334</v>
      </c>
      <c r="J191" s="78">
        <v>0.75</v>
      </c>
      <c r="K191" s="78">
        <v>0.91666666666666663</v>
      </c>
      <c r="L191" s="76">
        <v>210</v>
      </c>
    </row>
    <row r="192" spans="1:12" hidden="1" x14ac:dyDescent="0.3">
      <c r="A192" s="28" t="s">
        <v>46</v>
      </c>
      <c r="B192" s="28" t="s">
        <v>33</v>
      </c>
      <c r="C192" s="29" t="s">
        <v>56</v>
      </c>
      <c r="D192" s="30" t="s">
        <v>179</v>
      </c>
      <c r="E192" s="28" t="s">
        <v>42</v>
      </c>
      <c r="F192" s="68" t="s">
        <v>10</v>
      </c>
      <c r="G192" s="31">
        <v>46104</v>
      </c>
      <c r="H192" s="28" t="s">
        <v>47</v>
      </c>
      <c r="I192" s="67">
        <v>2.0833333333333332E-2</v>
      </c>
      <c r="J192" s="67">
        <v>0.6875</v>
      </c>
      <c r="K192" s="67">
        <v>0.70833333333333337</v>
      </c>
      <c r="L192" s="28">
        <v>30</v>
      </c>
    </row>
    <row r="193" spans="1:12" ht="24.6" hidden="1" x14ac:dyDescent="0.3">
      <c r="A193" s="28" t="s">
        <v>46</v>
      </c>
      <c r="B193" s="28" t="s">
        <v>33</v>
      </c>
      <c r="C193" s="29" t="s">
        <v>72</v>
      </c>
      <c r="D193" s="30" t="s">
        <v>355</v>
      </c>
      <c r="E193" s="28" t="s">
        <v>42</v>
      </c>
      <c r="F193" s="69" t="s">
        <v>45</v>
      </c>
      <c r="G193" s="31">
        <v>46104</v>
      </c>
      <c r="H193" s="28" t="s">
        <v>47</v>
      </c>
      <c r="I193" s="67">
        <v>0.16666666666666666</v>
      </c>
      <c r="J193" s="67">
        <v>0.5</v>
      </c>
      <c r="K193" s="67">
        <v>0.89583333333333337</v>
      </c>
      <c r="L193" s="28">
        <v>240</v>
      </c>
    </row>
    <row r="194" spans="1:12" ht="24.6" hidden="1" x14ac:dyDescent="0.3">
      <c r="A194" s="28" t="s">
        <v>46</v>
      </c>
      <c r="B194" s="28" t="s">
        <v>33</v>
      </c>
      <c r="C194" s="29" t="s">
        <v>72</v>
      </c>
      <c r="D194" s="30" t="s">
        <v>356</v>
      </c>
      <c r="E194" s="28" t="s">
        <v>42</v>
      </c>
      <c r="F194" s="69" t="s">
        <v>45</v>
      </c>
      <c r="G194" s="31">
        <v>46104</v>
      </c>
      <c r="H194" s="28" t="s">
        <v>47</v>
      </c>
      <c r="I194" s="67">
        <v>0.16666666666666666</v>
      </c>
      <c r="J194" s="67">
        <v>0.5</v>
      </c>
      <c r="K194" s="67">
        <v>0.89583333333333337</v>
      </c>
      <c r="L194" s="28">
        <v>240</v>
      </c>
    </row>
    <row r="195" spans="1:12" ht="48.6" hidden="1" x14ac:dyDescent="0.3">
      <c r="A195" s="28" t="s">
        <v>46</v>
      </c>
      <c r="B195" s="28" t="s">
        <v>33</v>
      </c>
      <c r="C195" s="29" t="s">
        <v>72</v>
      </c>
      <c r="D195" s="30" t="s">
        <v>357</v>
      </c>
      <c r="E195" s="28" t="s">
        <v>124</v>
      </c>
      <c r="F195" s="68" t="s">
        <v>10</v>
      </c>
      <c r="G195" s="31">
        <v>46105</v>
      </c>
      <c r="H195" s="28" t="s">
        <v>47</v>
      </c>
      <c r="I195" s="67">
        <v>0.25</v>
      </c>
      <c r="J195" s="67">
        <v>0.52083333333333337</v>
      </c>
      <c r="K195" s="67">
        <v>0.89583333333333337</v>
      </c>
      <c r="L195" s="28">
        <v>360</v>
      </c>
    </row>
    <row r="196" spans="1:12" hidden="1" x14ac:dyDescent="0.3">
      <c r="A196" s="28" t="s">
        <v>46</v>
      </c>
      <c r="B196" s="28" t="s">
        <v>33</v>
      </c>
      <c r="C196" s="29" t="s">
        <v>72</v>
      </c>
      <c r="D196" s="30" t="s">
        <v>363</v>
      </c>
      <c r="E196" s="28" t="s">
        <v>124</v>
      </c>
      <c r="F196" s="69" t="s">
        <v>45</v>
      </c>
      <c r="G196" s="31">
        <v>46105</v>
      </c>
      <c r="H196" s="28" t="s">
        <v>47</v>
      </c>
      <c r="I196" s="67">
        <v>8.3333333333333329E-2</v>
      </c>
      <c r="J196" s="67">
        <v>0.5</v>
      </c>
      <c r="K196" s="67">
        <v>0.70833333333333337</v>
      </c>
      <c r="L196" s="28">
        <v>120</v>
      </c>
    </row>
    <row r="197" spans="1:12" ht="24.6" hidden="1" x14ac:dyDescent="0.3">
      <c r="A197" s="28" t="s">
        <v>46</v>
      </c>
      <c r="B197" s="28" t="s">
        <v>33</v>
      </c>
      <c r="C197" s="29" t="s">
        <v>72</v>
      </c>
      <c r="D197" s="30" t="s">
        <v>351</v>
      </c>
      <c r="E197" s="28" t="s">
        <v>42</v>
      </c>
      <c r="F197" s="69" t="s">
        <v>45</v>
      </c>
      <c r="G197" s="31">
        <v>46107</v>
      </c>
      <c r="H197" s="28" t="s">
        <v>47</v>
      </c>
      <c r="I197" s="67">
        <v>0.20833333333333334</v>
      </c>
      <c r="J197" s="67">
        <v>0.5</v>
      </c>
      <c r="K197" s="67">
        <v>0.89583333333333337</v>
      </c>
      <c r="L197" s="28">
        <v>300</v>
      </c>
    </row>
    <row r="198" spans="1:12" ht="24.6" hidden="1" x14ac:dyDescent="0.3">
      <c r="A198" s="28" t="s">
        <v>46</v>
      </c>
      <c r="B198" s="28" t="s">
        <v>33</v>
      </c>
      <c r="C198" s="29" t="s">
        <v>72</v>
      </c>
      <c r="D198" s="30" t="s">
        <v>354</v>
      </c>
      <c r="E198" s="28" t="s">
        <v>42</v>
      </c>
      <c r="F198" s="69" t="s">
        <v>45</v>
      </c>
      <c r="G198" s="31">
        <v>46107</v>
      </c>
      <c r="H198" s="28" t="s">
        <v>47</v>
      </c>
      <c r="I198" s="67">
        <v>8.3333333333333329E-2</v>
      </c>
      <c r="J198" s="67">
        <v>0.5</v>
      </c>
      <c r="K198" s="67">
        <v>0.89583333333333337</v>
      </c>
      <c r="L198" s="28">
        <v>120</v>
      </c>
    </row>
    <row r="199" spans="1:12" ht="24.6" hidden="1" x14ac:dyDescent="0.3">
      <c r="A199" s="28" t="s">
        <v>46</v>
      </c>
      <c r="B199" s="28" t="s">
        <v>33</v>
      </c>
      <c r="C199" s="29" t="s">
        <v>72</v>
      </c>
      <c r="D199" s="30" t="s">
        <v>352</v>
      </c>
      <c r="E199" s="28" t="s">
        <v>42</v>
      </c>
      <c r="F199" s="69" t="s">
        <v>45</v>
      </c>
      <c r="G199" s="31">
        <v>46108</v>
      </c>
      <c r="H199" s="28" t="s">
        <v>47</v>
      </c>
      <c r="I199" s="67">
        <v>0.20833333333333334</v>
      </c>
      <c r="J199" s="67">
        <v>0.5</v>
      </c>
      <c r="K199" s="67">
        <v>0.89583333333333337</v>
      </c>
      <c r="L199" s="28">
        <v>300</v>
      </c>
    </row>
    <row r="200" spans="1:12" hidden="1" x14ac:dyDescent="0.3">
      <c r="A200" s="28" t="s">
        <v>46</v>
      </c>
      <c r="B200" s="28" t="s">
        <v>33</v>
      </c>
      <c r="C200" s="29" t="s">
        <v>72</v>
      </c>
      <c r="D200" s="30" t="s">
        <v>353</v>
      </c>
      <c r="E200" s="28" t="s">
        <v>42</v>
      </c>
      <c r="F200" s="69" t="s">
        <v>45</v>
      </c>
      <c r="G200" s="31">
        <v>46108</v>
      </c>
      <c r="H200" s="28" t="s">
        <v>47</v>
      </c>
      <c r="I200" s="67">
        <v>0.125</v>
      </c>
      <c r="J200" s="67">
        <v>0.5</v>
      </c>
      <c r="K200" s="67">
        <v>0.70833333333333337</v>
      </c>
      <c r="L200" s="28">
        <v>180</v>
      </c>
    </row>
    <row r="201" spans="1:12" ht="24.6" hidden="1" x14ac:dyDescent="0.3">
      <c r="A201" s="76" t="s">
        <v>60</v>
      </c>
      <c r="B201" s="76" t="s">
        <v>33</v>
      </c>
      <c r="C201" s="76" t="s">
        <v>64</v>
      </c>
      <c r="D201" s="80" t="s">
        <v>364</v>
      </c>
      <c r="E201" s="76" t="s">
        <v>42</v>
      </c>
      <c r="F201" s="68" t="s">
        <v>10</v>
      </c>
      <c r="G201" s="77">
        <v>46111</v>
      </c>
      <c r="H201" s="76" t="s">
        <v>69</v>
      </c>
      <c r="I201" s="78">
        <v>0.27083333333333331</v>
      </c>
      <c r="J201" s="78">
        <v>0.5</v>
      </c>
      <c r="K201" s="78">
        <v>0.83333333333333337</v>
      </c>
      <c r="L201" s="76">
        <v>390</v>
      </c>
    </row>
    <row r="202" spans="1:12" hidden="1" x14ac:dyDescent="0.3">
      <c r="A202" s="76" t="s">
        <v>60</v>
      </c>
      <c r="B202" s="76" t="s">
        <v>33</v>
      </c>
      <c r="C202" s="76" t="s">
        <v>65</v>
      </c>
      <c r="D202" s="80" t="s">
        <v>179</v>
      </c>
      <c r="E202" s="76" t="s">
        <v>42</v>
      </c>
      <c r="F202" s="68" t="s">
        <v>10</v>
      </c>
      <c r="G202" s="77">
        <v>46111</v>
      </c>
      <c r="H202" s="76" t="s">
        <v>69</v>
      </c>
      <c r="I202" s="78">
        <v>2.0833333333333332E-2</v>
      </c>
      <c r="J202" s="78">
        <v>0.64583333333333337</v>
      </c>
      <c r="K202" s="78">
        <v>0.66666666666666663</v>
      </c>
      <c r="L202" s="76">
        <v>30</v>
      </c>
    </row>
    <row r="203" spans="1:12" ht="24.6" hidden="1" x14ac:dyDescent="0.3">
      <c r="A203" s="76" t="s">
        <v>60</v>
      </c>
      <c r="B203" s="76" t="s">
        <v>33</v>
      </c>
      <c r="C203" s="76" t="s">
        <v>64</v>
      </c>
      <c r="D203" s="80" t="s">
        <v>365</v>
      </c>
      <c r="E203" s="76" t="s">
        <v>42</v>
      </c>
      <c r="F203" s="68" t="s">
        <v>10</v>
      </c>
      <c r="G203" s="77">
        <v>46112</v>
      </c>
      <c r="H203" s="76" t="s">
        <v>69</v>
      </c>
      <c r="I203" s="78">
        <v>0.33333333333333331</v>
      </c>
      <c r="J203" s="78">
        <v>0.52083333333333337</v>
      </c>
      <c r="K203" s="78">
        <v>0.89583333333333337</v>
      </c>
      <c r="L203" s="76">
        <v>480</v>
      </c>
    </row>
    <row r="204" spans="1:12" ht="24.6" hidden="1" x14ac:dyDescent="0.3">
      <c r="A204" s="76" t="s">
        <v>60</v>
      </c>
      <c r="B204" s="76" t="s">
        <v>33</v>
      </c>
      <c r="C204" s="76" t="s">
        <v>64</v>
      </c>
      <c r="D204" s="80" t="s">
        <v>366</v>
      </c>
      <c r="E204" s="76" t="s">
        <v>42</v>
      </c>
      <c r="F204" s="68" t="s">
        <v>10</v>
      </c>
      <c r="G204" s="77">
        <v>46113</v>
      </c>
      <c r="H204" s="76" t="s">
        <v>69</v>
      </c>
      <c r="I204" s="78">
        <v>0.33333333333333331</v>
      </c>
      <c r="J204" s="78">
        <v>0.52083333333333337</v>
      </c>
      <c r="K204" s="78">
        <v>0.875</v>
      </c>
      <c r="L204" s="76">
        <v>480</v>
      </c>
    </row>
    <row r="205" spans="1:12" hidden="1" x14ac:dyDescent="0.3">
      <c r="A205" s="28" t="s">
        <v>46</v>
      </c>
      <c r="B205" s="28" t="s">
        <v>33</v>
      </c>
      <c r="C205" s="29" t="s">
        <v>56</v>
      </c>
      <c r="D205" s="30" t="s">
        <v>179</v>
      </c>
      <c r="E205" s="28" t="s">
        <v>42</v>
      </c>
      <c r="F205" s="68" t="s">
        <v>10</v>
      </c>
      <c r="G205" s="31">
        <v>46111</v>
      </c>
      <c r="H205" s="28" t="s">
        <v>47</v>
      </c>
      <c r="I205" s="67">
        <v>2.0833333333333332E-2</v>
      </c>
      <c r="J205" s="67">
        <v>0.6875</v>
      </c>
      <c r="K205" s="67">
        <v>0.70833333333333337</v>
      </c>
      <c r="L205" s="28">
        <v>30</v>
      </c>
    </row>
    <row r="206" spans="1:12" ht="24.6" hidden="1" x14ac:dyDescent="0.3">
      <c r="A206" s="28" t="s">
        <v>46</v>
      </c>
      <c r="B206" s="28" t="s">
        <v>33</v>
      </c>
      <c r="C206" s="29" t="s">
        <v>72</v>
      </c>
      <c r="D206" s="30" t="s">
        <v>371</v>
      </c>
      <c r="E206" s="28" t="s">
        <v>42</v>
      </c>
      <c r="F206" s="69" t="s">
        <v>45</v>
      </c>
      <c r="G206" s="31">
        <v>46111</v>
      </c>
      <c r="H206" s="28" t="s">
        <v>47</v>
      </c>
      <c r="I206" s="67">
        <v>0.16666666666666666</v>
      </c>
      <c r="J206" s="67">
        <v>0.5</v>
      </c>
      <c r="K206" s="67">
        <v>0.89583333333333337</v>
      </c>
      <c r="L206" s="28">
        <v>240</v>
      </c>
    </row>
    <row r="207" spans="1:12" ht="24.6" hidden="1" x14ac:dyDescent="0.3">
      <c r="A207" s="28" t="s">
        <v>46</v>
      </c>
      <c r="B207" s="28" t="s">
        <v>33</v>
      </c>
      <c r="C207" s="29" t="s">
        <v>72</v>
      </c>
      <c r="D207" s="30" t="s">
        <v>374</v>
      </c>
      <c r="E207" s="28" t="s">
        <v>42</v>
      </c>
      <c r="F207" s="69" t="s">
        <v>45</v>
      </c>
      <c r="G207" s="31">
        <v>46111</v>
      </c>
      <c r="H207" s="28" t="s">
        <v>47</v>
      </c>
      <c r="I207" s="67">
        <v>0.10416666666666667</v>
      </c>
      <c r="J207" s="67">
        <v>0.5</v>
      </c>
      <c r="K207" s="67">
        <v>0.89583333333333337</v>
      </c>
      <c r="L207" s="28">
        <v>150</v>
      </c>
    </row>
    <row r="208" spans="1:12" ht="48.6" hidden="1" x14ac:dyDescent="0.3">
      <c r="A208" s="28" t="s">
        <v>46</v>
      </c>
      <c r="B208" s="28" t="s">
        <v>33</v>
      </c>
      <c r="C208" s="29" t="s">
        <v>72</v>
      </c>
      <c r="D208" s="30" t="s">
        <v>357</v>
      </c>
      <c r="E208" s="28" t="s">
        <v>124</v>
      </c>
      <c r="F208" s="68" t="s">
        <v>10</v>
      </c>
      <c r="G208" s="31">
        <v>46112</v>
      </c>
      <c r="H208" s="28" t="s">
        <v>47</v>
      </c>
      <c r="I208" s="67">
        <v>0.25</v>
      </c>
      <c r="J208" s="67">
        <v>0.52083333333333337</v>
      </c>
      <c r="K208" s="67">
        <v>0.89583333333333337</v>
      </c>
      <c r="L208" s="28">
        <v>360</v>
      </c>
    </row>
    <row r="209" spans="1:12" ht="24.6" hidden="1" x14ac:dyDescent="0.3">
      <c r="A209" s="28" t="s">
        <v>46</v>
      </c>
      <c r="B209" s="28" t="s">
        <v>33</v>
      </c>
      <c r="C209" s="29" t="s">
        <v>72</v>
      </c>
      <c r="D209" s="30" t="s">
        <v>373</v>
      </c>
      <c r="E209" s="28" t="s">
        <v>124</v>
      </c>
      <c r="F209" s="69" t="s">
        <v>45</v>
      </c>
      <c r="G209" s="31">
        <v>46113</v>
      </c>
      <c r="H209" s="28" t="s">
        <v>47</v>
      </c>
      <c r="I209" s="67">
        <v>0.14583333333333334</v>
      </c>
      <c r="J209" s="67">
        <v>0.5</v>
      </c>
      <c r="K209" s="67">
        <v>0.70833333333333337</v>
      </c>
      <c r="L209" s="28">
        <v>210</v>
      </c>
    </row>
    <row r="210" spans="1:12" ht="24.6" hidden="1" x14ac:dyDescent="0.3">
      <c r="A210" s="28" t="s">
        <v>46</v>
      </c>
      <c r="B210" s="28" t="s">
        <v>33</v>
      </c>
      <c r="C210" s="29" t="s">
        <v>72</v>
      </c>
      <c r="D210" s="30" t="s">
        <v>372</v>
      </c>
      <c r="E210" s="28" t="s">
        <v>42</v>
      </c>
      <c r="F210" s="69" t="s">
        <v>45</v>
      </c>
      <c r="G210" s="31">
        <v>46113</v>
      </c>
      <c r="H210" s="28" t="s">
        <v>47</v>
      </c>
      <c r="I210" s="67">
        <v>0.10416666666666667</v>
      </c>
      <c r="J210" s="67">
        <v>0.5</v>
      </c>
      <c r="K210" s="67">
        <v>0.89583333333333337</v>
      </c>
      <c r="L210" s="28">
        <v>150</v>
      </c>
    </row>
    <row r="211" spans="1:12" hidden="1" x14ac:dyDescent="0.3">
      <c r="A211" s="28" t="s">
        <v>46</v>
      </c>
      <c r="B211" s="28" t="s">
        <v>33</v>
      </c>
      <c r="C211" s="29" t="s">
        <v>72</v>
      </c>
      <c r="D211" s="30" t="s">
        <v>375</v>
      </c>
      <c r="E211" s="28" t="s">
        <v>42</v>
      </c>
      <c r="F211" s="69" t="s">
        <v>45</v>
      </c>
      <c r="G211" s="31">
        <v>46114</v>
      </c>
      <c r="H211" s="28" t="s">
        <v>47</v>
      </c>
      <c r="I211" s="67">
        <v>0.125</v>
      </c>
      <c r="J211" s="67">
        <v>0.5</v>
      </c>
      <c r="K211" s="67">
        <v>0.89583333333333337</v>
      </c>
      <c r="L211" s="28">
        <v>180</v>
      </c>
    </row>
    <row r="212" spans="1:12" ht="24.6" hidden="1" x14ac:dyDescent="0.3">
      <c r="A212" s="28" t="s">
        <v>46</v>
      </c>
      <c r="B212" s="28" t="s">
        <v>33</v>
      </c>
      <c r="C212" s="29" t="s">
        <v>72</v>
      </c>
      <c r="D212" s="30" t="s">
        <v>376</v>
      </c>
      <c r="E212" s="28" t="s">
        <v>42</v>
      </c>
      <c r="F212" s="69" t="s">
        <v>45</v>
      </c>
      <c r="G212" s="31">
        <v>46114</v>
      </c>
      <c r="H212" s="28" t="s">
        <v>47</v>
      </c>
      <c r="I212" s="67">
        <v>0.125</v>
      </c>
      <c r="J212" s="67">
        <v>0.5</v>
      </c>
      <c r="K212" s="67">
        <v>0.89583333333333337</v>
      </c>
      <c r="L212" s="28">
        <v>180</v>
      </c>
    </row>
    <row r="213" spans="1:12" ht="24.6" hidden="1" x14ac:dyDescent="0.3">
      <c r="A213" s="28" t="s">
        <v>46</v>
      </c>
      <c r="B213" s="28" t="s">
        <v>33</v>
      </c>
      <c r="C213" s="29" t="s">
        <v>72</v>
      </c>
      <c r="D213" s="30" t="s">
        <v>377</v>
      </c>
      <c r="E213" s="28" t="s">
        <v>42</v>
      </c>
      <c r="F213" s="69" t="s">
        <v>45</v>
      </c>
      <c r="G213" s="31">
        <v>46114</v>
      </c>
      <c r="H213" s="28" t="s">
        <v>47</v>
      </c>
      <c r="I213" s="67">
        <v>0.16666666666666666</v>
      </c>
      <c r="J213" s="67">
        <v>0.5</v>
      </c>
      <c r="K213" s="67">
        <v>0.70833333333333337</v>
      </c>
      <c r="L213" s="28">
        <v>240</v>
      </c>
    </row>
    <row r="214" spans="1:12" ht="24.6" hidden="1" x14ac:dyDescent="0.3">
      <c r="A214" s="76" t="s">
        <v>60</v>
      </c>
      <c r="B214" s="76" t="s">
        <v>33</v>
      </c>
      <c r="C214" s="76" t="s">
        <v>64</v>
      </c>
      <c r="D214" s="80" t="s">
        <v>382</v>
      </c>
      <c r="E214" s="76" t="s">
        <v>42</v>
      </c>
      <c r="F214" s="69" t="s">
        <v>45</v>
      </c>
      <c r="G214" s="77">
        <v>46118</v>
      </c>
      <c r="H214" s="76" t="s">
        <v>69</v>
      </c>
      <c r="I214" s="78">
        <v>0.33333333333333331</v>
      </c>
      <c r="J214" s="78">
        <v>0.5</v>
      </c>
      <c r="K214" s="78">
        <v>0.83333333333333337</v>
      </c>
      <c r="L214" s="76">
        <v>480</v>
      </c>
    </row>
    <row r="215" spans="1:12" ht="24.6" hidden="1" x14ac:dyDescent="0.3">
      <c r="A215" s="76" t="s">
        <v>60</v>
      </c>
      <c r="B215" s="76" t="s">
        <v>33</v>
      </c>
      <c r="C215" s="76" t="s">
        <v>64</v>
      </c>
      <c r="D215" s="80" t="s">
        <v>383</v>
      </c>
      <c r="E215" s="76" t="s">
        <v>42</v>
      </c>
      <c r="F215" s="68" t="s">
        <v>10</v>
      </c>
      <c r="G215" s="77">
        <v>46119</v>
      </c>
      <c r="H215" s="76" t="s">
        <v>69</v>
      </c>
      <c r="I215" s="78">
        <v>0.14583333333333334</v>
      </c>
      <c r="J215" s="78">
        <v>0.52083333333333337</v>
      </c>
      <c r="K215" s="78">
        <v>0.66666666666666663</v>
      </c>
      <c r="L215" s="76">
        <v>210</v>
      </c>
    </row>
    <row r="216" spans="1:12" ht="24.6" hidden="1" x14ac:dyDescent="0.3">
      <c r="A216" s="76" t="s">
        <v>60</v>
      </c>
      <c r="B216" s="76" t="s">
        <v>33</v>
      </c>
      <c r="C216" s="76" t="s">
        <v>64</v>
      </c>
      <c r="D216" s="80" t="s">
        <v>384</v>
      </c>
      <c r="E216" s="76" t="s">
        <v>42</v>
      </c>
      <c r="F216" s="69" t="s">
        <v>45</v>
      </c>
      <c r="G216" s="77">
        <v>46119</v>
      </c>
      <c r="H216" s="76" t="s">
        <v>69</v>
      </c>
      <c r="I216" s="78">
        <v>0.1875</v>
      </c>
      <c r="J216" s="78">
        <v>0.67708333333333337</v>
      </c>
      <c r="K216" s="78">
        <v>0.89583333333333337</v>
      </c>
      <c r="L216" s="76">
        <v>270</v>
      </c>
    </row>
    <row r="217" spans="1:12" ht="24.6" hidden="1" x14ac:dyDescent="0.3">
      <c r="A217" s="76" t="s">
        <v>60</v>
      </c>
      <c r="B217" s="76" t="s">
        <v>33</v>
      </c>
      <c r="C217" s="76" t="s">
        <v>64</v>
      </c>
      <c r="D217" s="80" t="s">
        <v>386</v>
      </c>
      <c r="E217" s="76" t="s">
        <v>42</v>
      </c>
      <c r="F217" s="68" t="s">
        <v>10</v>
      </c>
      <c r="G217" s="77">
        <v>46120</v>
      </c>
      <c r="H217" s="76" t="s">
        <v>69</v>
      </c>
      <c r="I217" s="78">
        <v>0.29166666666666669</v>
      </c>
      <c r="J217" s="78">
        <v>0.52083333333333337</v>
      </c>
      <c r="K217" s="78">
        <v>0.89583333333333337</v>
      </c>
      <c r="L217" s="76">
        <v>420</v>
      </c>
    </row>
    <row r="218" spans="1:12" hidden="1" x14ac:dyDescent="0.3">
      <c r="A218" s="76" t="s">
        <v>60</v>
      </c>
      <c r="B218" s="76" t="s">
        <v>33</v>
      </c>
      <c r="C218" s="76" t="s">
        <v>65</v>
      </c>
      <c r="D218" s="80" t="s">
        <v>385</v>
      </c>
      <c r="E218" s="76" t="s">
        <v>42</v>
      </c>
      <c r="F218" s="68" t="s">
        <v>10</v>
      </c>
      <c r="G218" s="77">
        <v>46120</v>
      </c>
      <c r="H218" s="76" t="s">
        <v>69</v>
      </c>
      <c r="I218" s="78">
        <v>3.125E-2</v>
      </c>
      <c r="J218" s="78">
        <v>0.66666666666666663</v>
      </c>
      <c r="K218" s="78">
        <v>0.69791666666666663</v>
      </c>
      <c r="L218" s="76">
        <v>45</v>
      </c>
    </row>
    <row r="219" spans="1:12" ht="24.6" hidden="1" x14ac:dyDescent="0.3">
      <c r="A219" s="76" t="s">
        <v>60</v>
      </c>
      <c r="B219" s="76" t="s">
        <v>33</v>
      </c>
      <c r="C219" s="76" t="s">
        <v>64</v>
      </c>
      <c r="D219" s="80" t="s">
        <v>387</v>
      </c>
      <c r="E219" s="76" t="s">
        <v>42</v>
      </c>
      <c r="F219" s="69" t="s">
        <v>45</v>
      </c>
      <c r="G219" s="77">
        <v>46121</v>
      </c>
      <c r="H219" s="76" t="s">
        <v>69</v>
      </c>
      <c r="I219" s="78">
        <v>0.22916666666666666</v>
      </c>
      <c r="J219" s="78">
        <v>0.5</v>
      </c>
      <c r="K219" s="78">
        <v>0.75</v>
      </c>
      <c r="L219" s="76">
        <v>330</v>
      </c>
    </row>
    <row r="220" spans="1:12" ht="24.6" hidden="1" x14ac:dyDescent="0.3">
      <c r="A220" s="76" t="s">
        <v>60</v>
      </c>
      <c r="B220" s="76" t="s">
        <v>33</v>
      </c>
      <c r="C220" s="76" t="s">
        <v>64</v>
      </c>
      <c r="D220" s="80" t="s">
        <v>388</v>
      </c>
      <c r="E220" s="76" t="s">
        <v>42</v>
      </c>
      <c r="F220" s="69" t="s">
        <v>45</v>
      </c>
      <c r="G220" s="77">
        <v>46121</v>
      </c>
      <c r="H220" s="76" t="s">
        <v>69</v>
      </c>
      <c r="I220" s="78">
        <v>0.125</v>
      </c>
      <c r="J220" s="78">
        <v>0.75</v>
      </c>
      <c r="K220" s="78">
        <v>0.89583333333333337</v>
      </c>
      <c r="L220" s="76">
        <v>180</v>
      </c>
    </row>
    <row r="221" spans="1:12" ht="24.6" hidden="1" x14ac:dyDescent="0.3">
      <c r="A221" s="76" t="s">
        <v>60</v>
      </c>
      <c r="B221" s="76" t="s">
        <v>33</v>
      </c>
      <c r="C221" s="76" t="s">
        <v>64</v>
      </c>
      <c r="D221" s="80" t="s">
        <v>390</v>
      </c>
      <c r="E221" s="76" t="s">
        <v>42</v>
      </c>
      <c r="F221" s="68" t="s">
        <v>10</v>
      </c>
      <c r="G221" s="77">
        <v>46122</v>
      </c>
      <c r="H221" s="76" t="s">
        <v>69</v>
      </c>
      <c r="I221" s="78">
        <v>0.22916666666666666</v>
      </c>
      <c r="J221" s="78">
        <v>0.5</v>
      </c>
      <c r="K221" s="78">
        <v>0.83333333333333337</v>
      </c>
      <c r="L221" s="76">
        <v>330</v>
      </c>
    </row>
    <row r="222" spans="1:12" hidden="1" x14ac:dyDescent="0.3">
      <c r="A222" s="76" t="s">
        <v>60</v>
      </c>
      <c r="B222" s="76" t="s">
        <v>33</v>
      </c>
      <c r="C222" s="76" t="s">
        <v>65</v>
      </c>
      <c r="D222" s="80" t="s">
        <v>389</v>
      </c>
      <c r="E222" s="76" t="s">
        <v>42</v>
      </c>
      <c r="F222" s="68" t="s">
        <v>10</v>
      </c>
      <c r="G222" s="77">
        <v>46122</v>
      </c>
      <c r="H222" s="76" t="s">
        <v>69</v>
      </c>
      <c r="I222" s="78">
        <v>8.3333333333333329E-2</v>
      </c>
      <c r="J222" s="78">
        <v>0.58333333333333337</v>
      </c>
      <c r="K222" s="78">
        <v>0.66666666666666663</v>
      </c>
      <c r="L222" s="76">
        <v>120</v>
      </c>
    </row>
    <row r="223" spans="1:12" ht="24.6" hidden="1" x14ac:dyDescent="0.3">
      <c r="A223" s="76" t="s">
        <v>60</v>
      </c>
      <c r="B223" s="76" t="s">
        <v>33</v>
      </c>
      <c r="C223" s="76" t="s">
        <v>65</v>
      </c>
      <c r="D223" s="80" t="s">
        <v>391</v>
      </c>
      <c r="E223" s="76" t="s">
        <v>42</v>
      </c>
      <c r="F223" s="68" t="s">
        <v>10</v>
      </c>
      <c r="G223" s="77">
        <v>46122</v>
      </c>
      <c r="H223" s="76" t="s">
        <v>69</v>
      </c>
      <c r="I223" s="78">
        <v>4.1666666666666664E-2</v>
      </c>
      <c r="J223" s="78">
        <v>0.75</v>
      </c>
      <c r="K223" s="78">
        <v>0.79166666666666663</v>
      </c>
      <c r="L223" s="76">
        <v>60</v>
      </c>
    </row>
    <row r="224" spans="1:12" hidden="1" x14ac:dyDescent="0.3">
      <c r="A224" s="28" t="s">
        <v>46</v>
      </c>
      <c r="B224" s="28" t="s">
        <v>33</v>
      </c>
      <c r="C224" s="29" t="s">
        <v>56</v>
      </c>
      <c r="D224" s="30" t="s">
        <v>187</v>
      </c>
      <c r="E224" s="28" t="s">
        <v>42</v>
      </c>
      <c r="F224" s="68" t="s">
        <v>10</v>
      </c>
      <c r="G224" s="31">
        <v>46118</v>
      </c>
      <c r="H224" s="28" t="s">
        <v>47</v>
      </c>
      <c r="I224" s="67">
        <v>2.0833333333333332E-2</v>
      </c>
      <c r="J224" s="67">
        <v>0.64583333333333337</v>
      </c>
      <c r="K224" s="67">
        <v>0.66666666666666663</v>
      </c>
      <c r="L224" s="28">
        <v>30</v>
      </c>
    </row>
    <row r="225" spans="1:12" ht="24.6" hidden="1" x14ac:dyDescent="0.3">
      <c r="A225" s="28" t="s">
        <v>46</v>
      </c>
      <c r="B225" s="28" t="s">
        <v>33</v>
      </c>
      <c r="C225" s="29" t="s">
        <v>72</v>
      </c>
      <c r="D225" s="30" t="s">
        <v>405</v>
      </c>
      <c r="E225" s="28" t="s">
        <v>124</v>
      </c>
      <c r="F225" s="68" t="s">
        <v>10</v>
      </c>
      <c r="G225" s="31">
        <v>46118</v>
      </c>
      <c r="H225" s="28" t="s">
        <v>47</v>
      </c>
      <c r="I225" s="67">
        <v>0.20833333333333334</v>
      </c>
      <c r="J225" s="67">
        <v>0.5</v>
      </c>
      <c r="K225" s="67">
        <v>0.875</v>
      </c>
      <c r="L225" s="28">
        <v>300</v>
      </c>
    </row>
    <row r="226" spans="1:12" ht="24.6" hidden="1" x14ac:dyDescent="0.3">
      <c r="A226" s="28" t="s">
        <v>46</v>
      </c>
      <c r="B226" s="28" t="s">
        <v>33</v>
      </c>
      <c r="C226" s="29" t="s">
        <v>72</v>
      </c>
      <c r="D226" s="30" t="s">
        <v>406</v>
      </c>
      <c r="E226" s="28" t="s">
        <v>124</v>
      </c>
      <c r="F226" s="68" t="s">
        <v>10</v>
      </c>
      <c r="G226" s="31">
        <v>46118</v>
      </c>
      <c r="H226" s="28" t="s">
        <v>47</v>
      </c>
      <c r="I226" s="67">
        <v>0.16666666666666666</v>
      </c>
      <c r="J226" s="67">
        <v>0.5</v>
      </c>
      <c r="K226" s="67">
        <v>0.89583333333333337</v>
      </c>
      <c r="L226" s="28">
        <v>240</v>
      </c>
    </row>
    <row r="227" spans="1:12" ht="24.6" hidden="1" x14ac:dyDescent="0.3">
      <c r="A227" s="28" t="s">
        <v>46</v>
      </c>
      <c r="B227" s="28" t="s">
        <v>33</v>
      </c>
      <c r="C227" s="29" t="s">
        <v>72</v>
      </c>
      <c r="D227" s="30" t="s">
        <v>402</v>
      </c>
      <c r="E227" s="28" t="s">
        <v>124</v>
      </c>
      <c r="F227" s="68" t="s">
        <v>10</v>
      </c>
      <c r="G227" s="31">
        <v>46119</v>
      </c>
      <c r="H227" s="28" t="s">
        <v>47</v>
      </c>
      <c r="I227" s="67">
        <v>0.16666666666666666</v>
      </c>
      <c r="J227" s="67">
        <v>0.5</v>
      </c>
      <c r="K227" s="67">
        <v>0.89583333333333337</v>
      </c>
      <c r="L227" s="28">
        <v>240</v>
      </c>
    </row>
    <row r="228" spans="1:12" ht="24.6" hidden="1" x14ac:dyDescent="0.3">
      <c r="A228" s="28" t="s">
        <v>46</v>
      </c>
      <c r="B228" s="28" t="s">
        <v>33</v>
      </c>
      <c r="C228" s="29" t="s">
        <v>72</v>
      </c>
      <c r="D228" s="30" t="s">
        <v>403</v>
      </c>
      <c r="E228" s="28" t="s">
        <v>124</v>
      </c>
      <c r="F228" s="68" t="s">
        <v>10</v>
      </c>
      <c r="G228" s="31">
        <v>46119</v>
      </c>
      <c r="H228" s="28" t="s">
        <v>47</v>
      </c>
      <c r="I228" s="67">
        <v>0.125</v>
      </c>
      <c r="J228" s="67">
        <v>0.5</v>
      </c>
      <c r="K228" s="67">
        <v>0.89583333333333337</v>
      </c>
      <c r="L228" s="28">
        <v>180</v>
      </c>
    </row>
    <row r="229" spans="1:12" hidden="1" x14ac:dyDescent="0.3">
      <c r="A229" s="28" t="s">
        <v>46</v>
      </c>
      <c r="B229" s="28" t="s">
        <v>33</v>
      </c>
      <c r="C229" s="29" t="s">
        <v>56</v>
      </c>
      <c r="D229" s="30" t="s">
        <v>400</v>
      </c>
      <c r="E229" s="28" t="s">
        <v>124</v>
      </c>
      <c r="F229" s="68" t="s">
        <v>10</v>
      </c>
      <c r="G229" s="31">
        <v>46120</v>
      </c>
      <c r="H229" s="28" t="s">
        <v>47</v>
      </c>
      <c r="I229" s="67">
        <v>2.0833333333333332E-2</v>
      </c>
      <c r="J229" s="67">
        <v>0.66666666666666663</v>
      </c>
      <c r="K229" s="67">
        <v>0.6875</v>
      </c>
      <c r="L229" s="28">
        <v>30</v>
      </c>
    </row>
    <row r="230" spans="1:12" ht="24.6" hidden="1" x14ac:dyDescent="0.3">
      <c r="A230" s="28" t="s">
        <v>46</v>
      </c>
      <c r="B230" s="28" t="s">
        <v>33</v>
      </c>
      <c r="C230" s="29" t="s">
        <v>72</v>
      </c>
      <c r="D230" s="30" t="s">
        <v>404</v>
      </c>
      <c r="E230" s="28" t="s">
        <v>124</v>
      </c>
      <c r="F230" s="68" t="s">
        <v>10</v>
      </c>
      <c r="G230" s="31">
        <v>46120</v>
      </c>
      <c r="H230" s="28" t="s">
        <v>47</v>
      </c>
      <c r="I230" s="67">
        <v>0.125</v>
      </c>
      <c r="J230" s="67">
        <v>0.5</v>
      </c>
      <c r="K230" s="67">
        <v>0.89583333333333337</v>
      </c>
      <c r="L230" s="28">
        <v>180</v>
      </c>
    </row>
    <row r="231" spans="1:12" ht="24.6" hidden="1" x14ac:dyDescent="0.3">
      <c r="A231" s="28" t="s">
        <v>46</v>
      </c>
      <c r="B231" s="28" t="s">
        <v>33</v>
      </c>
      <c r="C231" s="29" t="s">
        <v>72</v>
      </c>
      <c r="D231" s="30" t="s">
        <v>398</v>
      </c>
      <c r="E231" s="28" t="s">
        <v>124</v>
      </c>
      <c r="F231" s="68" t="s">
        <v>10</v>
      </c>
      <c r="G231" s="31">
        <v>46121</v>
      </c>
      <c r="H231" s="28" t="s">
        <v>47</v>
      </c>
      <c r="I231" s="67">
        <v>0.33333333333333331</v>
      </c>
      <c r="J231" s="67">
        <v>0.5</v>
      </c>
      <c r="K231" s="67">
        <v>0.89583333333333337</v>
      </c>
      <c r="L231" s="28">
        <v>480</v>
      </c>
    </row>
    <row r="232" spans="1:12" ht="24.6" hidden="1" x14ac:dyDescent="0.3">
      <c r="A232" s="28" t="s">
        <v>46</v>
      </c>
      <c r="B232" s="28" t="s">
        <v>33</v>
      </c>
      <c r="C232" s="29" t="s">
        <v>57</v>
      </c>
      <c r="D232" s="30" t="s">
        <v>399</v>
      </c>
      <c r="E232" s="28" t="s">
        <v>42</v>
      </c>
      <c r="F232" s="69" t="s">
        <v>45</v>
      </c>
      <c r="G232" s="31">
        <v>46122</v>
      </c>
      <c r="H232" s="28" t="s">
        <v>47</v>
      </c>
      <c r="I232" s="67">
        <v>0.125</v>
      </c>
      <c r="J232" s="67">
        <v>0.5</v>
      </c>
      <c r="K232" s="67">
        <v>0.875</v>
      </c>
      <c r="L232" s="28">
        <v>180</v>
      </c>
    </row>
    <row r="233" spans="1:12" hidden="1" x14ac:dyDescent="0.3">
      <c r="A233" s="28" t="s">
        <v>46</v>
      </c>
      <c r="B233" s="28" t="s">
        <v>33</v>
      </c>
      <c r="C233" s="29" t="s">
        <v>56</v>
      </c>
      <c r="D233" s="30" t="s">
        <v>407</v>
      </c>
      <c r="E233" s="28" t="s">
        <v>124</v>
      </c>
      <c r="F233" s="68" t="s">
        <v>10</v>
      </c>
      <c r="G233" s="31">
        <v>46122</v>
      </c>
      <c r="H233" s="28" t="s">
        <v>47</v>
      </c>
      <c r="I233" s="67">
        <v>4.1666666666666664E-2</v>
      </c>
      <c r="J233" s="67">
        <v>0.5</v>
      </c>
      <c r="K233" s="67">
        <v>0.875</v>
      </c>
      <c r="L233" s="28">
        <v>60</v>
      </c>
    </row>
    <row r="234" spans="1:12" hidden="1" x14ac:dyDescent="0.3">
      <c r="A234" s="28" t="s">
        <v>46</v>
      </c>
      <c r="B234" s="28" t="s">
        <v>33</v>
      </c>
      <c r="C234" s="29" t="s">
        <v>57</v>
      </c>
      <c r="D234" s="30" t="s">
        <v>408</v>
      </c>
      <c r="E234" s="28" t="s">
        <v>124</v>
      </c>
      <c r="F234" s="69" t="s">
        <v>45</v>
      </c>
      <c r="G234" s="31">
        <v>46122</v>
      </c>
      <c r="H234" s="28" t="s">
        <v>47</v>
      </c>
      <c r="I234" s="67">
        <v>0.16666666666666666</v>
      </c>
      <c r="J234" s="67">
        <v>0.5</v>
      </c>
      <c r="K234" s="67">
        <v>0.875</v>
      </c>
      <c r="L234" s="28">
        <v>240</v>
      </c>
    </row>
    <row r="235" spans="1:12" hidden="1" x14ac:dyDescent="0.3">
      <c r="A235" s="28" t="s">
        <v>46</v>
      </c>
      <c r="B235" s="28" t="s">
        <v>33</v>
      </c>
      <c r="C235" s="29" t="s">
        <v>56</v>
      </c>
      <c r="D235" s="30" t="s">
        <v>389</v>
      </c>
      <c r="E235" s="28" t="s">
        <v>401</v>
      </c>
      <c r="F235" s="68" t="s">
        <v>10</v>
      </c>
      <c r="G235" s="31">
        <v>46122</v>
      </c>
      <c r="H235" s="28" t="s">
        <v>47</v>
      </c>
      <c r="I235" s="67">
        <v>4.1666666666666664E-2</v>
      </c>
      <c r="J235" s="67">
        <v>0.58333333333333337</v>
      </c>
      <c r="K235" s="67">
        <v>0.66666666666666663</v>
      </c>
      <c r="L235" s="28">
        <v>60</v>
      </c>
    </row>
    <row r="236" spans="1:12" ht="24.6" hidden="1" x14ac:dyDescent="0.3">
      <c r="A236" s="76" t="s">
        <v>60</v>
      </c>
      <c r="B236" s="76" t="s">
        <v>33</v>
      </c>
      <c r="C236" s="76" t="s">
        <v>64</v>
      </c>
      <c r="D236" s="80" t="s">
        <v>415</v>
      </c>
      <c r="E236" s="76" t="s">
        <v>42</v>
      </c>
      <c r="F236" s="68" t="s">
        <v>10</v>
      </c>
      <c r="G236" s="77">
        <v>46125</v>
      </c>
      <c r="H236" s="76" t="s">
        <v>69</v>
      </c>
      <c r="I236" s="78">
        <v>0.33333333333333331</v>
      </c>
      <c r="J236" s="78">
        <v>0.5</v>
      </c>
      <c r="K236" s="78">
        <v>0.83333333333333337</v>
      </c>
      <c r="L236" s="76">
        <v>480</v>
      </c>
    </row>
    <row r="237" spans="1:12" hidden="1" x14ac:dyDescent="0.3">
      <c r="A237" s="76" t="s">
        <v>60</v>
      </c>
      <c r="B237" s="76" t="s">
        <v>33</v>
      </c>
      <c r="C237" s="76" t="s">
        <v>65</v>
      </c>
      <c r="D237" s="80" t="s">
        <v>179</v>
      </c>
      <c r="E237" s="76" t="s">
        <v>42</v>
      </c>
      <c r="F237" s="68" t="s">
        <v>10</v>
      </c>
      <c r="G237" s="77">
        <v>46125</v>
      </c>
      <c r="H237" s="76" t="s">
        <v>69</v>
      </c>
      <c r="I237" s="78">
        <v>2.0833333333333332E-2</v>
      </c>
      <c r="J237" s="78">
        <v>0.625</v>
      </c>
      <c r="K237" s="78">
        <v>0.64583333333333337</v>
      </c>
      <c r="L237" s="76">
        <v>30</v>
      </c>
    </row>
    <row r="238" spans="1:12" ht="24.6" hidden="1" x14ac:dyDescent="0.3">
      <c r="A238" s="76" t="s">
        <v>60</v>
      </c>
      <c r="B238" s="76" t="s">
        <v>33</v>
      </c>
      <c r="C238" s="76" t="s">
        <v>64</v>
      </c>
      <c r="D238" s="80" t="s">
        <v>416</v>
      </c>
      <c r="E238" s="76" t="s">
        <v>42</v>
      </c>
      <c r="F238" s="68" t="s">
        <v>10</v>
      </c>
      <c r="G238" s="77">
        <v>46126</v>
      </c>
      <c r="H238" s="76" t="s">
        <v>69</v>
      </c>
      <c r="I238" s="78">
        <v>0.33333333333333331</v>
      </c>
      <c r="J238" s="78">
        <v>0.5</v>
      </c>
      <c r="K238" s="78">
        <v>0.83333333333333337</v>
      </c>
      <c r="L238" s="76">
        <v>480</v>
      </c>
    </row>
    <row r="239" spans="1:12" ht="24.6" hidden="1" x14ac:dyDescent="0.3">
      <c r="A239" s="76" t="s">
        <v>60</v>
      </c>
      <c r="B239" s="76" t="s">
        <v>33</v>
      </c>
      <c r="C239" s="76" t="s">
        <v>64</v>
      </c>
      <c r="D239" s="80" t="s">
        <v>417</v>
      </c>
      <c r="E239" s="76" t="s">
        <v>42</v>
      </c>
      <c r="F239" s="68" t="s">
        <v>10</v>
      </c>
      <c r="G239" s="77">
        <v>46127</v>
      </c>
      <c r="H239" s="76" t="s">
        <v>69</v>
      </c>
      <c r="I239" s="78">
        <v>0.16666666666666666</v>
      </c>
      <c r="J239" s="78">
        <v>0.77083333333333337</v>
      </c>
      <c r="K239" s="78">
        <v>0.9375</v>
      </c>
      <c r="L239" s="76">
        <v>240</v>
      </c>
    </row>
    <row r="240" spans="1:12" hidden="1" x14ac:dyDescent="0.3">
      <c r="A240" s="76" t="s">
        <v>60</v>
      </c>
      <c r="B240" s="76" t="s">
        <v>33</v>
      </c>
      <c r="C240" s="76" t="s">
        <v>65</v>
      </c>
      <c r="D240" s="80" t="s">
        <v>419</v>
      </c>
      <c r="E240" s="76" t="s">
        <v>42</v>
      </c>
      <c r="F240" s="68" t="s">
        <v>10</v>
      </c>
      <c r="G240" s="77">
        <v>46127</v>
      </c>
      <c r="H240" s="76" t="s">
        <v>69</v>
      </c>
      <c r="I240" s="78">
        <v>0.20833333333333334</v>
      </c>
      <c r="J240" s="78">
        <v>0.5625</v>
      </c>
      <c r="K240" s="78">
        <v>0.77083333333333337</v>
      </c>
      <c r="L240" s="76">
        <v>300</v>
      </c>
    </row>
    <row r="241" spans="1:12" ht="24.6" hidden="1" x14ac:dyDescent="0.3">
      <c r="A241" s="76" t="s">
        <v>60</v>
      </c>
      <c r="B241" s="76" t="s">
        <v>33</v>
      </c>
      <c r="C241" s="76" t="s">
        <v>64</v>
      </c>
      <c r="D241" s="80" t="s">
        <v>418</v>
      </c>
      <c r="E241" s="76" t="s">
        <v>42</v>
      </c>
      <c r="F241" s="68" t="s">
        <v>10</v>
      </c>
      <c r="G241" s="77">
        <v>46128</v>
      </c>
      <c r="H241" s="76" t="s">
        <v>69</v>
      </c>
      <c r="I241" s="78">
        <v>0.25</v>
      </c>
      <c r="J241" s="78">
        <v>0.52083333333333337</v>
      </c>
      <c r="K241" s="78">
        <v>0.875</v>
      </c>
      <c r="L241" s="76">
        <v>360</v>
      </c>
    </row>
    <row r="242" spans="1:12" hidden="1" x14ac:dyDescent="0.3">
      <c r="A242" s="76" t="s">
        <v>60</v>
      </c>
      <c r="B242" s="76" t="s">
        <v>33</v>
      </c>
      <c r="C242" s="76" t="s">
        <v>65</v>
      </c>
      <c r="D242" s="80" t="s">
        <v>419</v>
      </c>
      <c r="E242" s="76" t="s">
        <v>42</v>
      </c>
      <c r="F242" s="68" t="s">
        <v>10</v>
      </c>
      <c r="G242" s="77">
        <v>46128</v>
      </c>
      <c r="H242" s="76" t="s">
        <v>69</v>
      </c>
      <c r="I242" s="78">
        <v>8.3333333333333329E-2</v>
      </c>
      <c r="J242" s="78">
        <v>0.58333333333333337</v>
      </c>
      <c r="K242" s="78">
        <v>0.66666666666666663</v>
      </c>
      <c r="L242" s="76">
        <v>120</v>
      </c>
    </row>
    <row r="243" spans="1:12" hidden="1" x14ac:dyDescent="0.3">
      <c r="A243" s="92"/>
      <c r="B243" s="92"/>
      <c r="C243" s="92"/>
      <c r="D243" s="93"/>
      <c r="E243" s="92"/>
      <c r="F243" s="92"/>
      <c r="G243" s="94"/>
      <c r="H243" s="92"/>
      <c r="I243" s="95"/>
      <c r="J243" s="95"/>
      <c r="K243" s="95"/>
      <c r="L243" s="92"/>
    </row>
    <row r="244" spans="1:12" hidden="1" x14ac:dyDescent="0.3">
      <c r="A244" s="92"/>
      <c r="B244" s="92"/>
      <c r="C244" s="92"/>
      <c r="D244" s="93"/>
      <c r="E244" s="92"/>
      <c r="F244" s="92"/>
      <c r="G244" s="94"/>
      <c r="H244" s="92"/>
      <c r="I244" s="95"/>
      <c r="J244" s="95"/>
      <c r="K244" s="95"/>
      <c r="L244" s="92"/>
    </row>
    <row r="245" spans="1:12" hidden="1" x14ac:dyDescent="0.3">
      <c r="A245" s="92"/>
      <c r="B245" s="92"/>
      <c r="C245" s="92"/>
      <c r="D245" s="93"/>
      <c r="E245" s="92"/>
      <c r="F245" s="92"/>
      <c r="G245" s="94"/>
      <c r="H245" s="92"/>
      <c r="I245" s="95"/>
      <c r="J245" s="95"/>
      <c r="K245" s="95"/>
      <c r="L245" s="92"/>
    </row>
    <row r="246" spans="1:12" hidden="1" x14ac:dyDescent="0.3">
      <c r="A246" s="92"/>
      <c r="B246" s="92"/>
      <c r="C246" s="92"/>
      <c r="D246" s="93"/>
      <c r="E246" s="92"/>
      <c r="F246" s="92"/>
      <c r="G246" s="94"/>
      <c r="H246" s="92"/>
      <c r="I246" s="95"/>
      <c r="J246" s="95"/>
      <c r="K246" s="95"/>
      <c r="L246" s="92"/>
    </row>
    <row r="247" spans="1:12" ht="24.6" hidden="1" x14ac:dyDescent="0.3">
      <c r="A247" s="28" t="s">
        <v>46</v>
      </c>
      <c r="B247" s="28" t="s">
        <v>33</v>
      </c>
      <c r="C247" s="29" t="s">
        <v>72</v>
      </c>
      <c r="D247" s="30" t="s">
        <v>398</v>
      </c>
      <c r="E247" s="28" t="s">
        <v>124</v>
      </c>
      <c r="F247" s="68" t="s">
        <v>10</v>
      </c>
      <c r="G247" s="31">
        <v>46125</v>
      </c>
      <c r="H247" s="28" t="s">
        <v>47</v>
      </c>
      <c r="I247" s="67">
        <v>0.33333333333333331</v>
      </c>
      <c r="J247" s="67">
        <v>0.5</v>
      </c>
      <c r="K247" s="67">
        <v>0.89583333333333337</v>
      </c>
      <c r="L247" s="28">
        <v>480</v>
      </c>
    </row>
    <row r="248" spans="1:12" hidden="1" x14ac:dyDescent="0.3">
      <c r="A248" s="28" t="s">
        <v>46</v>
      </c>
      <c r="B248" s="28" t="s">
        <v>33</v>
      </c>
      <c r="C248" s="29" t="s">
        <v>56</v>
      </c>
      <c r="D248" s="30" t="s">
        <v>179</v>
      </c>
      <c r="E248" s="28" t="s">
        <v>401</v>
      </c>
      <c r="F248" s="68" t="s">
        <v>10</v>
      </c>
      <c r="G248" s="31">
        <v>46125</v>
      </c>
      <c r="H248" s="28" t="s">
        <v>47</v>
      </c>
      <c r="I248" s="67">
        <v>2.0833333333333332E-2</v>
      </c>
      <c r="J248" s="67">
        <v>0.64583333333333337</v>
      </c>
      <c r="K248" s="67">
        <v>0.66666666666666663</v>
      </c>
      <c r="L248" s="28">
        <v>30</v>
      </c>
    </row>
    <row r="249" spans="1:12" hidden="1" x14ac:dyDescent="0.3">
      <c r="A249" s="28" t="s">
        <v>46</v>
      </c>
      <c r="B249" s="28" t="s">
        <v>33</v>
      </c>
      <c r="C249" s="29" t="s">
        <v>72</v>
      </c>
      <c r="D249" s="30" t="s">
        <v>424</v>
      </c>
      <c r="E249" s="28" t="s">
        <v>42</v>
      </c>
      <c r="F249" s="69" t="s">
        <v>45</v>
      </c>
      <c r="G249" s="31">
        <v>46126</v>
      </c>
      <c r="H249" s="28" t="s">
        <v>47</v>
      </c>
      <c r="I249" s="67">
        <v>0.16666666666666666</v>
      </c>
      <c r="J249" s="67">
        <v>0.5</v>
      </c>
      <c r="K249" s="67">
        <v>0.875</v>
      </c>
      <c r="L249" s="28">
        <v>240</v>
      </c>
    </row>
    <row r="250" spans="1:12" hidden="1" x14ac:dyDescent="0.3">
      <c r="A250" s="28" t="s">
        <v>46</v>
      </c>
      <c r="B250" s="28" t="s">
        <v>33</v>
      </c>
      <c r="C250" s="29" t="s">
        <v>57</v>
      </c>
      <c r="D250" s="30" t="s">
        <v>428</v>
      </c>
      <c r="E250" s="28" t="s">
        <v>124</v>
      </c>
      <c r="F250" s="69" t="s">
        <v>45</v>
      </c>
      <c r="G250" s="31">
        <v>46126</v>
      </c>
      <c r="H250" s="28" t="s">
        <v>47</v>
      </c>
      <c r="I250" s="67">
        <v>0.20833333333333334</v>
      </c>
      <c r="J250" s="67">
        <v>0.5</v>
      </c>
      <c r="K250" s="67">
        <v>0.875</v>
      </c>
      <c r="L250" s="28">
        <v>300</v>
      </c>
    </row>
    <row r="251" spans="1:12" hidden="1" x14ac:dyDescent="0.3">
      <c r="A251" s="28" t="s">
        <v>46</v>
      </c>
      <c r="B251" s="28" t="s">
        <v>33</v>
      </c>
      <c r="C251" s="29" t="s">
        <v>56</v>
      </c>
      <c r="D251" s="30" t="s">
        <v>419</v>
      </c>
      <c r="E251" s="28" t="s">
        <v>124</v>
      </c>
      <c r="F251" s="68" t="s">
        <v>10</v>
      </c>
      <c r="G251" s="31">
        <v>46127</v>
      </c>
      <c r="H251" s="28" t="s">
        <v>47</v>
      </c>
      <c r="I251" s="67">
        <v>0.20833333333333334</v>
      </c>
      <c r="J251" s="67">
        <v>0.5625</v>
      </c>
      <c r="K251" s="67">
        <v>0.77083333333333337</v>
      </c>
      <c r="L251" s="28">
        <v>300</v>
      </c>
    </row>
    <row r="252" spans="1:12" hidden="1" x14ac:dyDescent="0.3">
      <c r="A252" s="28" t="s">
        <v>46</v>
      </c>
      <c r="B252" s="28" t="s">
        <v>33</v>
      </c>
      <c r="C252" s="29" t="s">
        <v>56</v>
      </c>
      <c r="D252" s="30" t="s">
        <v>419</v>
      </c>
      <c r="E252" s="28" t="s">
        <v>124</v>
      </c>
      <c r="F252" s="68" t="s">
        <v>10</v>
      </c>
      <c r="G252" s="31">
        <v>46128</v>
      </c>
      <c r="H252" s="28" t="s">
        <v>47</v>
      </c>
      <c r="I252" s="67">
        <v>0.125</v>
      </c>
      <c r="J252" s="67">
        <v>0.5625</v>
      </c>
      <c r="K252" s="67">
        <v>0.77083333333333337</v>
      </c>
      <c r="L252" s="28">
        <v>180</v>
      </c>
    </row>
    <row r="253" spans="1:12" hidden="1" x14ac:dyDescent="0.3">
      <c r="A253" s="28" t="s">
        <v>46</v>
      </c>
      <c r="B253" s="28" t="s">
        <v>33</v>
      </c>
      <c r="C253" s="29" t="s">
        <v>57</v>
      </c>
      <c r="D253" s="30" t="s">
        <v>429</v>
      </c>
      <c r="E253" s="28" t="s">
        <v>42</v>
      </c>
      <c r="F253" s="69" t="s">
        <v>45</v>
      </c>
      <c r="G253" s="31">
        <v>46128</v>
      </c>
      <c r="H253" s="28" t="s">
        <v>47</v>
      </c>
      <c r="I253" s="67">
        <v>8.3333333333333329E-2</v>
      </c>
      <c r="J253" s="67">
        <v>0.58333333333333337</v>
      </c>
      <c r="K253" s="67">
        <v>0.66666666666666663</v>
      </c>
      <c r="L253" s="28">
        <v>120</v>
      </c>
    </row>
    <row r="254" spans="1:12" ht="36.6" hidden="1" x14ac:dyDescent="0.3">
      <c r="A254" s="28" t="s">
        <v>46</v>
      </c>
      <c r="B254" s="28" t="s">
        <v>33</v>
      </c>
      <c r="C254" s="29" t="s">
        <v>72</v>
      </c>
      <c r="D254" s="30" t="s">
        <v>427</v>
      </c>
      <c r="E254" s="28" t="s">
        <v>124</v>
      </c>
      <c r="F254" s="69" t="s">
        <v>45</v>
      </c>
      <c r="G254" s="31">
        <v>46128</v>
      </c>
      <c r="H254" s="28" t="s">
        <v>47</v>
      </c>
      <c r="I254" s="67">
        <v>0.25</v>
      </c>
      <c r="J254" s="67">
        <v>0.5</v>
      </c>
      <c r="K254" s="67">
        <v>0.89583333333333337</v>
      </c>
      <c r="L254" s="28">
        <v>360</v>
      </c>
    </row>
    <row r="255" spans="1:12" ht="24.6" hidden="1" x14ac:dyDescent="0.3">
      <c r="A255" s="28" t="s">
        <v>46</v>
      </c>
      <c r="B255" s="28" t="s">
        <v>33</v>
      </c>
      <c r="C255" s="29" t="s">
        <v>72</v>
      </c>
      <c r="D255" s="30" t="s">
        <v>425</v>
      </c>
      <c r="E255" s="28" t="s">
        <v>124</v>
      </c>
      <c r="F255" s="69" t="s">
        <v>45</v>
      </c>
      <c r="G255" s="31">
        <v>46129</v>
      </c>
      <c r="H255" s="28" t="s">
        <v>47</v>
      </c>
      <c r="I255" s="67">
        <v>0.125</v>
      </c>
      <c r="J255" s="67">
        <v>0.58333333333333337</v>
      </c>
      <c r="K255" s="67">
        <v>0.70833333333333337</v>
      </c>
      <c r="L255" s="28">
        <v>180</v>
      </c>
    </row>
    <row r="256" spans="1:12" ht="24.6" hidden="1" x14ac:dyDescent="0.3">
      <c r="A256" s="28" t="s">
        <v>46</v>
      </c>
      <c r="B256" s="28" t="s">
        <v>33</v>
      </c>
      <c r="C256" s="29" t="s">
        <v>72</v>
      </c>
      <c r="D256" s="30" t="s">
        <v>426</v>
      </c>
      <c r="E256" s="28" t="s">
        <v>124</v>
      </c>
      <c r="F256" s="69" t="s">
        <v>45</v>
      </c>
      <c r="G256" s="31">
        <v>46129</v>
      </c>
      <c r="H256" s="28" t="s">
        <v>47</v>
      </c>
      <c r="I256" s="67">
        <v>8.3333333333333329E-2</v>
      </c>
      <c r="J256" s="67">
        <v>0.70833333333333337</v>
      </c>
      <c r="K256" s="67">
        <v>0.89583333333333337</v>
      </c>
      <c r="L256" s="28">
        <v>120</v>
      </c>
    </row>
    <row r="257" spans="1:12" ht="24.6" hidden="1" x14ac:dyDescent="0.3">
      <c r="A257" s="76" t="s">
        <v>60</v>
      </c>
      <c r="B257" s="76" t="s">
        <v>33</v>
      </c>
      <c r="C257" s="76" t="s">
        <v>64</v>
      </c>
      <c r="D257" s="80" t="s">
        <v>433</v>
      </c>
      <c r="E257" s="76" t="s">
        <v>42</v>
      </c>
      <c r="F257" s="69" t="s">
        <v>45</v>
      </c>
      <c r="G257" s="77">
        <v>46132</v>
      </c>
      <c r="H257" s="76" t="s">
        <v>69</v>
      </c>
      <c r="I257" s="78">
        <v>0.33333333333333331</v>
      </c>
      <c r="J257" s="78">
        <v>0.5</v>
      </c>
      <c r="K257" s="78">
        <v>0.83333333333333337</v>
      </c>
      <c r="L257" s="76">
        <v>480</v>
      </c>
    </row>
    <row r="258" spans="1:12" hidden="1" x14ac:dyDescent="0.3">
      <c r="A258" s="76" t="s">
        <v>60</v>
      </c>
      <c r="B258" s="76" t="s">
        <v>33</v>
      </c>
      <c r="C258" s="76" t="s">
        <v>65</v>
      </c>
      <c r="D258" s="80" t="s">
        <v>179</v>
      </c>
      <c r="E258" s="76" t="s">
        <v>42</v>
      </c>
      <c r="F258" s="68" t="s">
        <v>10</v>
      </c>
      <c r="G258" s="77">
        <v>46132</v>
      </c>
      <c r="H258" s="76" t="s">
        <v>69</v>
      </c>
      <c r="I258" s="78">
        <v>2.0833333333333332E-2</v>
      </c>
      <c r="J258" s="78">
        <v>0.625</v>
      </c>
      <c r="K258" s="78">
        <v>0.64583333333333337</v>
      </c>
      <c r="L258" s="76">
        <v>30</v>
      </c>
    </row>
    <row r="259" spans="1:12" ht="24.6" hidden="1" x14ac:dyDescent="0.3">
      <c r="A259" s="76" t="s">
        <v>60</v>
      </c>
      <c r="B259" s="76" t="s">
        <v>33</v>
      </c>
      <c r="C259" s="76" t="s">
        <v>64</v>
      </c>
      <c r="D259" s="80" t="s">
        <v>434</v>
      </c>
      <c r="E259" s="76" t="s">
        <v>42</v>
      </c>
      <c r="F259" s="68" t="s">
        <v>10</v>
      </c>
      <c r="G259" s="77">
        <v>46133</v>
      </c>
      <c r="H259" s="76" t="s">
        <v>69</v>
      </c>
      <c r="I259" s="78">
        <v>0.14583333333333334</v>
      </c>
      <c r="J259" s="78">
        <v>0.52083333333333337</v>
      </c>
      <c r="K259" s="78">
        <v>0.66666666666666663</v>
      </c>
      <c r="L259" s="76">
        <v>210</v>
      </c>
    </row>
    <row r="260" spans="1:12" ht="24.6" hidden="1" x14ac:dyDescent="0.3">
      <c r="A260" s="76" t="s">
        <v>60</v>
      </c>
      <c r="B260" s="76" t="s">
        <v>33</v>
      </c>
      <c r="C260" s="76" t="s">
        <v>64</v>
      </c>
      <c r="D260" s="80" t="s">
        <v>435</v>
      </c>
      <c r="E260" s="76" t="s">
        <v>42</v>
      </c>
      <c r="F260" s="69" t="s">
        <v>45</v>
      </c>
      <c r="G260" s="77">
        <v>46133</v>
      </c>
      <c r="H260" s="76" t="s">
        <v>69</v>
      </c>
      <c r="I260" s="78">
        <v>0.1875</v>
      </c>
      <c r="J260" s="78">
        <v>0.67708333333333337</v>
      </c>
      <c r="K260" s="78">
        <v>0.89583333333333337</v>
      </c>
      <c r="L260" s="76">
        <v>270</v>
      </c>
    </row>
    <row r="261" spans="1:12" ht="24.6" hidden="1" x14ac:dyDescent="0.3">
      <c r="A261" s="76" t="s">
        <v>60</v>
      </c>
      <c r="B261" s="76" t="s">
        <v>33</v>
      </c>
      <c r="C261" s="76" t="s">
        <v>64</v>
      </c>
      <c r="D261" s="80" t="s">
        <v>436</v>
      </c>
      <c r="E261" s="76" t="s">
        <v>42</v>
      </c>
      <c r="F261" s="68" t="s">
        <v>10</v>
      </c>
      <c r="G261" s="77">
        <v>46134</v>
      </c>
      <c r="H261" s="76" t="s">
        <v>69</v>
      </c>
      <c r="I261" s="78">
        <v>0.32291666666666669</v>
      </c>
      <c r="J261" s="78">
        <v>0.52083333333333337</v>
      </c>
      <c r="K261" s="78">
        <v>0.89583333333333337</v>
      </c>
      <c r="L261" s="76">
        <v>465</v>
      </c>
    </row>
    <row r="262" spans="1:12" ht="24.6" hidden="1" x14ac:dyDescent="0.3">
      <c r="A262" s="76" t="s">
        <v>60</v>
      </c>
      <c r="B262" s="76" t="s">
        <v>33</v>
      </c>
      <c r="C262" s="76" t="s">
        <v>64</v>
      </c>
      <c r="D262" s="80" t="s">
        <v>437</v>
      </c>
      <c r="E262" s="76" t="s">
        <v>42</v>
      </c>
      <c r="F262" s="68" t="s">
        <v>10</v>
      </c>
      <c r="G262" s="77">
        <v>46135</v>
      </c>
      <c r="H262" s="76" t="s">
        <v>69</v>
      </c>
      <c r="I262" s="78">
        <v>0.20833333333333334</v>
      </c>
      <c r="J262" s="78">
        <v>0.5</v>
      </c>
      <c r="K262" s="78">
        <v>0.75</v>
      </c>
      <c r="L262" s="76">
        <v>300</v>
      </c>
    </row>
    <row r="263" spans="1:12" ht="24.6" hidden="1" x14ac:dyDescent="0.3">
      <c r="A263" s="76" t="s">
        <v>60</v>
      </c>
      <c r="B263" s="76" t="s">
        <v>33</v>
      </c>
      <c r="C263" s="76" t="s">
        <v>64</v>
      </c>
      <c r="D263" s="80" t="s">
        <v>438</v>
      </c>
      <c r="E263" s="76" t="s">
        <v>42</v>
      </c>
      <c r="F263" s="69" t="s">
        <v>45</v>
      </c>
      <c r="G263" s="77">
        <v>46135</v>
      </c>
      <c r="H263" s="76" t="s">
        <v>69</v>
      </c>
      <c r="I263" s="78">
        <v>0.125</v>
      </c>
      <c r="J263" s="78">
        <v>0.75</v>
      </c>
      <c r="K263" s="78">
        <v>0.89583333333333337</v>
      </c>
      <c r="L263" s="76">
        <v>180</v>
      </c>
    </row>
    <row r="264" spans="1:12" ht="24.6" hidden="1" x14ac:dyDescent="0.3">
      <c r="A264" s="76" t="s">
        <v>60</v>
      </c>
      <c r="B264" s="76" t="s">
        <v>33</v>
      </c>
      <c r="C264" s="76" t="s">
        <v>64</v>
      </c>
      <c r="D264" s="80" t="s">
        <v>439</v>
      </c>
      <c r="E264" s="76" t="s">
        <v>42</v>
      </c>
      <c r="F264" s="68" t="s">
        <v>10</v>
      </c>
      <c r="G264" s="77">
        <v>46136</v>
      </c>
      <c r="H264" s="76" t="s">
        <v>69</v>
      </c>
      <c r="I264" s="78">
        <v>0.3125</v>
      </c>
      <c r="J264" s="78">
        <v>0.5</v>
      </c>
      <c r="K264" s="78">
        <v>0.83333333333333337</v>
      </c>
      <c r="L264" s="76">
        <v>450</v>
      </c>
    </row>
    <row r="265" spans="1:12" hidden="1" x14ac:dyDescent="0.3">
      <c r="A265" s="28" t="s">
        <v>46</v>
      </c>
      <c r="B265" s="28" t="s">
        <v>33</v>
      </c>
      <c r="C265" s="29" t="s">
        <v>56</v>
      </c>
      <c r="D265" s="30" t="s">
        <v>179</v>
      </c>
      <c r="E265" s="28" t="s">
        <v>401</v>
      </c>
      <c r="F265" s="68" t="s">
        <v>10</v>
      </c>
      <c r="G265" s="31">
        <v>46132</v>
      </c>
      <c r="H265" s="28" t="s">
        <v>47</v>
      </c>
      <c r="I265" s="67">
        <v>2.0833333333333332E-2</v>
      </c>
      <c r="J265" s="67">
        <v>0.64583333333333337</v>
      </c>
      <c r="K265" s="67">
        <v>0.66666666666666663</v>
      </c>
      <c r="L265" s="28">
        <v>30</v>
      </c>
    </row>
    <row r="266" spans="1:12" hidden="1" x14ac:dyDescent="0.3">
      <c r="A266" s="28" t="s">
        <v>46</v>
      </c>
      <c r="B266" s="28" t="s">
        <v>33</v>
      </c>
      <c r="C266" s="29" t="s">
        <v>71</v>
      </c>
      <c r="D266" s="30" t="s">
        <v>454</v>
      </c>
      <c r="E266" s="28" t="s">
        <v>124</v>
      </c>
      <c r="F266" s="69" t="s">
        <v>45</v>
      </c>
      <c r="G266" s="31">
        <v>46132</v>
      </c>
      <c r="H266" s="28" t="s">
        <v>47</v>
      </c>
      <c r="I266" s="67">
        <v>0.25</v>
      </c>
      <c r="J266" s="67">
        <v>0.5</v>
      </c>
      <c r="K266" s="67">
        <v>0.875</v>
      </c>
      <c r="L266" s="28">
        <v>360</v>
      </c>
    </row>
    <row r="267" spans="1:12" hidden="1" x14ac:dyDescent="0.3">
      <c r="A267" s="28" t="s">
        <v>46</v>
      </c>
      <c r="B267" s="28" t="s">
        <v>33</v>
      </c>
      <c r="C267" s="29" t="s">
        <v>71</v>
      </c>
      <c r="D267" s="30" t="s">
        <v>454</v>
      </c>
      <c r="E267" s="28" t="s">
        <v>124</v>
      </c>
      <c r="F267" s="69" t="s">
        <v>45</v>
      </c>
      <c r="G267" s="31">
        <v>46133</v>
      </c>
      <c r="H267" s="28" t="s">
        <v>47</v>
      </c>
      <c r="I267" s="67">
        <v>0.20833333333333334</v>
      </c>
      <c r="J267" s="67">
        <v>0.5</v>
      </c>
      <c r="K267" s="67">
        <v>0.875</v>
      </c>
      <c r="L267" s="28">
        <v>300</v>
      </c>
    </row>
    <row r="268" spans="1:12" hidden="1" x14ac:dyDescent="0.3">
      <c r="A268" s="28" t="s">
        <v>46</v>
      </c>
      <c r="B268" s="28" t="s">
        <v>33</v>
      </c>
      <c r="C268" s="29" t="s">
        <v>72</v>
      </c>
      <c r="D268" s="30" t="s">
        <v>449</v>
      </c>
      <c r="E268" s="28" t="s">
        <v>124</v>
      </c>
      <c r="F268" s="68" t="s">
        <v>10</v>
      </c>
      <c r="G268" s="31">
        <v>46134</v>
      </c>
      <c r="H268" s="28" t="s">
        <v>47</v>
      </c>
      <c r="I268" s="67">
        <v>0.25</v>
      </c>
      <c r="J268" s="67">
        <v>0.5</v>
      </c>
      <c r="K268" s="67">
        <v>0.875</v>
      </c>
      <c r="L268" s="28">
        <v>360</v>
      </c>
    </row>
    <row r="269" spans="1:12" ht="24.6" hidden="1" x14ac:dyDescent="0.3">
      <c r="A269" s="28" t="s">
        <v>46</v>
      </c>
      <c r="B269" s="28" t="s">
        <v>33</v>
      </c>
      <c r="C269" s="29" t="s">
        <v>70</v>
      </c>
      <c r="D269" s="30" t="s">
        <v>451</v>
      </c>
      <c r="E269" s="28" t="s">
        <v>42</v>
      </c>
      <c r="F269" s="68" t="s">
        <v>10</v>
      </c>
      <c r="G269" s="31">
        <v>46135</v>
      </c>
      <c r="H269" s="28" t="s">
        <v>47</v>
      </c>
      <c r="I269" s="67">
        <v>0.16666666666666666</v>
      </c>
      <c r="J269" s="67">
        <v>0.5</v>
      </c>
      <c r="K269" s="67">
        <v>0.89583333333333337</v>
      </c>
      <c r="L269" s="28">
        <v>240</v>
      </c>
    </row>
    <row r="270" spans="1:12" ht="24.6" hidden="1" x14ac:dyDescent="0.3">
      <c r="A270" s="28" t="s">
        <v>46</v>
      </c>
      <c r="B270" s="28" t="s">
        <v>33</v>
      </c>
      <c r="C270" s="29" t="s">
        <v>70</v>
      </c>
      <c r="D270" s="30" t="s">
        <v>452</v>
      </c>
      <c r="E270" s="28" t="s">
        <v>42</v>
      </c>
      <c r="F270" s="68" t="s">
        <v>10</v>
      </c>
      <c r="G270" s="31">
        <v>46135</v>
      </c>
      <c r="H270" s="28" t="s">
        <v>47</v>
      </c>
      <c r="I270" s="67">
        <v>0.16666666666666666</v>
      </c>
      <c r="J270" s="67">
        <v>0.5</v>
      </c>
      <c r="K270" s="67">
        <v>0.89583333333333337</v>
      </c>
      <c r="L270" s="28">
        <v>240</v>
      </c>
    </row>
    <row r="271" spans="1:12" hidden="1" x14ac:dyDescent="0.3">
      <c r="A271" s="28" t="s">
        <v>46</v>
      </c>
      <c r="B271" s="28" t="s">
        <v>33</v>
      </c>
      <c r="C271" s="29" t="s">
        <v>56</v>
      </c>
      <c r="D271" s="30" t="s">
        <v>446</v>
      </c>
      <c r="E271" s="28" t="s">
        <v>401</v>
      </c>
      <c r="F271" s="68" t="s">
        <v>10</v>
      </c>
      <c r="G271" s="31">
        <v>46136</v>
      </c>
      <c r="H271" s="28" t="s">
        <v>47</v>
      </c>
      <c r="I271" s="67">
        <v>2.0833333333333332E-2</v>
      </c>
      <c r="J271" s="67">
        <v>0.625</v>
      </c>
      <c r="K271" s="67">
        <v>0.64583333333333337</v>
      </c>
      <c r="L271" s="28">
        <v>30</v>
      </c>
    </row>
    <row r="272" spans="1:12" hidden="1" x14ac:dyDescent="0.3">
      <c r="A272" s="28" t="s">
        <v>46</v>
      </c>
      <c r="B272" s="28" t="s">
        <v>33</v>
      </c>
      <c r="C272" s="29" t="s">
        <v>50</v>
      </c>
      <c r="D272" s="30" t="s">
        <v>447</v>
      </c>
      <c r="E272" s="28" t="s">
        <v>124</v>
      </c>
      <c r="F272" s="69" t="s">
        <v>45</v>
      </c>
      <c r="G272" s="31">
        <v>46136</v>
      </c>
      <c r="H272" s="28" t="s">
        <v>47</v>
      </c>
      <c r="I272" s="67">
        <v>0.16666666666666666</v>
      </c>
      <c r="J272" s="67">
        <v>0.5</v>
      </c>
      <c r="K272" s="67">
        <v>0.89583333333333337</v>
      </c>
      <c r="L272" s="28">
        <v>240</v>
      </c>
    </row>
    <row r="273" spans="1:12" ht="24.6" hidden="1" x14ac:dyDescent="0.3">
      <c r="A273" s="28" t="s">
        <v>46</v>
      </c>
      <c r="B273" s="28" t="s">
        <v>33</v>
      </c>
      <c r="C273" s="29" t="s">
        <v>50</v>
      </c>
      <c r="D273" s="30" t="s">
        <v>453</v>
      </c>
      <c r="E273" s="28" t="s">
        <v>124</v>
      </c>
      <c r="F273" s="68" t="s">
        <v>10</v>
      </c>
      <c r="G273" s="31">
        <v>46136</v>
      </c>
      <c r="H273" s="28" t="s">
        <v>47</v>
      </c>
      <c r="I273" s="67">
        <v>0.16666666666666666</v>
      </c>
      <c r="J273" s="67">
        <v>0.5</v>
      </c>
      <c r="K273" s="67">
        <v>0.66666666666666663</v>
      </c>
      <c r="L273" s="28">
        <v>240</v>
      </c>
    </row>
    <row r="274" spans="1:12" hidden="1" x14ac:dyDescent="0.3">
      <c r="A274" s="28" t="s">
        <v>46</v>
      </c>
      <c r="B274" s="28" t="s">
        <v>33</v>
      </c>
      <c r="C274" s="29" t="s">
        <v>56</v>
      </c>
      <c r="D274" s="30" t="s">
        <v>457</v>
      </c>
      <c r="E274" s="28" t="s">
        <v>401</v>
      </c>
      <c r="F274" s="68" t="s">
        <v>10</v>
      </c>
      <c r="G274" s="31">
        <v>46139</v>
      </c>
      <c r="H274" s="28" t="s">
        <v>47</v>
      </c>
      <c r="I274" s="67">
        <v>2.0833333333333332E-2</v>
      </c>
      <c r="J274" s="67">
        <v>0.58333333333333337</v>
      </c>
      <c r="K274" s="67">
        <v>0.60416666666666663</v>
      </c>
      <c r="L274" s="28">
        <v>30</v>
      </c>
    </row>
    <row r="275" spans="1:12" hidden="1" x14ac:dyDescent="0.3">
      <c r="A275" s="28" t="s">
        <v>46</v>
      </c>
      <c r="B275" s="28" t="s">
        <v>33</v>
      </c>
      <c r="C275" s="29" t="s">
        <v>71</v>
      </c>
      <c r="D275" s="30" t="s">
        <v>454</v>
      </c>
      <c r="E275" s="28" t="s">
        <v>124</v>
      </c>
      <c r="F275" s="69" t="s">
        <v>45</v>
      </c>
      <c r="G275" s="31">
        <v>46139</v>
      </c>
      <c r="H275" s="28" t="s">
        <v>47</v>
      </c>
      <c r="I275" s="67">
        <v>0.16666666666666666</v>
      </c>
      <c r="J275" s="67">
        <v>0.5</v>
      </c>
      <c r="K275" s="67">
        <v>0.75</v>
      </c>
      <c r="L275" s="28">
        <v>240</v>
      </c>
    </row>
    <row r="276" spans="1:12" hidden="1" x14ac:dyDescent="0.3">
      <c r="A276" s="28" t="s">
        <v>46</v>
      </c>
      <c r="B276" s="28" t="s">
        <v>33</v>
      </c>
      <c r="C276" s="29" t="s">
        <v>56</v>
      </c>
      <c r="D276" s="30" t="s">
        <v>448</v>
      </c>
      <c r="E276" s="28" t="s">
        <v>42</v>
      </c>
      <c r="F276" s="68" t="s">
        <v>10</v>
      </c>
      <c r="G276" s="31">
        <v>46139</v>
      </c>
      <c r="H276" s="28" t="s">
        <v>47</v>
      </c>
      <c r="I276" s="67">
        <v>4.1666666666666664E-2</v>
      </c>
      <c r="J276" s="67">
        <v>0.5</v>
      </c>
      <c r="K276" s="67">
        <v>0.89583333333333337</v>
      </c>
      <c r="L276" s="28">
        <v>60</v>
      </c>
    </row>
    <row r="277" spans="1:12" hidden="1" x14ac:dyDescent="0.3">
      <c r="A277" s="28" t="s">
        <v>46</v>
      </c>
      <c r="B277" s="28" t="s">
        <v>33</v>
      </c>
      <c r="C277" s="29" t="s">
        <v>56</v>
      </c>
      <c r="D277" s="30" t="s">
        <v>457</v>
      </c>
      <c r="E277" s="28" t="s">
        <v>401</v>
      </c>
      <c r="F277" s="68" t="s">
        <v>10</v>
      </c>
      <c r="G277" s="31">
        <v>46140</v>
      </c>
      <c r="H277" s="28" t="s">
        <v>47</v>
      </c>
      <c r="I277" s="67">
        <v>2.0833333333333332E-2</v>
      </c>
      <c r="J277" s="67">
        <v>0.58333333333333337</v>
      </c>
      <c r="K277" s="67">
        <v>0.60416666666666663</v>
      </c>
      <c r="L277" s="28">
        <v>30</v>
      </c>
    </row>
    <row r="278" spans="1:12" hidden="1" x14ac:dyDescent="0.3">
      <c r="A278" s="28" t="s">
        <v>46</v>
      </c>
      <c r="B278" s="28" t="s">
        <v>33</v>
      </c>
      <c r="C278" s="29" t="s">
        <v>72</v>
      </c>
      <c r="D278" s="30" t="s">
        <v>449</v>
      </c>
      <c r="E278" s="28" t="s">
        <v>124</v>
      </c>
      <c r="F278" s="68" t="s">
        <v>10</v>
      </c>
      <c r="G278" s="31">
        <v>46140</v>
      </c>
      <c r="H278" s="28" t="s">
        <v>47</v>
      </c>
      <c r="I278" s="67">
        <v>0.25</v>
      </c>
      <c r="J278" s="67">
        <v>0.5</v>
      </c>
      <c r="K278" s="67">
        <v>0.83333333333333337</v>
      </c>
      <c r="L278" s="28">
        <v>360</v>
      </c>
    </row>
    <row r="279" spans="1:12" hidden="1" x14ac:dyDescent="0.3">
      <c r="A279" s="28" t="s">
        <v>46</v>
      </c>
      <c r="B279" s="28" t="s">
        <v>33</v>
      </c>
      <c r="C279" s="29" t="s">
        <v>56</v>
      </c>
      <c r="D279" s="30" t="s">
        <v>457</v>
      </c>
      <c r="E279" s="28" t="s">
        <v>401</v>
      </c>
      <c r="F279" s="68" t="s">
        <v>10</v>
      </c>
      <c r="G279" s="31">
        <v>46141</v>
      </c>
      <c r="H279" s="28" t="s">
        <v>47</v>
      </c>
      <c r="I279" s="67">
        <v>2.0833333333333332E-2</v>
      </c>
      <c r="J279" s="67">
        <v>0.58333333333333337</v>
      </c>
      <c r="K279" s="67">
        <v>0.60416666666666663</v>
      </c>
      <c r="L279" s="28">
        <v>30</v>
      </c>
    </row>
    <row r="280" spans="1:12" ht="24.6" hidden="1" x14ac:dyDescent="0.3">
      <c r="A280" s="28" t="s">
        <v>46</v>
      </c>
      <c r="B280" s="28" t="s">
        <v>33</v>
      </c>
      <c r="C280" s="29" t="s">
        <v>57</v>
      </c>
      <c r="D280" s="30" t="s">
        <v>456</v>
      </c>
      <c r="E280" s="28" t="s">
        <v>124</v>
      </c>
      <c r="F280" s="68" t="s">
        <v>10</v>
      </c>
      <c r="G280" s="31">
        <v>46141</v>
      </c>
      <c r="H280" s="28" t="s">
        <v>47</v>
      </c>
      <c r="I280" s="67">
        <v>8.3333333333333329E-2</v>
      </c>
      <c r="J280" s="67">
        <v>0.58333333333333337</v>
      </c>
      <c r="K280" s="67">
        <v>0.66666666666666663</v>
      </c>
      <c r="L280" s="28">
        <v>120</v>
      </c>
    </row>
    <row r="281" spans="1:12" hidden="1" x14ac:dyDescent="0.3">
      <c r="A281" s="28" t="s">
        <v>46</v>
      </c>
      <c r="B281" s="28" t="s">
        <v>33</v>
      </c>
      <c r="C281" s="29" t="s">
        <v>56</v>
      </c>
      <c r="D281" s="30" t="s">
        <v>457</v>
      </c>
      <c r="E281" s="28" t="s">
        <v>401</v>
      </c>
      <c r="F281" s="68" t="s">
        <v>10</v>
      </c>
      <c r="G281" s="31">
        <v>46142</v>
      </c>
      <c r="H281" s="28" t="s">
        <v>47</v>
      </c>
      <c r="I281" s="67">
        <v>2.0833333333333332E-2</v>
      </c>
      <c r="J281" s="67">
        <v>0.58333333333333337</v>
      </c>
      <c r="K281" s="67">
        <v>0.60416666666666663</v>
      </c>
      <c r="L281" s="28">
        <v>30</v>
      </c>
    </row>
    <row r="282" spans="1:12" hidden="1" x14ac:dyDescent="0.3">
      <c r="A282" s="28" t="s">
        <v>46</v>
      </c>
      <c r="B282" s="28" t="s">
        <v>33</v>
      </c>
      <c r="C282" s="29" t="s">
        <v>56</v>
      </c>
      <c r="D282" s="30" t="s">
        <v>459</v>
      </c>
      <c r="E282" s="28" t="s">
        <v>401</v>
      </c>
      <c r="F282" s="68" t="s">
        <v>10</v>
      </c>
      <c r="G282" s="31">
        <v>46142</v>
      </c>
      <c r="H282" s="28" t="s">
        <v>47</v>
      </c>
      <c r="I282" s="67">
        <v>0.25</v>
      </c>
      <c r="J282" s="67">
        <v>0.5</v>
      </c>
      <c r="K282" s="67">
        <v>0.89583333333333337</v>
      </c>
      <c r="L282" s="28">
        <v>360</v>
      </c>
    </row>
    <row r="283" spans="1:12" hidden="1" x14ac:dyDescent="0.3">
      <c r="A283" s="28" t="s">
        <v>46</v>
      </c>
      <c r="B283" s="28" t="s">
        <v>33</v>
      </c>
      <c r="C283" s="29" t="s">
        <v>72</v>
      </c>
      <c r="D283" s="30" t="s">
        <v>460</v>
      </c>
      <c r="E283" s="28" t="s">
        <v>124</v>
      </c>
      <c r="F283" s="68" t="s">
        <v>10</v>
      </c>
      <c r="G283" s="31">
        <v>46142</v>
      </c>
      <c r="H283" s="28" t="s">
        <v>47</v>
      </c>
      <c r="I283" s="67">
        <v>8.3333333333333329E-2</v>
      </c>
      <c r="J283" s="67">
        <v>0.70833333333333337</v>
      </c>
      <c r="K283" s="67">
        <v>0.89583333333333337</v>
      </c>
      <c r="L283" s="28">
        <v>120</v>
      </c>
    </row>
    <row r="284" spans="1:12" hidden="1" x14ac:dyDescent="0.3">
      <c r="A284" s="28" t="s">
        <v>46</v>
      </c>
      <c r="B284" s="28" t="s">
        <v>33</v>
      </c>
      <c r="C284" s="29" t="s">
        <v>72</v>
      </c>
      <c r="D284" s="30" t="s">
        <v>450</v>
      </c>
      <c r="E284" s="28" t="s">
        <v>124</v>
      </c>
      <c r="F284" s="68" t="s">
        <v>10</v>
      </c>
      <c r="G284" s="31">
        <v>46142</v>
      </c>
      <c r="H284" s="28" t="s">
        <v>47</v>
      </c>
      <c r="I284" s="67">
        <v>8.3333333333333329E-2</v>
      </c>
      <c r="J284" s="67">
        <v>0.70833333333333337</v>
      </c>
      <c r="K284" s="67">
        <v>0.89583333333333337</v>
      </c>
      <c r="L284" s="28">
        <v>120</v>
      </c>
    </row>
    <row r="285" spans="1:12" hidden="1" x14ac:dyDescent="0.3">
      <c r="A285" s="28" t="s">
        <v>46</v>
      </c>
      <c r="B285" s="28" t="s">
        <v>33</v>
      </c>
      <c r="C285" s="29" t="s">
        <v>72</v>
      </c>
      <c r="D285" s="30" t="s">
        <v>458</v>
      </c>
      <c r="E285" s="28" t="s">
        <v>124</v>
      </c>
      <c r="F285" s="69" t="s">
        <v>45</v>
      </c>
      <c r="G285" s="31">
        <v>46142</v>
      </c>
      <c r="H285" s="28" t="s">
        <v>47</v>
      </c>
      <c r="I285" s="67">
        <v>8.3333333333333329E-2</v>
      </c>
      <c r="J285" s="67">
        <v>0.70833333333333337</v>
      </c>
      <c r="K285" s="67">
        <v>0.89583333333333337</v>
      </c>
      <c r="L285" s="28">
        <v>120</v>
      </c>
    </row>
    <row r="286" spans="1:12" ht="24.6" hidden="1" x14ac:dyDescent="0.3">
      <c r="A286" s="28" t="s">
        <v>46</v>
      </c>
      <c r="B286" s="28" t="s">
        <v>33</v>
      </c>
      <c r="C286" s="29" t="s">
        <v>50</v>
      </c>
      <c r="D286" s="30" t="s">
        <v>455</v>
      </c>
      <c r="E286" s="28" t="s">
        <v>124</v>
      </c>
      <c r="F286" s="69" t="s">
        <v>45</v>
      </c>
      <c r="G286" s="31">
        <v>46142</v>
      </c>
      <c r="H286" s="28" t="s">
        <v>47</v>
      </c>
      <c r="I286" s="67">
        <v>0.125</v>
      </c>
      <c r="J286" s="67">
        <v>0.58333333333333337</v>
      </c>
      <c r="K286" s="67">
        <v>0.75</v>
      </c>
      <c r="L286" s="28">
        <v>180</v>
      </c>
    </row>
    <row r="287" spans="1:12" ht="24.6" hidden="1" x14ac:dyDescent="0.3">
      <c r="A287" s="76" t="s">
        <v>60</v>
      </c>
      <c r="B287" s="76" t="s">
        <v>33</v>
      </c>
      <c r="C287" s="76" t="s">
        <v>64</v>
      </c>
      <c r="D287" s="80" t="s">
        <v>466</v>
      </c>
      <c r="E287" s="76" t="s">
        <v>42</v>
      </c>
      <c r="F287" s="68" t="s">
        <v>10</v>
      </c>
      <c r="G287" s="77">
        <v>46139</v>
      </c>
      <c r="H287" s="76" t="s">
        <v>69</v>
      </c>
      <c r="I287" s="78">
        <v>0.125</v>
      </c>
      <c r="J287" s="78">
        <v>0.5</v>
      </c>
      <c r="K287" s="78">
        <v>0.625</v>
      </c>
      <c r="L287" s="76">
        <v>180</v>
      </c>
    </row>
    <row r="288" spans="1:12" ht="24.6" hidden="1" x14ac:dyDescent="0.3">
      <c r="A288" s="76" t="s">
        <v>60</v>
      </c>
      <c r="B288" s="76" t="s">
        <v>33</v>
      </c>
      <c r="C288" s="76" t="s">
        <v>64</v>
      </c>
      <c r="D288" s="80" t="s">
        <v>467</v>
      </c>
      <c r="E288" s="76" t="s">
        <v>42</v>
      </c>
      <c r="F288" s="68" t="s">
        <v>10</v>
      </c>
      <c r="G288" s="77">
        <v>46139</v>
      </c>
      <c r="H288" s="76" t="s">
        <v>69</v>
      </c>
      <c r="I288" s="78">
        <v>0.1875</v>
      </c>
      <c r="J288" s="78">
        <v>0.625</v>
      </c>
      <c r="K288" s="78">
        <v>0.85416666666666663</v>
      </c>
      <c r="L288" s="76">
        <v>270</v>
      </c>
    </row>
    <row r="289" spans="1:12" hidden="1" x14ac:dyDescent="0.3">
      <c r="A289" s="76" t="s">
        <v>60</v>
      </c>
      <c r="B289" s="76" t="s">
        <v>33</v>
      </c>
      <c r="C289" s="76" t="s">
        <v>65</v>
      </c>
      <c r="D289" s="80" t="s">
        <v>457</v>
      </c>
      <c r="E289" s="76" t="s">
        <v>401</v>
      </c>
      <c r="F289" s="68" t="s">
        <v>10</v>
      </c>
      <c r="G289" s="77">
        <v>46139</v>
      </c>
      <c r="H289" s="76" t="s">
        <v>69</v>
      </c>
      <c r="I289" s="78">
        <v>2.0833333333333332E-2</v>
      </c>
      <c r="J289" s="78">
        <v>0.58333333333333337</v>
      </c>
      <c r="K289" s="78">
        <v>0.60416666666666663</v>
      </c>
      <c r="L289" s="76">
        <v>30</v>
      </c>
    </row>
    <row r="290" spans="1:12" ht="24.6" hidden="1" x14ac:dyDescent="0.3">
      <c r="A290" s="76" t="s">
        <v>60</v>
      </c>
      <c r="B290" s="76" t="s">
        <v>33</v>
      </c>
      <c r="C290" s="76" t="s">
        <v>64</v>
      </c>
      <c r="D290" s="80" t="s">
        <v>469</v>
      </c>
      <c r="E290" s="76" t="s">
        <v>42</v>
      </c>
      <c r="F290" s="69" t="s">
        <v>45</v>
      </c>
      <c r="G290" s="77">
        <v>46140</v>
      </c>
      <c r="H290" s="76" t="s">
        <v>69</v>
      </c>
      <c r="I290" s="78">
        <v>0.22916666666666666</v>
      </c>
      <c r="J290" s="78">
        <v>0.52083333333333337</v>
      </c>
      <c r="K290" s="78">
        <v>0.75</v>
      </c>
      <c r="L290" s="76">
        <v>330</v>
      </c>
    </row>
    <row r="291" spans="1:12" ht="24.6" hidden="1" x14ac:dyDescent="0.3">
      <c r="A291" s="76" t="s">
        <v>60</v>
      </c>
      <c r="B291" s="76" t="s">
        <v>33</v>
      </c>
      <c r="C291" s="76" t="s">
        <v>64</v>
      </c>
      <c r="D291" s="80" t="s">
        <v>468</v>
      </c>
      <c r="E291" s="76"/>
      <c r="F291" s="68" t="s">
        <v>10</v>
      </c>
      <c r="G291" s="77">
        <v>46140</v>
      </c>
      <c r="H291" s="76" t="s">
        <v>69</v>
      </c>
      <c r="I291" s="78">
        <v>8.3333333333333329E-2</v>
      </c>
      <c r="J291" s="78">
        <v>0.77083333333333337</v>
      </c>
      <c r="K291" s="78">
        <v>0.875</v>
      </c>
      <c r="L291" s="76">
        <v>120</v>
      </c>
    </row>
    <row r="292" spans="1:12" hidden="1" x14ac:dyDescent="0.3">
      <c r="A292" s="76" t="s">
        <v>60</v>
      </c>
      <c r="B292" s="76" t="s">
        <v>33</v>
      </c>
      <c r="C292" s="76" t="s">
        <v>65</v>
      </c>
      <c r="D292" s="80" t="s">
        <v>457</v>
      </c>
      <c r="E292" s="76" t="s">
        <v>401</v>
      </c>
      <c r="F292" s="68" t="s">
        <v>10</v>
      </c>
      <c r="G292" s="77">
        <v>46140</v>
      </c>
      <c r="H292" s="76" t="s">
        <v>69</v>
      </c>
      <c r="I292" s="78">
        <v>2.0833333333333332E-2</v>
      </c>
      <c r="J292" s="78">
        <v>0.58333333333333337</v>
      </c>
      <c r="K292" s="78">
        <v>0.60416666666666663</v>
      </c>
      <c r="L292" s="76">
        <v>30</v>
      </c>
    </row>
    <row r="293" spans="1:12" ht="24.6" hidden="1" x14ac:dyDescent="0.3">
      <c r="A293" s="76" t="s">
        <v>60</v>
      </c>
      <c r="B293" s="76" t="s">
        <v>33</v>
      </c>
      <c r="C293" s="76" t="s">
        <v>64</v>
      </c>
      <c r="D293" s="80" t="s">
        <v>470</v>
      </c>
      <c r="E293" s="76" t="s">
        <v>42</v>
      </c>
      <c r="F293" s="68" t="s">
        <v>10</v>
      </c>
      <c r="G293" s="77">
        <v>46141</v>
      </c>
      <c r="H293" s="76" t="s">
        <v>69</v>
      </c>
      <c r="I293" s="78">
        <v>0.19791666666666666</v>
      </c>
      <c r="J293" s="78">
        <v>0.52083333333333337</v>
      </c>
      <c r="K293" s="78">
        <v>0.72916666666666663</v>
      </c>
      <c r="L293" s="76">
        <v>285</v>
      </c>
    </row>
    <row r="294" spans="1:12" ht="24.6" hidden="1" x14ac:dyDescent="0.3">
      <c r="A294" s="76" t="s">
        <v>60</v>
      </c>
      <c r="B294" s="76" t="s">
        <v>33</v>
      </c>
      <c r="C294" s="76" t="s">
        <v>64</v>
      </c>
      <c r="D294" s="80" t="s">
        <v>471</v>
      </c>
      <c r="E294" s="76" t="s">
        <v>42</v>
      </c>
      <c r="F294" s="69" t="s">
        <v>45</v>
      </c>
      <c r="G294" s="77">
        <v>46141</v>
      </c>
      <c r="H294" s="76" t="s">
        <v>69</v>
      </c>
      <c r="I294" s="78">
        <v>0.11458333333333333</v>
      </c>
      <c r="J294" s="78">
        <v>0.72916666666666663</v>
      </c>
      <c r="K294" s="78">
        <v>0.89583333333333337</v>
      </c>
      <c r="L294" s="76">
        <v>165</v>
      </c>
    </row>
    <row r="295" spans="1:12" hidden="1" x14ac:dyDescent="0.3">
      <c r="A295" s="76" t="s">
        <v>60</v>
      </c>
      <c r="B295" s="76" t="s">
        <v>33</v>
      </c>
      <c r="C295" s="76" t="s">
        <v>65</v>
      </c>
      <c r="D295" s="80" t="s">
        <v>457</v>
      </c>
      <c r="E295" s="76" t="s">
        <v>401</v>
      </c>
      <c r="F295" s="68" t="s">
        <v>10</v>
      </c>
      <c r="G295" s="77">
        <v>46141</v>
      </c>
      <c r="H295" s="76" t="s">
        <v>69</v>
      </c>
      <c r="I295" s="78">
        <v>2.0833333333333332E-2</v>
      </c>
      <c r="J295" s="78">
        <v>0.58333333333333337</v>
      </c>
      <c r="K295" s="78">
        <v>0.60416666666666663</v>
      </c>
      <c r="L295" s="76">
        <v>30</v>
      </c>
    </row>
    <row r="296" spans="1:12" ht="24.6" hidden="1" x14ac:dyDescent="0.3">
      <c r="A296" s="76" t="s">
        <v>60</v>
      </c>
      <c r="B296" s="76" t="s">
        <v>33</v>
      </c>
      <c r="C296" s="76" t="s">
        <v>64</v>
      </c>
      <c r="D296" s="80" t="s">
        <v>472</v>
      </c>
      <c r="E296" s="76" t="s">
        <v>42</v>
      </c>
      <c r="F296" s="69" t="s">
        <v>45</v>
      </c>
      <c r="G296" s="77">
        <v>46142</v>
      </c>
      <c r="H296" s="76" t="s">
        <v>69</v>
      </c>
      <c r="I296" s="78">
        <v>0.29166666666666669</v>
      </c>
      <c r="J296" s="78">
        <v>0.5</v>
      </c>
      <c r="K296" s="78">
        <v>0.83333333333333337</v>
      </c>
      <c r="L296" s="76">
        <v>420</v>
      </c>
    </row>
    <row r="297" spans="1:12" hidden="1" x14ac:dyDescent="0.3">
      <c r="A297" s="76" t="s">
        <v>60</v>
      </c>
      <c r="B297" s="76" t="s">
        <v>33</v>
      </c>
      <c r="C297" s="76" t="s">
        <v>65</v>
      </c>
      <c r="D297" s="80" t="s">
        <v>457</v>
      </c>
      <c r="E297" s="76" t="s">
        <v>401</v>
      </c>
      <c r="F297" s="68" t="s">
        <v>10</v>
      </c>
      <c r="G297" s="77">
        <v>46142</v>
      </c>
      <c r="H297" s="76" t="s">
        <v>69</v>
      </c>
      <c r="I297" s="78">
        <v>2.0833333333333332E-2</v>
      </c>
      <c r="J297" s="78">
        <v>0.58333333333333337</v>
      </c>
      <c r="K297" s="78">
        <v>0.60416666666666663</v>
      </c>
      <c r="L297" s="76">
        <v>30</v>
      </c>
    </row>
    <row r="298" spans="1:12" ht="24.6" hidden="1" x14ac:dyDescent="0.3">
      <c r="A298" s="76" t="s">
        <v>60</v>
      </c>
      <c r="B298" s="76" t="s">
        <v>33</v>
      </c>
      <c r="C298" s="76" t="s">
        <v>64</v>
      </c>
      <c r="D298" s="80" t="s">
        <v>478</v>
      </c>
      <c r="E298" s="76" t="s">
        <v>42</v>
      </c>
      <c r="F298" s="68" t="s">
        <v>10</v>
      </c>
      <c r="G298" s="77">
        <v>46146</v>
      </c>
      <c r="H298" s="76" t="s">
        <v>69</v>
      </c>
      <c r="I298" s="78">
        <v>0.16666666666666666</v>
      </c>
      <c r="J298" s="78">
        <v>0.5</v>
      </c>
      <c r="K298" s="78">
        <v>0.625</v>
      </c>
      <c r="L298" s="76">
        <v>240</v>
      </c>
    </row>
    <row r="299" spans="1:12" ht="24.6" hidden="1" x14ac:dyDescent="0.3">
      <c r="A299" s="76" t="s">
        <v>60</v>
      </c>
      <c r="B299" s="76" t="s">
        <v>33</v>
      </c>
      <c r="C299" s="76" t="s">
        <v>64</v>
      </c>
      <c r="D299" s="80" t="s">
        <v>479</v>
      </c>
      <c r="E299" s="76" t="s">
        <v>42</v>
      </c>
      <c r="F299" s="69" t="s">
        <v>45</v>
      </c>
      <c r="G299" s="77">
        <v>46146</v>
      </c>
      <c r="H299" s="76" t="s">
        <v>69</v>
      </c>
      <c r="I299" s="78">
        <v>0.14583333333333334</v>
      </c>
      <c r="J299" s="78">
        <v>0.625</v>
      </c>
      <c r="K299" s="78">
        <v>0.85416666666666663</v>
      </c>
      <c r="L299" s="76">
        <v>210</v>
      </c>
    </row>
    <row r="300" spans="1:12" hidden="1" x14ac:dyDescent="0.3">
      <c r="A300" s="76" t="s">
        <v>60</v>
      </c>
      <c r="B300" s="76" t="s">
        <v>33</v>
      </c>
      <c r="C300" s="76" t="s">
        <v>65</v>
      </c>
      <c r="D300" s="80" t="s">
        <v>457</v>
      </c>
      <c r="E300" s="76" t="s">
        <v>401</v>
      </c>
      <c r="F300" s="68" t="s">
        <v>10</v>
      </c>
      <c r="G300" s="77">
        <v>46146</v>
      </c>
      <c r="H300" s="76" t="s">
        <v>69</v>
      </c>
      <c r="I300" s="78">
        <v>2.0833333333333332E-2</v>
      </c>
      <c r="J300" s="78">
        <v>0.58333333333333337</v>
      </c>
      <c r="K300" s="78">
        <v>0.60416666666666663</v>
      </c>
      <c r="L300" s="76">
        <v>30</v>
      </c>
    </row>
    <row r="301" spans="1:12" ht="24.6" hidden="1" x14ac:dyDescent="0.3">
      <c r="A301" s="76" t="s">
        <v>60</v>
      </c>
      <c r="B301" s="76" t="s">
        <v>33</v>
      </c>
      <c r="C301" s="76" t="s">
        <v>64</v>
      </c>
      <c r="D301" s="80" t="s">
        <v>480</v>
      </c>
      <c r="E301" s="76" t="s">
        <v>42</v>
      </c>
      <c r="F301" s="68" t="s">
        <v>10</v>
      </c>
      <c r="G301" s="77">
        <v>46147</v>
      </c>
      <c r="H301" s="76" t="s">
        <v>69</v>
      </c>
      <c r="I301" s="78">
        <v>0.3125</v>
      </c>
      <c r="J301" s="78">
        <v>0.52083333333333337</v>
      </c>
      <c r="K301" s="78">
        <v>0.875</v>
      </c>
      <c r="L301" s="76">
        <v>450</v>
      </c>
    </row>
    <row r="302" spans="1:12" hidden="1" x14ac:dyDescent="0.3">
      <c r="A302" s="76" t="s">
        <v>60</v>
      </c>
      <c r="B302" s="76" t="s">
        <v>33</v>
      </c>
      <c r="C302" s="76" t="s">
        <v>65</v>
      </c>
      <c r="D302" s="80" t="s">
        <v>457</v>
      </c>
      <c r="E302" s="76" t="s">
        <v>401</v>
      </c>
      <c r="F302" s="68" t="s">
        <v>10</v>
      </c>
      <c r="G302" s="77">
        <v>46147</v>
      </c>
      <c r="H302" s="76" t="s">
        <v>69</v>
      </c>
      <c r="I302" s="78">
        <v>2.0833333333333332E-2</v>
      </c>
      <c r="J302" s="78">
        <v>0.58333333333333337</v>
      </c>
      <c r="K302" s="78">
        <v>0.60416666666666663</v>
      </c>
      <c r="L302" s="76">
        <v>30</v>
      </c>
    </row>
    <row r="303" spans="1:12" ht="24.6" hidden="1" x14ac:dyDescent="0.3">
      <c r="A303" s="76" t="s">
        <v>60</v>
      </c>
      <c r="B303" s="76" t="s">
        <v>33</v>
      </c>
      <c r="C303" s="76" t="s">
        <v>64</v>
      </c>
      <c r="D303" s="80" t="s">
        <v>481</v>
      </c>
      <c r="E303" s="76" t="s">
        <v>42</v>
      </c>
      <c r="F303" s="68" t="s">
        <v>10</v>
      </c>
      <c r="G303" s="77">
        <v>46148</v>
      </c>
      <c r="H303" s="76" t="s">
        <v>69</v>
      </c>
      <c r="I303" s="78">
        <v>0.16666666666666666</v>
      </c>
      <c r="J303" s="78">
        <v>0.5</v>
      </c>
      <c r="K303" s="78">
        <v>0.625</v>
      </c>
      <c r="L303" s="76">
        <v>240</v>
      </c>
    </row>
    <row r="304" spans="1:12" ht="24.6" hidden="1" x14ac:dyDescent="0.3">
      <c r="A304" s="76" t="s">
        <v>60</v>
      </c>
      <c r="B304" s="76" t="s">
        <v>33</v>
      </c>
      <c r="C304" s="76" t="s">
        <v>64</v>
      </c>
      <c r="D304" s="80" t="s">
        <v>485</v>
      </c>
      <c r="E304" s="76" t="s">
        <v>42</v>
      </c>
      <c r="F304" s="69" t="s">
        <v>45</v>
      </c>
      <c r="G304" s="77">
        <v>46148</v>
      </c>
      <c r="H304" s="76" t="s">
        <v>69</v>
      </c>
      <c r="I304" s="78">
        <v>0.14583333333333334</v>
      </c>
      <c r="J304" s="78">
        <v>0.625</v>
      </c>
      <c r="K304" s="78">
        <v>0.85416666666666663</v>
      </c>
      <c r="L304" s="76">
        <v>210</v>
      </c>
    </row>
    <row r="305" spans="1:12" hidden="1" x14ac:dyDescent="0.3">
      <c r="A305" s="76" t="s">
        <v>60</v>
      </c>
      <c r="B305" s="76" t="s">
        <v>33</v>
      </c>
      <c r="C305" s="76" t="s">
        <v>65</v>
      </c>
      <c r="D305" s="80" t="s">
        <v>457</v>
      </c>
      <c r="E305" s="76" t="s">
        <v>401</v>
      </c>
      <c r="F305" s="68" t="s">
        <v>10</v>
      </c>
      <c r="G305" s="77">
        <v>46148</v>
      </c>
      <c r="H305" s="76" t="s">
        <v>69</v>
      </c>
      <c r="I305" s="78">
        <v>2.0833333333333332E-2</v>
      </c>
      <c r="J305" s="78">
        <v>0.58333333333333337</v>
      </c>
      <c r="K305" s="78">
        <v>0.60416666666666663</v>
      </c>
      <c r="L305" s="76">
        <v>30</v>
      </c>
    </row>
    <row r="306" spans="1:12" ht="36.6" hidden="1" x14ac:dyDescent="0.3">
      <c r="A306" s="76" t="s">
        <v>60</v>
      </c>
      <c r="B306" s="76" t="s">
        <v>33</v>
      </c>
      <c r="C306" s="76" t="s">
        <v>64</v>
      </c>
      <c r="D306" s="80" t="s">
        <v>486</v>
      </c>
      <c r="E306" s="76" t="s">
        <v>42</v>
      </c>
      <c r="F306" s="68" t="s">
        <v>10</v>
      </c>
      <c r="G306" s="77">
        <v>46149</v>
      </c>
      <c r="H306" s="76" t="s">
        <v>69</v>
      </c>
      <c r="I306" s="78">
        <v>0.28125</v>
      </c>
      <c r="J306" s="78">
        <v>0.52083333333333337</v>
      </c>
      <c r="K306" s="78">
        <v>0.8125</v>
      </c>
      <c r="L306" s="76">
        <v>405</v>
      </c>
    </row>
    <row r="307" spans="1:12" hidden="1" x14ac:dyDescent="0.3">
      <c r="A307" s="76" t="s">
        <v>60</v>
      </c>
      <c r="B307" s="76" t="s">
        <v>33</v>
      </c>
      <c r="C307" s="76" t="s">
        <v>65</v>
      </c>
      <c r="D307" s="80" t="s">
        <v>457</v>
      </c>
      <c r="E307" s="76" t="s">
        <v>401</v>
      </c>
      <c r="F307" s="68" t="s">
        <v>10</v>
      </c>
      <c r="G307" s="77">
        <v>46149</v>
      </c>
      <c r="H307" s="76" t="s">
        <v>69</v>
      </c>
      <c r="I307" s="78">
        <v>2.0833333333333332E-2</v>
      </c>
      <c r="J307" s="78">
        <v>0.58333333333333337</v>
      </c>
      <c r="K307" s="78">
        <v>0.60416666666666663</v>
      </c>
      <c r="L307" s="76">
        <v>30</v>
      </c>
    </row>
    <row r="308" spans="1:12" ht="24.6" hidden="1" x14ac:dyDescent="0.3">
      <c r="A308" s="76" t="s">
        <v>60</v>
      </c>
      <c r="B308" s="76" t="s">
        <v>33</v>
      </c>
      <c r="C308" s="76" t="s">
        <v>64</v>
      </c>
      <c r="D308" s="80" t="s">
        <v>487</v>
      </c>
      <c r="E308" s="76" t="s">
        <v>42</v>
      </c>
      <c r="F308" s="69" t="s">
        <v>45</v>
      </c>
      <c r="G308" s="77">
        <v>46150</v>
      </c>
      <c r="H308" s="76" t="s">
        <v>69</v>
      </c>
      <c r="I308" s="78">
        <v>0.14583333333333334</v>
      </c>
      <c r="J308" s="78">
        <v>0.52083333333333337</v>
      </c>
      <c r="K308" s="78">
        <v>0.6875</v>
      </c>
      <c r="L308" s="76">
        <v>210</v>
      </c>
    </row>
    <row r="309" spans="1:12" hidden="1" x14ac:dyDescent="0.3">
      <c r="A309" s="76" t="s">
        <v>60</v>
      </c>
      <c r="B309" s="76" t="s">
        <v>33</v>
      </c>
      <c r="C309" s="76" t="s">
        <v>64</v>
      </c>
      <c r="D309" s="80" t="s">
        <v>482</v>
      </c>
      <c r="E309" s="76" t="s">
        <v>42</v>
      </c>
      <c r="F309" s="69" t="s">
        <v>45</v>
      </c>
      <c r="G309" s="77">
        <v>46150</v>
      </c>
      <c r="H309" s="76" t="s">
        <v>69</v>
      </c>
      <c r="I309" s="78">
        <v>0.16666666666666666</v>
      </c>
      <c r="J309" s="78">
        <v>0.70833333333333337</v>
      </c>
      <c r="K309" s="78">
        <v>0.875</v>
      </c>
      <c r="L309" s="76">
        <v>240</v>
      </c>
    </row>
    <row r="310" spans="1:12" hidden="1" x14ac:dyDescent="0.3">
      <c r="A310" s="76" t="s">
        <v>60</v>
      </c>
      <c r="B310" s="76" t="s">
        <v>33</v>
      </c>
      <c r="C310" s="76" t="s">
        <v>65</v>
      </c>
      <c r="D310" s="80" t="s">
        <v>457</v>
      </c>
      <c r="E310" s="76" t="s">
        <v>401</v>
      </c>
      <c r="F310" s="68" t="s">
        <v>10</v>
      </c>
      <c r="G310" s="77">
        <v>46150</v>
      </c>
      <c r="H310" s="76" t="s">
        <v>69</v>
      </c>
      <c r="I310" s="78">
        <v>2.0833333333333332E-2</v>
      </c>
      <c r="J310" s="78">
        <v>0.58333333333333337</v>
      </c>
      <c r="K310" s="78">
        <v>0.60416666666666663</v>
      </c>
      <c r="L310" s="76">
        <v>30</v>
      </c>
    </row>
    <row r="311" spans="1:12" hidden="1" x14ac:dyDescent="0.3">
      <c r="A311" s="28" t="s">
        <v>46</v>
      </c>
      <c r="B311" s="28" t="s">
        <v>33</v>
      </c>
      <c r="C311" s="29" t="s">
        <v>56</v>
      </c>
      <c r="D311" s="30" t="s">
        <v>457</v>
      </c>
      <c r="E311" s="28" t="s">
        <v>401</v>
      </c>
      <c r="F311" s="68" t="s">
        <v>10</v>
      </c>
      <c r="G311" s="31">
        <v>46146</v>
      </c>
      <c r="H311" s="28" t="s">
        <v>47</v>
      </c>
      <c r="I311" s="67">
        <v>2.0833333333333332E-2</v>
      </c>
      <c r="J311" s="67">
        <v>0.58333333333333337</v>
      </c>
      <c r="K311" s="67">
        <v>0.60416666666666663</v>
      </c>
      <c r="L311" s="28">
        <v>30</v>
      </c>
    </row>
    <row r="312" spans="1:12" ht="24.6" hidden="1" x14ac:dyDescent="0.3">
      <c r="A312" s="28" t="s">
        <v>46</v>
      </c>
      <c r="B312" s="28" t="s">
        <v>33</v>
      </c>
      <c r="C312" s="29" t="s">
        <v>57</v>
      </c>
      <c r="D312" s="30" t="s">
        <v>492</v>
      </c>
      <c r="E312" s="28" t="s">
        <v>124</v>
      </c>
      <c r="F312" s="68" t="s">
        <v>10</v>
      </c>
      <c r="G312" s="31">
        <v>46146</v>
      </c>
      <c r="H312" s="28" t="s">
        <v>47</v>
      </c>
      <c r="I312" s="67">
        <v>0.20833333333333334</v>
      </c>
      <c r="J312" s="67">
        <v>0.5</v>
      </c>
      <c r="K312" s="67">
        <v>0.875</v>
      </c>
      <c r="L312" s="28">
        <v>300</v>
      </c>
    </row>
    <row r="313" spans="1:12" ht="60.6" hidden="1" x14ac:dyDescent="0.3">
      <c r="A313" s="28" t="s">
        <v>46</v>
      </c>
      <c r="B313" s="28" t="s">
        <v>33</v>
      </c>
      <c r="C313" s="29" t="s">
        <v>72</v>
      </c>
      <c r="D313" s="30" t="s">
        <v>493</v>
      </c>
      <c r="E313" s="28" t="s">
        <v>124</v>
      </c>
      <c r="F313" s="68" t="s">
        <v>10</v>
      </c>
      <c r="G313" s="31">
        <v>46146</v>
      </c>
      <c r="H313" s="28" t="s">
        <v>47</v>
      </c>
      <c r="I313" s="67">
        <v>0.20833333333333334</v>
      </c>
      <c r="J313" s="67">
        <v>0.5</v>
      </c>
      <c r="K313" s="67">
        <v>0.89583333333333337</v>
      </c>
      <c r="L313" s="28">
        <v>300</v>
      </c>
    </row>
    <row r="314" spans="1:12" hidden="1" x14ac:dyDescent="0.3">
      <c r="A314" s="28" t="s">
        <v>46</v>
      </c>
      <c r="B314" s="28" t="s">
        <v>33</v>
      </c>
      <c r="C314" s="29" t="s">
        <v>56</v>
      </c>
      <c r="D314" s="30" t="s">
        <v>457</v>
      </c>
      <c r="E314" s="28" t="s">
        <v>401</v>
      </c>
      <c r="F314" s="68" t="s">
        <v>10</v>
      </c>
      <c r="G314" s="31">
        <v>46147</v>
      </c>
      <c r="H314" s="28" t="s">
        <v>47</v>
      </c>
      <c r="I314" s="67">
        <v>2.0833333333333332E-2</v>
      </c>
      <c r="J314" s="67">
        <v>0.58333333333333337</v>
      </c>
      <c r="K314" s="67">
        <v>0.60416666666666663</v>
      </c>
      <c r="L314" s="28">
        <v>30</v>
      </c>
    </row>
    <row r="315" spans="1:12" ht="48.6" hidden="1" x14ac:dyDescent="0.3">
      <c r="A315" s="28" t="s">
        <v>46</v>
      </c>
      <c r="B315" s="28" t="s">
        <v>33</v>
      </c>
      <c r="C315" s="29" t="s">
        <v>72</v>
      </c>
      <c r="D315" s="30" t="s">
        <v>494</v>
      </c>
      <c r="E315" s="28" t="s">
        <v>42</v>
      </c>
      <c r="F315" s="68" t="s">
        <v>10</v>
      </c>
      <c r="G315" s="31">
        <v>46147</v>
      </c>
      <c r="H315" s="28" t="s">
        <v>47</v>
      </c>
      <c r="I315" s="67">
        <v>0.33333333333333331</v>
      </c>
      <c r="J315" s="67">
        <v>0.5</v>
      </c>
      <c r="K315" s="67">
        <v>0.89583333333333337</v>
      </c>
      <c r="L315" s="28">
        <v>480</v>
      </c>
    </row>
    <row r="316" spans="1:12" hidden="1" x14ac:dyDescent="0.3">
      <c r="A316" s="28" t="s">
        <v>46</v>
      </c>
      <c r="B316" s="28" t="s">
        <v>33</v>
      </c>
      <c r="C316" s="29" t="s">
        <v>56</v>
      </c>
      <c r="D316" s="30" t="s">
        <v>457</v>
      </c>
      <c r="E316" s="28" t="s">
        <v>401</v>
      </c>
      <c r="F316" s="68" t="s">
        <v>10</v>
      </c>
      <c r="G316" s="31">
        <v>46148</v>
      </c>
      <c r="H316" s="28" t="s">
        <v>47</v>
      </c>
      <c r="I316" s="67">
        <v>2.0833333333333332E-2</v>
      </c>
      <c r="J316" s="67">
        <v>0.58333333333333337</v>
      </c>
      <c r="K316" s="67">
        <v>0.60416666666666663</v>
      </c>
      <c r="L316" s="28">
        <v>30</v>
      </c>
    </row>
    <row r="317" spans="1:12" ht="36.6" hidden="1" x14ac:dyDescent="0.3">
      <c r="A317" s="28" t="s">
        <v>46</v>
      </c>
      <c r="B317" s="28" t="s">
        <v>33</v>
      </c>
      <c r="C317" s="29" t="s">
        <v>72</v>
      </c>
      <c r="D317" s="30" t="s">
        <v>495</v>
      </c>
      <c r="E317" s="28" t="s">
        <v>42</v>
      </c>
      <c r="F317" s="68" t="s">
        <v>10</v>
      </c>
      <c r="G317" s="31">
        <v>46148</v>
      </c>
      <c r="H317" s="28" t="s">
        <v>47</v>
      </c>
      <c r="I317" s="67">
        <v>0.375</v>
      </c>
      <c r="J317" s="67">
        <v>0.5</v>
      </c>
      <c r="K317" s="67">
        <v>0.89583333333333337</v>
      </c>
      <c r="L317" s="28">
        <v>540</v>
      </c>
    </row>
    <row r="318" spans="1:12" ht="24.6" hidden="1" x14ac:dyDescent="0.3">
      <c r="A318" s="76" t="s">
        <v>60</v>
      </c>
      <c r="B318" s="76" t="s">
        <v>33</v>
      </c>
      <c r="C318" s="76" t="s">
        <v>64</v>
      </c>
      <c r="D318" s="80" t="s">
        <v>500</v>
      </c>
      <c r="E318" s="76" t="s">
        <v>42</v>
      </c>
      <c r="F318" s="68" t="s">
        <v>10</v>
      </c>
      <c r="G318" s="77">
        <v>46153</v>
      </c>
      <c r="H318" s="76" t="s">
        <v>69</v>
      </c>
      <c r="I318" s="78">
        <v>0.3125</v>
      </c>
      <c r="J318" s="78">
        <v>0.5</v>
      </c>
      <c r="K318" s="78">
        <v>0.83333333333333337</v>
      </c>
      <c r="L318" s="76">
        <v>450</v>
      </c>
    </row>
    <row r="319" spans="1:12" hidden="1" x14ac:dyDescent="0.3">
      <c r="A319" s="76" t="s">
        <v>60</v>
      </c>
      <c r="B319" s="76" t="s">
        <v>33</v>
      </c>
      <c r="C319" s="76" t="s">
        <v>65</v>
      </c>
      <c r="D319" s="80" t="s">
        <v>457</v>
      </c>
      <c r="E319" s="76" t="s">
        <v>401</v>
      </c>
      <c r="F319" s="68" t="s">
        <v>10</v>
      </c>
      <c r="G319" s="77">
        <v>46153</v>
      </c>
      <c r="H319" s="76" t="s">
        <v>69</v>
      </c>
      <c r="I319" s="78">
        <v>2.0833333333333332E-2</v>
      </c>
      <c r="J319" s="78">
        <v>0.58333333333333337</v>
      </c>
      <c r="K319" s="78">
        <v>0.60416666666666663</v>
      </c>
      <c r="L319" s="76">
        <v>30</v>
      </c>
    </row>
    <row r="320" spans="1:12" ht="24.6" hidden="1" x14ac:dyDescent="0.3">
      <c r="A320" s="76" t="s">
        <v>60</v>
      </c>
      <c r="B320" s="76" t="s">
        <v>33</v>
      </c>
      <c r="C320" s="76" t="s">
        <v>64</v>
      </c>
      <c r="D320" s="80" t="s">
        <v>501</v>
      </c>
      <c r="E320" s="76" t="s">
        <v>42</v>
      </c>
      <c r="F320" s="68" t="s">
        <v>10</v>
      </c>
      <c r="G320" s="77">
        <v>46155</v>
      </c>
      <c r="H320" s="76" t="s">
        <v>69</v>
      </c>
      <c r="I320" s="78">
        <v>0.16666666666666666</v>
      </c>
      <c r="J320" s="78">
        <v>0.5</v>
      </c>
      <c r="K320" s="78">
        <v>0.625</v>
      </c>
      <c r="L320" s="76">
        <v>240</v>
      </c>
    </row>
    <row r="321" spans="1:12" ht="24.6" hidden="1" x14ac:dyDescent="0.3">
      <c r="A321" s="76" t="s">
        <v>60</v>
      </c>
      <c r="B321" s="76" t="s">
        <v>33</v>
      </c>
      <c r="C321" s="76" t="s">
        <v>64</v>
      </c>
      <c r="D321" s="80" t="s">
        <v>502</v>
      </c>
      <c r="E321" s="76" t="s">
        <v>42</v>
      </c>
      <c r="F321" s="69" t="s">
        <v>45</v>
      </c>
      <c r="G321" s="77">
        <v>46155</v>
      </c>
      <c r="H321" s="76" t="s">
        <v>69</v>
      </c>
      <c r="I321" s="78">
        <v>0.14583333333333334</v>
      </c>
      <c r="J321" s="78">
        <v>0.625</v>
      </c>
      <c r="K321" s="78">
        <v>0.85416666666666663</v>
      </c>
      <c r="L321" s="76">
        <v>210</v>
      </c>
    </row>
    <row r="322" spans="1:12" hidden="1" x14ac:dyDescent="0.3">
      <c r="A322" s="76" t="s">
        <v>60</v>
      </c>
      <c r="B322" s="76" t="s">
        <v>33</v>
      </c>
      <c r="C322" s="76" t="s">
        <v>65</v>
      </c>
      <c r="D322" s="80" t="s">
        <v>457</v>
      </c>
      <c r="E322" s="76" t="s">
        <v>401</v>
      </c>
      <c r="F322" s="68" t="s">
        <v>10</v>
      </c>
      <c r="G322" s="77">
        <v>46155</v>
      </c>
      <c r="H322" s="76" t="s">
        <v>69</v>
      </c>
      <c r="I322" s="78">
        <v>2.0833333333333332E-2</v>
      </c>
      <c r="J322" s="78">
        <v>0.58333333333333337</v>
      </c>
      <c r="K322" s="78">
        <v>0.60416666666666663</v>
      </c>
      <c r="L322" s="76">
        <v>30</v>
      </c>
    </row>
    <row r="323" spans="1:12" ht="24.6" hidden="1" x14ac:dyDescent="0.3">
      <c r="A323" s="76" t="s">
        <v>60</v>
      </c>
      <c r="B323" s="76" t="s">
        <v>33</v>
      </c>
      <c r="C323" s="76" t="s">
        <v>64</v>
      </c>
      <c r="D323" s="80" t="s">
        <v>503</v>
      </c>
      <c r="E323" s="76" t="s">
        <v>42</v>
      </c>
      <c r="F323" s="68" t="s">
        <v>10</v>
      </c>
      <c r="G323" s="77">
        <v>46156</v>
      </c>
      <c r="H323" s="76" t="s">
        <v>69</v>
      </c>
      <c r="I323" s="78">
        <v>0.16666666666666666</v>
      </c>
      <c r="J323" s="78">
        <v>0.5</v>
      </c>
      <c r="K323" s="78">
        <v>6.666666666666667</v>
      </c>
      <c r="L323" s="76">
        <v>240</v>
      </c>
    </row>
    <row r="324" spans="1:12" ht="24.6" hidden="1" x14ac:dyDescent="0.3">
      <c r="A324" s="76" t="s">
        <v>60</v>
      </c>
      <c r="B324" s="76" t="s">
        <v>33</v>
      </c>
      <c r="C324" s="76" t="s">
        <v>64</v>
      </c>
      <c r="D324" s="80" t="s">
        <v>504</v>
      </c>
      <c r="E324" s="76"/>
      <c r="F324" s="69" t="s">
        <v>45</v>
      </c>
      <c r="G324" s="77">
        <v>46156</v>
      </c>
      <c r="H324" s="76" t="s">
        <v>69</v>
      </c>
      <c r="I324" s="78">
        <v>0.16666666666666666</v>
      </c>
      <c r="J324" s="78">
        <v>0.66666666666666663</v>
      </c>
      <c r="K324" s="78">
        <v>6.875</v>
      </c>
      <c r="L324" s="76">
        <v>240</v>
      </c>
    </row>
    <row r="325" spans="1:12" hidden="1" x14ac:dyDescent="0.3">
      <c r="A325" s="76" t="s">
        <v>60</v>
      </c>
      <c r="B325" s="76" t="s">
        <v>33</v>
      </c>
      <c r="C325" s="76" t="s">
        <v>65</v>
      </c>
      <c r="D325" s="80" t="s">
        <v>457</v>
      </c>
      <c r="E325" s="76" t="s">
        <v>401</v>
      </c>
      <c r="F325" s="68" t="s">
        <v>10</v>
      </c>
      <c r="G325" s="77">
        <v>46156</v>
      </c>
      <c r="H325" s="76" t="s">
        <v>69</v>
      </c>
      <c r="I325" s="78">
        <v>2.0833333333333332E-2</v>
      </c>
      <c r="J325" s="78">
        <v>0.58333333333333337</v>
      </c>
      <c r="K325" s="78">
        <v>0.60416666666666663</v>
      </c>
      <c r="L325" s="76">
        <v>30</v>
      </c>
    </row>
    <row r="326" spans="1:12" ht="24.6" hidden="1" x14ac:dyDescent="0.3">
      <c r="A326" s="76" t="s">
        <v>60</v>
      </c>
      <c r="B326" s="76" t="s">
        <v>33</v>
      </c>
      <c r="C326" s="76" t="s">
        <v>64</v>
      </c>
      <c r="D326" s="80" t="s">
        <v>505</v>
      </c>
      <c r="E326" s="76" t="s">
        <v>42</v>
      </c>
      <c r="F326" s="68" t="s">
        <v>10</v>
      </c>
      <c r="G326" s="77">
        <v>46157</v>
      </c>
      <c r="H326" s="76" t="s">
        <v>69</v>
      </c>
      <c r="I326" s="78">
        <v>0.32291666666666669</v>
      </c>
      <c r="J326" s="78">
        <v>0.52083333333333337</v>
      </c>
      <c r="K326" s="78">
        <v>0.8125</v>
      </c>
      <c r="L326" s="76">
        <v>465</v>
      </c>
    </row>
    <row r="327" spans="1:12" hidden="1" x14ac:dyDescent="0.3">
      <c r="A327" s="76" t="s">
        <v>60</v>
      </c>
      <c r="B327" s="76" t="s">
        <v>33</v>
      </c>
      <c r="C327" s="76" t="s">
        <v>65</v>
      </c>
      <c r="D327" s="80" t="s">
        <v>457</v>
      </c>
      <c r="E327" s="76" t="s">
        <v>401</v>
      </c>
      <c r="F327" s="68" t="s">
        <v>10</v>
      </c>
      <c r="G327" s="77">
        <v>46157</v>
      </c>
      <c r="H327" s="76" t="s">
        <v>69</v>
      </c>
      <c r="I327" s="78">
        <v>2.0833333333333332E-2</v>
      </c>
      <c r="J327" s="78">
        <v>0.58333333333333337</v>
      </c>
      <c r="K327" s="78">
        <v>0.60416666666666663</v>
      </c>
      <c r="L327" s="76">
        <v>30</v>
      </c>
    </row>
    <row r="328" spans="1:12" hidden="1" x14ac:dyDescent="0.3">
      <c r="A328" s="28" t="s">
        <v>46</v>
      </c>
      <c r="B328" s="28" t="s">
        <v>33</v>
      </c>
      <c r="C328" s="29" t="s">
        <v>56</v>
      </c>
      <c r="D328" s="30" t="s">
        <v>457</v>
      </c>
      <c r="E328" s="28" t="s">
        <v>401</v>
      </c>
      <c r="F328" s="68" t="s">
        <v>10</v>
      </c>
      <c r="G328" s="31">
        <v>46153</v>
      </c>
      <c r="H328" s="28" t="s">
        <v>47</v>
      </c>
      <c r="I328" s="67">
        <v>2.0833333333333332E-2</v>
      </c>
      <c r="J328" s="67">
        <v>0.58333333333333337</v>
      </c>
      <c r="K328" s="67">
        <v>0.60416666666666663</v>
      </c>
      <c r="L328" s="28">
        <v>30</v>
      </c>
    </row>
    <row r="329" spans="1:12" hidden="1" x14ac:dyDescent="0.3">
      <c r="A329" s="28" t="s">
        <v>46</v>
      </c>
      <c r="B329" s="28" t="s">
        <v>33</v>
      </c>
      <c r="C329" s="29" t="s">
        <v>57</v>
      </c>
      <c r="D329" s="30" t="s">
        <v>528</v>
      </c>
      <c r="E329" s="28" t="s">
        <v>124</v>
      </c>
      <c r="F329" s="68" t="s">
        <v>10</v>
      </c>
      <c r="G329" s="31">
        <v>46153</v>
      </c>
      <c r="H329" s="28" t="s">
        <v>47</v>
      </c>
      <c r="I329" s="67">
        <v>0.33333333333333331</v>
      </c>
      <c r="J329" s="67">
        <v>0.5</v>
      </c>
      <c r="K329" s="67">
        <v>0.875</v>
      </c>
      <c r="L329" s="28">
        <v>480</v>
      </c>
    </row>
    <row r="330" spans="1:12" hidden="1" x14ac:dyDescent="0.3">
      <c r="A330" s="28" t="s">
        <v>46</v>
      </c>
      <c r="B330" s="28" t="s">
        <v>33</v>
      </c>
      <c r="C330" s="29" t="s">
        <v>56</v>
      </c>
      <c r="D330" s="30" t="s">
        <v>457</v>
      </c>
      <c r="E330" s="28" t="s">
        <v>401</v>
      </c>
      <c r="F330" s="68" t="s">
        <v>10</v>
      </c>
      <c r="G330" s="31">
        <v>46155</v>
      </c>
      <c r="H330" s="28" t="s">
        <v>47</v>
      </c>
      <c r="I330" s="67">
        <v>2.0833333333333332E-2</v>
      </c>
      <c r="J330" s="67">
        <v>0.58333333333333337</v>
      </c>
      <c r="K330" s="67">
        <v>0.60416666666666663</v>
      </c>
      <c r="L330" s="28">
        <v>30</v>
      </c>
    </row>
    <row r="331" spans="1:12" ht="24.6" hidden="1" x14ac:dyDescent="0.3">
      <c r="A331" s="28" t="s">
        <v>46</v>
      </c>
      <c r="B331" s="28" t="s">
        <v>33</v>
      </c>
      <c r="C331" s="29" t="s">
        <v>72</v>
      </c>
      <c r="D331" s="30" t="s">
        <v>529</v>
      </c>
      <c r="E331" s="28" t="s">
        <v>124</v>
      </c>
      <c r="F331" s="68" t="s">
        <v>10</v>
      </c>
      <c r="G331" s="31">
        <v>46154</v>
      </c>
      <c r="H331" s="28" t="s">
        <v>47</v>
      </c>
      <c r="I331" s="67">
        <v>0.25</v>
      </c>
      <c r="J331" s="67">
        <v>0.5</v>
      </c>
      <c r="K331" s="67">
        <v>0.89583333333333337</v>
      </c>
      <c r="L331" s="28">
        <v>360</v>
      </c>
    </row>
    <row r="332" spans="1:12" hidden="1" x14ac:dyDescent="0.3">
      <c r="A332" s="28" t="s">
        <v>46</v>
      </c>
      <c r="B332" s="28" t="s">
        <v>33</v>
      </c>
      <c r="C332" s="29" t="s">
        <v>56</v>
      </c>
      <c r="D332" s="30" t="s">
        <v>457</v>
      </c>
      <c r="E332" s="28" t="s">
        <v>401</v>
      </c>
      <c r="F332" s="68" t="s">
        <v>10</v>
      </c>
      <c r="G332" s="31">
        <v>46155</v>
      </c>
      <c r="H332" s="28" t="s">
        <v>47</v>
      </c>
      <c r="I332" s="67">
        <v>2.0833333333333332E-2</v>
      </c>
      <c r="J332" s="67">
        <v>0.58333333333333337</v>
      </c>
      <c r="K332" s="67">
        <v>0.60416666666666663</v>
      </c>
      <c r="L332" s="28">
        <v>30</v>
      </c>
    </row>
    <row r="333" spans="1:12" ht="24.6" hidden="1" x14ac:dyDescent="0.3">
      <c r="A333" s="28" t="s">
        <v>46</v>
      </c>
      <c r="B333" s="28" t="s">
        <v>33</v>
      </c>
      <c r="C333" s="29" t="s">
        <v>72</v>
      </c>
      <c r="D333" s="30" t="s">
        <v>530</v>
      </c>
      <c r="E333" s="28" t="s">
        <v>124</v>
      </c>
      <c r="F333" s="68" t="s">
        <v>10</v>
      </c>
      <c r="G333" s="31">
        <v>46155</v>
      </c>
      <c r="H333" s="28" t="s">
        <v>47</v>
      </c>
      <c r="I333" s="67">
        <v>0.33333333333333331</v>
      </c>
      <c r="J333" s="67">
        <v>0.5</v>
      </c>
      <c r="K333" s="67">
        <v>0.89583333333333337</v>
      </c>
      <c r="L333" s="28">
        <v>480</v>
      </c>
    </row>
    <row r="334" spans="1:12" hidden="1" x14ac:dyDescent="0.3">
      <c r="A334" s="28" t="s">
        <v>46</v>
      </c>
      <c r="B334" s="28" t="s">
        <v>33</v>
      </c>
      <c r="C334" s="29" t="s">
        <v>56</v>
      </c>
      <c r="D334" s="30" t="s">
        <v>457</v>
      </c>
      <c r="E334" s="28" t="s">
        <v>401</v>
      </c>
      <c r="F334" s="68" t="s">
        <v>10</v>
      </c>
      <c r="G334" s="31">
        <v>46156</v>
      </c>
      <c r="H334" s="28" t="s">
        <v>47</v>
      </c>
      <c r="I334" s="67">
        <v>2.0833333333333332E-2</v>
      </c>
      <c r="J334" s="67">
        <v>0.58333333333333337</v>
      </c>
      <c r="K334" s="67">
        <v>0.60416666666666663</v>
      </c>
      <c r="L334" s="28">
        <v>30</v>
      </c>
    </row>
    <row r="335" spans="1:12" ht="24.6" hidden="1" x14ac:dyDescent="0.3">
      <c r="A335" s="28" t="s">
        <v>46</v>
      </c>
      <c r="B335" s="28" t="s">
        <v>33</v>
      </c>
      <c r="C335" s="29" t="s">
        <v>72</v>
      </c>
      <c r="D335" s="30" t="s">
        <v>530</v>
      </c>
      <c r="E335" s="28" t="s">
        <v>124</v>
      </c>
      <c r="F335" s="69" t="s">
        <v>45</v>
      </c>
      <c r="G335" s="31">
        <v>46156</v>
      </c>
      <c r="H335" s="28" t="s">
        <v>47</v>
      </c>
      <c r="I335" s="67">
        <v>0.33333333333333331</v>
      </c>
      <c r="J335" s="67">
        <v>0.5</v>
      </c>
      <c r="K335" s="67">
        <v>0.89583333333333337</v>
      </c>
      <c r="L335" s="28">
        <v>480</v>
      </c>
    </row>
    <row r="336" spans="1:12" hidden="1" x14ac:dyDescent="0.3">
      <c r="A336" s="28" t="s">
        <v>46</v>
      </c>
      <c r="B336" s="28" t="s">
        <v>33</v>
      </c>
      <c r="C336" s="29" t="s">
        <v>56</v>
      </c>
      <c r="D336" s="30" t="s">
        <v>457</v>
      </c>
      <c r="E336" s="28" t="s">
        <v>401</v>
      </c>
      <c r="F336" s="68" t="s">
        <v>10</v>
      </c>
      <c r="G336" s="31">
        <v>46157</v>
      </c>
      <c r="H336" s="28" t="s">
        <v>47</v>
      </c>
      <c r="I336" s="67">
        <v>2.0833333333333332E-2</v>
      </c>
      <c r="J336" s="67">
        <v>0.58333333333333337</v>
      </c>
      <c r="K336" s="67">
        <v>0.60416666666666663</v>
      </c>
      <c r="L336" s="28">
        <v>30</v>
      </c>
    </row>
    <row r="337" spans="1:12" ht="24.6" hidden="1" x14ac:dyDescent="0.3">
      <c r="A337" s="28" t="s">
        <v>46</v>
      </c>
      <c r="B337" s="28" t="s">
        <v>33</v>
      </c>
      <c r="C337" s="29" t="s">
        <v>72</v>
      </c>
      <c r="D337" s="30" t="s">
        <v>530</v>
      </c>
      <c r="E337" s="28" t="s">
        <v>124</v>
      </c>
      <c r="F337" s="68" t="s">
        <v>10</v>
      </c>
      <c r="G337" s="31">
        <v>46157</v>
      </c>
      <c r="H337" s="28" t="s">
        <v>47</v>
      </c>
      <c r="I337" s="67">
        <v>0.33333333333333331</v>
      </c>
      <c r="J337" s="67">
        <v>0.5</v>
      </c>
      <c r="K337" s="67">
        <v>0.89583333333333337</v>
      </c>
      <c r="L337" s="28">
        <v>480</v>
      </c>
    </row>
    <row r="338" spans="1:12" ht="24.6" hidden="1" x14ac:dyDescent="0.3">
      <c r="A338" s="76" t="s">
        <v>60</v>
      </c>
      <c r="B338" s="76" t="s">
        <v>33</v>
      </c>
      <c r="C338" s="76" t="s">
        <v>64</v>
      </c>
      <c r="D338" s="80" t="s">
        <v>512</v>
      </c>
      <c r="E338" s="76" t="s">
        <v>42</v>
      </c>
      <c r="F338" s="68" t="s">
        <v>10</v>
      </c>
      <c r="G338" s="77">
        <v>46160</v>
      </c>
      <c r="H338" s="76" t="s">
        <v>69</v>
      </c>
      <c r="I338" s="78">
        <v>0.3125</v>
      </c>
      <c r="J338" s="78">
        <v>0.5</v>
      </c>
      <c r="K338" s="78">
        <v>0.83333333333333337</v>
      </c>
      <c r="L338" s="76">
        <v>450</v>
      </c>
    </row>
    <row r="339" spans="1:12" hidden="1" x14ac:dyDescent="0.3">
      <c r="A339" s="76" t="s">
        <v>60</v>
      </c>
      <c r="B339" s="76" t="s">
        <v>33</v>
      </c>
      <c r="C339" s="76" t="s">
        <v>65</v>
      </c>
      <c r="D339" s="80" t="s">
        <v>457</v>
      </c>
      <c r="E339" s="76" t="s">
        <v>401</v>
      </c>
      <c r="F339" s="68" t="s">
        <v>10</v>
      </c>
      <c r="G339" s="77">
        <v>46160</v>
      </c>
      <c r="H339" s="76" t="s">
        <v>69</v>
      </c>
      <c r="I339" s="78">
        <v>2.0833333333333332E-2</v>
      </c>
      <c r="J339" s="78">
        <v>0.58333333333333337</v>
      </c>
      <c r="K339" s="78">
        <v>0.60416666666666663</v>
      </c>
      <c r="L339" s="76">
        <v>30</v>
      </c>
    </row>
    <row r="340" spans="1:12" ht="24.6" hidden="1" x14ac:dyDescent="0.3">
      <c r="A340" s="76" t="s">
        <v>60</v>
      </c>
      <c r="B340" s="76" t="s">
        <v>33</v>
      </c>
      <c r="C340" s="76" t="s">
        <v>64</v>
      </c>
      <c r="D340" s="80" t="s">
        <v>513</v>
      </c>
      <c r="E340" s="76" t="s">
        <v>42</v>
      </c>
      <c r="F340" s="69" t="s">
        <v>45</v>
      </c>
      <c r="G340" s="77">
        <v>46161</v>
      </c>
      <c r="H340" s="76" t="s">
        <v>69</v>
      </c>
      <c r="I340" s="78">
        <v>0.33333333333333331</v>
      </c>
      <c r="J340" s="78">
        <v>0.5</v>
      </c>
      <c r="K340" s="78">
        <v>0.875</v>
      </c>
      <c r="L340" s="76">
        <v>480</v>
      </c>
    </row>
    <row r="341" spans="1:12" hidden="1" x14ac:dyDescent="0.3">
      <c r="A341" s="76" t="s">
        <v>60</v>
      </c>
      <c r="B341" s="76" t="s">
        <v>33</v>
      </c>
      <c r="C341" s="76" t="s">
        <v>65</v>
      </c>
      <c r="D341" s="80" t="s">
        <v>457</v>
      </c>
      <c r="E341" s="76" t="s">
        <v>401</v>
      </c>
      <c r="F341" s="68" t="s">
        <v>10</v>
      </c>
      <c r="G341" s="77">
        <v>46161</v>
      </c>
      <c r="H341" s="76" t="s">
        <v>69</v>
      </c>
      <c r="I341" s="78">
        <v>2.0833333333333332E-2</v>
      </c>
      <c r="J341" s="78">
        <v>0.58333333333333337</v>
      </c>
      <c r="K341" s="78">
        <v>0.60416666666666663</v>
      </c>
      <c r="L341" s="76">
        <v>30</v>
      </c>
    </row>
    <row r="342" spans="1:12" ht="24.6" hidden="1" x14ac:dyDescent="0.3">
      <c r="A342" s="76" t="s">
        <v>60</v>
      </c>
      <c r="B342" s="76" t="s">
        <v>33</v>
      </c>
      <c r="C342" s="76" t="s">
        <v>64</v>
      </c>
      <c r="D342" s="80" t="s">
        <v>514</v>
      </c>
      <c r="E342" s="76" t="s">
        <v>42</v>
      </c>
      <c r="F342" s="68" t="s">
        <v>10</v>
      </c>
      <c r="G342" s="77">
        <v>46162</v>
      </c>
      <c r="H342" s="76" t="s">
        <v>69</v>
      </c>
      <c r="I342" s="78">
        <v>0.29166666666666669</v>
      </c>
      <c r="J342" s="78">
        <v>0.5</v>
      </c>
      <c r="K342" s="78">
        <v>6.833333333333333</v>
      </c>
      <c r="L342" s="76">
        <v>420</v>
      </c>
    </row>
    <row r="343" spans="1:12" hidden="1" x14ac:dyDescent="0.3">
      <c r="A343" s="76" t="s">
        <v>60</v>
      </c>
      <c r="B343" s="76" t="s">
        <v>33</v>
      </c>
      <c r="C343" s="76" t="s">
        <v>65</v>
      </c>
      <c r="D343" s="80" t="s">
        <v>457</v>
      </c>
      <c r="E343" s="76" t="s">
        <v>401</v>
      </c>
      <c r="F343" s="68" t="s">
        <v>10</v>
      </c>
      <c r="G343" s="77">
        <v>46162</v>
      </c>
      <c r="H343" s="76" t="s">
        <v>69</v>
      </c>
      <c r="I343" s="78">
        <v>2.0833333333333332E-2</v>
      </c>
      <c r="J343" s="78">
        <v>0.58333333333333337</v>
      </c>
      <c r="K343" s="78">
        <v>0.60416666666666663</v>
      </c>
      <c r="L343" s="76">
        <v>30</v>
      </c>
    </row>
    <row r="344" spans="1:12" ht="24.6" hidden="1" x14ac:dyDescent="0.3">
      <c r="A344" s="76" t="s">
        <v>60</v>
      </c>
      <c r="B344" s="76" t="s">
        <v>33</v>
      </c>
      <c r="C344" s="76" t="s">
        <v>64</v>
      </c>
      <c r="D344" s="80" t="s">
        <v>515</v>
      </c>
      <c r="E344" s="76" t="s">
        <v>42</v>
      </c>
      <c r="F344" s="69" t="s">
        <v>45</v>
      </c>
      <c r="G344" s="77">
        <v>46163</v>
      </c>
      <c r="H344" s="76" t="s">
        <v>69</v>
      </c>
      <c r="I344" s="78">
        <v>0.32291666666666669</v>
      </c>
      <c r="J344" s="78">
        <v>0.52083333333333337</v>
      </c>
      <c r="K344" s="78">
        <v>0.8125</v>
      </c>
      <c r="L344" s="76">
        <v>465</v>
      </c>
    </row>
    <row r="345" spans="1:12" hidden="1" x14ac:dyDescent="0.3">
      <c r="A345" s="76" t="s">
        <v>60</v>
      </c>
      <c r="B345" s="76" t="s">
        <v>33</v>
      </c>
      <c r="C345" s="76" t="s">
        <v>65</v>
      </c>
      <c r="D345" s="80" t="s">
        <v>457</v>
      </c>
      <c r="E345" s="76" t="s">
        <v>401</v>
      </c>
      <c r="F345" s="68" t="s">
        <v>10</v>
      </c>
      <c r="G345" s="77">
        <v>46163</v>
      </c>
      <c r="H345" s="76" t="s">
        <v>69</v>
      </c>
      <c r="I345" s="78">
        <v>2.0833333333333332E-2</v>
      </c>
      <c r="J345" s="78">
        <v>0.58333333333333337</v>
      </c>
      <c r="K345" s="78">
        <v>0.60416666666666663</v>
      </c>
      <c r="L345" s="76">
        <v>30</v>
      </c>
    </row>
    <row r="346" spans="1:12" ht="24.6" hidden="1" x14ac:dyDescent="0.3">
      <c r="A346" s="76" t="s">
        <v>60</v>
      </c>
      <c r="B346" s="76" t="s">
        <v>33</v>
      </c>
      <c r="C346" s="76" t="s">
        <v>64</v>
      </c>
      <c r="D346" s="80" t="s">
        <v>516</v>
      </c>
      <c r="E346" s="76" t="s">
        <v>42</v>
      </c>
      <c r="F346" s="68" t="s">
        <v>10</v>
      </c>
      <c r="G346" s="77">
        <v>46164</v>
      </c>
      <c r="H346" s="76" t="s">
        <v>69</v>
      </c>
      <c r="I346" s="78">
        <v>0.29166666666666669</v>
      </c>
      <c r="J346" s="78">
        <v>0.52083333333333337</v>
      </c>
      <c r="K346" s="78">
        <v>0.8125</v>
      </c>
      <c r="L346" s="76">
        <v>420</v>
      </c>
    </row>
    <row r="347" spans="1:12" hidden="1" x14ac:dyDescent="0.3">
      <c r="A347" s="76" t="s">
        <v>60</v>
      </c>
      <c r="B347" s="76" t="s">
        <v>33</v>
      </c>
      <c r="C347" s="76" t="s">
        <v>65</v>
      </c>
      <c r="D347" s="80" t="s">
        <v>457</v>
      </c>
      <c r="E347" s="76" t="s">
        <v>401</v>
      </c>
      <c r="F347" s="68" t="s">
        <v>10</v>
      </c>
      <c r="G347" s="77">
        <v>46164</v>
      </c>
      <c r="H347" s="76" t="s">
        <v>69</v>
      </c>
      <c r="I347" s="78">
        <v>2.0833333333333332E-2</v>
      </c>
      <c r="J347" s="78">
        <v>0.58333333333333337</v>
      </c>
      <c r="K347" s="78">
        <v>0.60416666666666663</v>
      </c>
      <c r="L347" s="76">
        <v>30</v>
      </c>
    </row>
    <row r="348" spans="1:12" hidden="1" x14ac:dyDescent="0.3">
      <c r="A348" s="28" t="s">
        <v>46</v>
      </c>
      <c r="B348" s="28" t="s">
        <v>33</v>
      </c>
      <c r="C348" s="29" t="s">
        <v>56</v>
      </c>
      <c r="D348" s="30" t="s">
        <v>457</v>
      </c>
      <c r="E348" s="28" t="s">
        <v>401</v>
      </c>
      <c r="F348" s="68" t="s">
        <v>10</v>
      </c>
      <c r="G348" s="31">
        <v>46160</v>
      </c>
      <c r="H348" s="28" t="s">
        <v>47</v>
      </c>
      <c r="I348" s="67">
        <v>2.0833333333333332E-2</v>
      </c>
      <c r="J348" s="67">
        <v>0.58333333333333337</v>
      </c>
      <c r="K348" s="67">
        <v>0.60416666666666663</v>
      </c>
      <c r="L348" s="28">
        <v>30</v>
      </c>
    </row>
    <row r="349" spans="1:12" ht="24.6" hidden="1" x14ac:dyDescent="0.3">
      <c r="A349" s="28" t="s">
        <v>46</v>
      </c>
      <c r="B349" s="28" t="s">
        <v>33</v>
      </c>
      <c r="C349" s="29" t="s">
        <v>57</v>
      </c>
      <c r="D349" s="30" t="s">
        <v>523</v>
      </c>
      <c r="E349" s="28" t="s">
        <v>124</v>
      </c>
      <c r="F349" s="68" t="s">
        <v>10</v>
      </c>
      <c r="G349" s="31">
        <v>46160</v>
      </c>
      <c r="H349" s="28" t="s">
        <v>47</v>
      </c>
      <c r="I349" s="67">
        <v>0.20833333333333334</v>
      </c>
      <c r="J349" s="67">
        <v>0.5</v>
      </c>
      <c r="K349" s="67">
        <v>0.875</v>
      </c>
      <c r="L349" s="28">
        <v>300</v>
      </c>
    </row>
    <row r="350" spans="1:12" hidden="1" x14ac:dyDescent="0.3">
      <c r="A350" s="28" t="s">
        <v>46</v>
      </c>
      <c r="B350" s="28" t="s">
        <v>33</v>
      </c>
      <c r="C350" s="29" t="s">
        <v>72</v>
      </c>
      <c r="D350" s="30" t="s">
        <v>524</v>
      </c>
      <c r="E350" s="28" t="s">
        <v>124</v>
      </c>
      <c r="F350" s="68" t="s">
        <v>10</v>
      </c>
      <c r="G350" s="31">
        <v>46160</v>
      </c>
      <c r="H350" s="28" t="s">
        <v>47</v>
      </c>
      <c r="I350" s="67">
        <v>0.125</v>
      </c>
      <c r="J350" s="67">
        <v>0.5</v>
      </c>
      <c r="K350" s="67">
        <v>0.89583333333333337</v>
      </c>
      <c r="L350" s="28">
        <v>180</v>
      </c>
    </row>
    <row r="351" spans="1:12" hidden="1" x14ac:dyDescent="0.3">
      <c r="A351" s="28" t="s">
        <v>46</v>
      </c>
      <c r="B351" s="28" t="s">
        <v>33</v>
      </c>
      <c r="C351" s="29" t="s">
        <v>56</v>
      </c>
      <c r="D351" s="30" t="s">
        <v>457</v>
      </c>
      <c r="E351" s="28" t="s">
        <v>401</v>
      </c>
      <c r="F351" s="68" t="s">
        <v>10</v>
      </c>
      <c r="G351" s="31">
        <v>46161</v>
      </c>
      <c r="H351" s="28" t="s">
        <v>47</v>
      </c>
      <c r="I351" s="67">
        <v>2.0833333333333332E-2</v>
      </c>
      <c r="J351" s="67">
        <v>0.58333333333333337</v>
      </c>
      <c r="K351" s="67">
        <v>0.60416666666666663</v>
      </c>
      <c r="L351" s="28">
        <v>30</v>
      </c>
    </row>
    <row r="352" spans="1:12" hidden="1" x14ac:dyDescent="0.3">
      <c r="A352" s="28" t="s">
        <v>46</v>
      </c>
      <c r="B352" s="28" t="s">
        <v>33</v>
      </c>
      <c r="C352" s="29" t="s">
        <v>72</v>
      </c>
      <c r="D352" s="30" t="s">
        <v>525</v>
      </c>
      <c r="E352" s="28" t="s">
        <v>42</v>
      </c>
      <c r="F352" s="68" t="s">
        <v>10</v>
      </c>
      <c r="G352" s="31">
        <v>46161</v>
      </c>
      <c r="H352" s="28" t="s">
        <v>47</v>
      </c>
      <c r="I352" s="67">
        <v>0.25</v>
      </c>
      <c r="J352" s="67">
        <v>0.5</v>
      </c>
      <c r="K352" s="67">
        <v>0.89583333333333337</v>
      </c>
      <c r="L352" s="28">
        <v>360</v>
      </c>
    </row>
    <row r="353" spans="1:12" hidden="1" x14ac:dyDescent="0.3">
      <c r="A353" s="28" t="s">
        <v>46</v>
      </c>
      <c r="B353" s="28" t="s">
        <v>33</v>
      </c>
      <c r="C353" s="29" t="s">
        <v>56</v>
      </c>
      <c r="D353" s="30" t="s">
        <v>457</v>
      </c>
      <c r="E353" s="28" t="s">
        <v>401</v>
      </c>
      <c r="F353" s="68" t="s">
        <v>10</v>
      </c>
      <c r="G353" s="31">
        <v>46162</v>
      </c>
      <c r="H353" s="28" t="s">
        <v>47</v>
      </c>
      <c r="I353" s="67">
        <v>2.0833333333333332E-2</v>
      </c>
      <c r="J353" s="67">
        <v>0.58333333333333337</v>
      </c>
      <c r="K353" s="67">
        <v>0.60416666666666663</v>
      </c>
      <c r="L353" s="28">
        <v>30</v>
      </c>
    </row>
    <row r="354" spans="1:12" ht="36.6" hidden="1" x14ac:dyDescent="0.3">
      <c r="A354" s="28" t="s">
        <v>46</v>
      </c>
      <c r="B354" s="28" t="s">
        <v>33</v>
      </c>
      <c r="C354" s="29" t="s">
        <v>57</v>
      </c>
      <c r="D354" s="30" t="s">
        <v>526</v>
      </c>
      <c r="E354" s="28" t="s">
        <v>124</v>
      </c>
      <c r="F354" s="68" t="s">
        <v>10</v>
      </c>
      <c r="G354" s="31">
        <v>46162</v>
      </c>
      <c r="H354" s="28" t="s">
        <v>47</v>
      </c>
      <c r="I354" s="67">
        <v>0.33333333333333331</v>
      </c>
      <c r="J354" s="67">
        <v>0.5</v>
      </c>
      <c r="K354" s="67">
        <v>0.89583333333333337</v>
      </c>
      <c r="L354" s="28">
        <v>480</v>
      </c>
    </row>
    <row r="355" spans="1:12" hidden="1" x14ac:dyDescent="0.3">
      <c r="A355" s="28" t="s">
        <v>46</v>
      </c>
      <c r="B355" s="28" t="s">
        <v>33</v>
      </c>
      <c r="C355" s="29" t="s">
        <v>56</v>
      </c>
      <c r="D355" s="30" t="s">
        <v>457</v>
      </c>
      <c r="E355" s="28" t="s">
        <v>401</v>
      </c>
      <c r="F355" s="68" t="s">
        <v>10</v>
      </c>
      <c r="G355" s="31">
        <v>46163</v>
      </c>
      <c r="H355" s="28" t="s">
        <v>47</v>
      </c>
      <c r="I355" s="67">
        <v>2.0833333333333332E-2</v>
      </c>
      <c r="J355" s="67">
        <v>0.58333333333333337</v>
      </c>
      <c r="K355" s="67">
        <v>0.60416666666666663</v>
      </c>
      <c r="L355" s="28">
        <v>30</v>
      </c>
    </row>
    <row r="356" spans="1:12" ht="36.6" hidden="1" x14ac:dyDescent="0.3">
      <c r="A356" s="28" t="s">
        <v>46</v>
      </c>
      <c r="B356" s="28" t="s">
        <v>33</v>
      </c>
      <c r="C356" s="29" t="s">
        <v>57</v>
      </c>
      <c r="D356" s="30" t="s">
        <v>527</v>
      </c>
      <c r="E356" s="28" t="s">
        <v>124</v>
      </c>
      <c r="F356" s="68" t="s">
        <v>10</v>
      </c>
      <c r="G356" s="31">
        <v>46163</v>
      </c>
      <c r="H356" s="28" t="s">
        <v>47</v>
      </c>
      <c r="I356" s="67">
        <v>0.33333333333333331</v>
      </c>
      <c r="J356" s="67">
        <v>0.5</v>
      </c>
      <c r="K356" s="67">
        <v>0.89583333333333337</v>
      </c>
      <c r="L356" s="28">
        <v>480</v>
      </c>
    </row>
    <row r="357" spans="1:12" hidden="1" x14ac:dyDescent="0.3">
      <c r="A357" s="28" t="s">
        <v>46</v>
      </c>
      <c r="B357" s="28" t="s">
        <v>33</v>
      </c>
      <c r="C357" s="29" t="s">
        <v>56</v>
      </c>
      <c r="D357" s="30" t="s">
        <v>457</v>
      </c>
      <c r="E357" s="28" t="s">
        <v>401</v>
      </c>
      <c r="F357" s="68" t="s">
        <v>10</v>
      </c>
      <c r="G357" s="31">
        <v>46164</v>
      </c>
      <c r="H357" s="28" t="s">
        <v>47</v>
      </c>
      <c r="I357" s="67">
        <v>2.0833333333333332E-2</v>
      </c>
      <c r="J357" s="67">
        <v>0.58333333333333337</v>
      </c>
      <c r="K357" s="67">
        <v>0.60416666666666663</v>
      </c>
      <c r="L357" s="28">
        <v>30</v>
      </c>
    </row>
    <row r="358" spans="1:12" ht="36.6" hidden="1" x14ac:dyDescent="0.3">
      <c r="A358" s="28" t="s">
        <v>46</v>
      </c>
      <c r="B358" s="28" t="s">
        <v>33</v>
      </c>
      <c r="C358" s="29" t="s">
        <v>57</v>
      </c>
      <c r="D358" s="30" t="s">
        <v>526</v>
      </c>
      <c r="E358" s="28" t="s">
        <v>124</v>
      </c>
      <c r="F358" s="68" t="s">
        <v>10</v>
      </c>
      <c r="G358" s="31">
        <v>46164</v>
      </c>
      <c r="H358" s="28" t="s">
        <v>47</v>
      </c>
      <c r="I358" s="67">
        <v>0.35416666666666669</v>
      </c>
      <c r="J358" s="67">
        <v>0.5</v>
      </c>
      <c r="K358" s="67">
        <v>0.89583333333333337</v>
      </c>
      <c r="L358" s="28">
        <v>510</v>
      </c>
    </row>
    <row r="359" spans="1:12" ht="24.6" hidden="1" x14ac:dyDescent="0.3">
      <c r="A359" s="76" t="s">
        <v>60</v>
      </c>
      <c r="B359" s="76" t="s">
        <v>33</v>
      </c>
      <c r="C359" s="76" t="s">
        <v>64</v>
      </c>
      <c r="D359" s="80" t="s">
        <v>536</v>
      </c>
      <c r="E359" s="76" t="s">
        <v>42</v>
      </c>
      <c r="F359" s="69" t="s">
        <v>45</v>
      </c>
      <c r="G359" s="77">
        <v>46167</v>
      </c>
      <c r="H359" s="76" t="s">
        <v>69</v>
      </c>
      <c r="I359" s="78">
        <v>0.3125</v>
      </c>
      <c r="J359" s="78">
        <v>0.5</v>
      </c>
      <c r="K359" s="78">
        <v>0.83333333333333337</v>
      </c>
      <c r="L359" s="76">
        <v>450</v>
      </c>
    </row>
    <row r="360" spans="1:12" hidden="1" x14ac:dyDescent="0.3">
      <c r="A360" s="76" t="s">
        <v>60</v>
      </c>
      <c r="B360" s="76" t="s">
        <v>33</v>
      </c>
      <c r="C360" s="76" t="s">
        <v>65</v>
      </c>
      <c r="D360" s="80" t="s">
        <v>457</v>
      </c>
      <c r="E360" s="76" t="s">
        <v>401</v>
      </c>
      <c r="F360" s="68" t="s">
        <v>10</v>
      </c>
      <c r="G360" s="77">
        <v>46167</v>
      </c>
      <c r="H360" s="76" t="s">
        <v>69</v>
      </c>
      <c r="I360" s="78">
        <v>2.0833333333333332E-2</v>
      </c>
      <c r="J360" s="78">
        <v>0.58333333333333337</v>
      </c>
      <c r="K360" s="78">
        <v>0.60416666666666663</v>
      </c>
      <c r="L360" s="76">
        <v>30</v>
      </c>
    </row>
    <row r="361" spans="1:12" ht="24.6" hidden="1" x14ac:dyDescent="0.3">
      <c r="A361" s="76" t="s">
        <v>60</v>
      </c>
      <c r="B361" s="76" t="s">
        <v>33</v>
      </c>
      <c r="C361" s="76" t="s">
        <v>64</v>
      </c>
      <c r="D361" s="80" t="s">
        <v>537</v>
      </c>
      <c r="E361" s="76" t="s">
        <v>42</v>
      </c>
      <c r="F361" s="68" t="s">
        <v>10</v>
      </c>
      <c r="G361" s="77">
        <v>46168</v>
      </c>
      <c r="H361" s="76" t="s">
        <v>69</v>
      </c>
      <c r="I361" s="78">
        <v>0.33333333333333331</v>
      </c>
      <c r="J361" s="78">
        <v>0.5</v>
      </c>
      <c r="K361" s="78">
        <v>0.875</v>
      </c>
      <c r="L361" s="76">
        <v>480</v>
      </c>
    </row>
    <row r="362" spans="1:12" hidden="1" x14ac:dyDescent="0.3">
      <c r="A362" s="76" t="s">
        <v>60</v>
      </c>
      <c r="B362" s="76" t="s">
        <v>33</v>
      </c>
      <c r="C362" s="76" t="s">
        <v>65</v>
      </c>
      <c r="D362" s="80" t="s">
        <v>457</v>
      </c>
      <c r="E362" s="76" t="s">
        <v>401</v>
      </c>
      <c r="F362" s="68" t="s">
        <v>10</v>
      </c>
      <c r="G362" s="77">
        <v>46168</v>
      </c>
      <c r="H362" s="76" t="s">
        <v>69</v>
      </c>
      <c r="I362" s="78">
        <v>2.0833333333333332E-2</v>
      </c>
      <c r="J362" s="78">
        <v>0.58333333333333337</v>
      </c>
      <c r="K362" s="78">
        <v>0.60416666666666663</v>
      </c>
      <c r="L362" s="76">
        <v>30</v>
      </c>
    </row>
    <row r="363" spans="1:12" ht="24.6" hidden="1" x14ac:dyDescent="0.3">
      <c r="A363" s="76" t="s">
        <v>60</v>
      </c>
      <c r="B363" s="76" t="s">
        <v>33</v>
      </c>
      <c r="C363" s="76" t="s">
        <v>64</v>
      </c>
      <c r="D363" s="80" t="s">
        <v>539</v>
      </c>
      <c r="E363" s="76" t="s">
        <v>42</v>
      </c>
      <c r="F363" s="69" t="s">
        <v>45</v>
      </c>
      <c r="G363" s="77">
        <v>46169</v>
      </c>
      <c r="H363" s="76" t="s">
        <v>69</v>
      </c>
      <c r="I363" s="78">
        <v>0.29166666666666669</v>
      </c>
      <c r="J363" s="78">
        <v>0.5</v>
      </c>
      <c r="K363" s="78">
        <v>6.833333333333333</v>
      </c>
      <c r="L363" s="76">
        <v>420</v>
      </c>
    </row>
    <row r="364" spans="1:12" hidden="1" x14ac:dyDescent="0.3">
      <c r="A364" s="76" t="s">
        <v>60</v>
      </c>
      <c r="B364" s="76" t="s">
        <v>33</v>
      </c>
      <c r="C364" s="76" t="s">
        <v>65</v>
      </c>
      <c r="D364" s="80" t="s">
        <v>457</v>
      </c>
      <c r="E364" s="76" t="s">
        <v>401</v>
      </c>
      <c r="F364" s="68" t="s">
        <v>10</v>
      </c>
      <c r="G364" s="77">
        <v>46169</v>
      </c>
      <c r="H364" s="76" t="s">
        <v>69</v>
      </c>
      <c r="I364" s="78">
        <v>2.0833333333333332E-2</v>
      </c>
      <c r="J364" s="78">
        <v>0.58333333333333337</v>
      </c>
      <c r="K364" s="78">
        <v>0.60416666666666663</v>
      </c>
      <c r="L364" s="76">
        <v>30</v>
      </c>
    </row>
    <row r="365" spans="1:12" hidden="1" x14ac:dyDescent="0.3">
      <c r="A365" s="76" t="s">
        <v>60</v>
      </c>
      <c r="B365" s="76" t="s">
        <v>33</v>
      </c>
      <c r="C365" s="76" t="s">
        <v>64</v>
      </c>
      <c r="D365" s="80" t="s">
        <v>538</v>
      </c>
      <c r="E365" s="76" t="s">
        <v>42</v>
      </c>
      <c r="F365" s="68" t="s">
        <v>10</v>
      </c>
      <c r="G365" s="77">
        <v>46170</v>
      </c>
      <c r="H365" s="76" t="s">
        <v>69</v>
      </c>
      <c r="I365" s="78">
        <v>2.0833333333333332E-2</v>
      </c>
      <c r="J365" s="78">
        <v>0.52083333333333337</v>
      </c>
      <c r="K365" s="78">
        <v>0.54166666666666663</v>
      </c>
      <c r="L365" s="76">
        <v>30</v>
      </c>
    </row>
    <row r="366" spans="1:12" hidden="1" x14ac:dyDescent="0.3">
      <c r="A366" s="76" t="s">
        <v>60</v>
      </c>
      <c r="B366" s="76" t="s">
        <v>33</v>
      </c>
      <c r="C366" s="76" t="s">
        <v>65</v>
      </c>
      <c r="D366" s="80" t="s">
        <v>457</v>
      </c>
      <c r="E366" s="76" t="s">
        <v>401</v>
      </c>
      <c r="F366" s="68" t="s">
        <v>10</v>
      </c>
      <c r="G366" s="77">
        <v>46170</v>
      </c>
      <c r="H366" s="76" t="s">
        <v>69</v>
      </c>
      <c r="I366" s="78">
        <v>2.0833333333333332E-2</v>
      </c>
      <c r="J366" s="78">
        <v>0.58333333333333337</v>
      </c>
      <c r="K366" s="78">
        <v>0.60416666666666663</v>
      </c>
      <c r="L366" s="76">
        <v>30</v>
      </c>
    </row>
    <row r="367" spans="1:12" ht="25.05" hidden="1" customHeight="1" x14ac:dyDescent="0.3">
      <c r="A367" s="76" t="s">
        <v>60</v>
      </c>
      <c r="B367" s="76" t="s">
        <v>33</v>
      </c>
      <c r="C367" s="76" t="s">
        <v>64</v>
      </c>
      <c r="D367" s="80" t="s">
        <v>540</v>
      </c>
      <c r="E367" s="76" t="s">
        <v>42</v>
      </c>
      <c r="F367" s="69" t="s">
        <v>45</v>
      </c>
      <c r="G367" s="77">
        <v>46170</v>
      </c>
      <c r="H367" s="76" t="s">
        <v>69</v>
      </c>
      <c r="I367" s="78">
        <v>0.29166666666666669</v>
      </c>
      <c r="J367" s="78">
        <v>0.5625</v>
      </c>
      <c r="K367" s="78">
        <v>0.85416666666666663</v>
      </c>
      <c r="L367" s="76">
        <v>420</v>
      </c>
    </row>
    <row r="368" spans="1:12" hidden="1" x14ac:dyDescent="0.3">
      <c r="A368" s="28" t="s">
        <v>46</v>
      </c>
      <c r="B368" s="28" t="s">
        <v>33</v>
      </c>
      <c r="C368" s="29" t="s">
        <v>56</v>
      </c>
      <c r="D368" s="30" t="s">
        <v>457</v>
      </c>
      <c r="E368" s="28" t="s">
        <v>401</v>
      </c>
      <c r="F368" s="68" t="s">
        <v>10</v>
      </c>
      <c r="G368" s="31">
        <v>46167</v>
      </c>
      <c r="H368" s="28" t="s">
        <v>47</v>
      </c>
      <c r="I368" s="67">
        <v>2.0833333333333332E-2</v>
      </c>
      <c r="J368" s="67">
        <v>0.58333333333333337</v>
      </c>
      <c r="K368" s="67">
        <v>0.60416666666666663</v>
      </c>
      <c r="L368" s="28">
        <v>30</v>
      </c>
    </row>
    <row r="369" spans="1:12" hidden="1" x14ac:dyDescent="0.3">
      <c r="A369" s="28" t="s">
        <v>46</v>
      </c>
      <c r="B369" s="28" t="s">
        <v>33</v>
      </c>
      <c r="C369" s="29" t="s">
        <v>72</v>
      </c>
      <c r="D369" s="30" t="s">
        <v>554</v>
      </c>
      <c r="E369" s="28" t="s">
        <v>124</v>
      </c>
      <c r="F369" s="68" t="s">
        <v>10</v>
      </c>
      <c r="G369" s="31">
        <v>46167</v>
      </c>
      <c r="H369" s="28" t="s">
        <v>47</v>
      </c>
      <c r="I369" s="67">
        <v>0.20833333333333334</v>
      </c>
      <c r="J369" s="67">
        <v>0.5</v>
      </c>
      <c r="K369" s="67">
        <v>0.89583333333333337</v>
      </c>
      <c r="L369" s="28">
        <v>300</v>
      </c>
    </row>
    <row r="370" spans="1:12" hidden="1" x14ac:dyDescent="0.3">
      <c r="A370" s="28" t="s">
        <v>46</v>
      </c>
      <c r="B370" s="28" t="s">
        <v>33</v>
      </c>
      <c r="C370" s="29" t="s">
        <v>56</v>
      </c>
      <c r="D370" s="30" t="s">
        <v>457</v>
      </c>
      <c r="E370" s="28" t="s">
        <v>401</v>
      </c>
      <c r="F370" s="68" t="s">
        <v>10</v>
      </c>
      <c r="G370" s="31">
        <v>46168</v>
      </c>
      <c r="H370" s="28" t="s">
        <v>47</v>
      </c>
      <c r="I370" s="67">
        <v>2.0833333333333332E-2</v>
      </c>
      <c r="J370" s="67">
        <v>0.58333333333333337</v>
      </c>
      <c r="K370" s="67">
        <v>0.60416666666666663</v>
      </c>
      <c r="L370" s="28">
        <v>30</v>
      </c>
    </row>
    <row r="371" spans="1:12" ht="24.6" hidden="1" x14ac:dyDescent="0.3">
      <c r="A371" s="28" t="s">
        <v>46</v>
      </c>
      <c r="B371" s="28" t="s">
        <v>33</v>
      </c>
      <c r="C371" s="29" t="s">
        <v>72</v>
      </c>
      <c r="D371" s="30" t="s">
        <v>560</v>
      </c>
      <c r="E371" s="28" t="s">
        <v>124</v>
      </c>
      <c r="F371" s="69" t="s">
        <v>45</v>
      </c>
      <c r="G371" s="31">
        <v>46168</v>
      </c>
      <c r="H371" s="28" t="s">
        <v>47</v>
      </c>
      <c r="I371" s="67">
        <v>0.125</v>
      </c>
      <c r="J371" s="67">
        <v>0.5</v>
      </c>
      <c r="K371" s="67">
        <v>0.89583333333333337</v>
      </c>
      <c r="L371" s="28">
        <v>180</v>
      </c>
    </row>
    <row r="372" spans="1:12" ht="24.6" hidden="1" x14ac:dyDescent="0.3">
      <c r="A372" s="28" t="s">
        <v>46</v>
      </c>
      <c r="B372" s="28" t="s">
        <v>33</v>
      </c>
      <c r="C372" s="29" t="s">
        <v>57</v>
      </c>
      <c r="D372" s="30" t="s">
        <v>558</v>
      </c>
      <c r="E372" s="28" t="s">
        <v>124</v>
      </c>
      <c r="F372" s="69" t="s">
        <v>45</v>
      </c>
      <c r="G372" s="31">
        <v>46168</v>
      </c>
      <c r="H372" s="28" t="s">
        <v>47</v>
      </c>
      <c r="I372" s="67">
        <v>0.25</v>
      </c>
      <c r="J372" s="67">
        <v>0.5</v>
      </c>
      <c r="K372" s="67">
        <v>0.89583333333333337</v>
      </c>
      <c r="L372" s="28">
        <v>360</v>
      </c>
    </row>
    <row r="373" spans="1:12" hidden="1" x14ac:dyDescent="0.3">
      <c r="A373" s="28" t="s">
        <v>46</v>
      </c>
      <c r="B373" s="28" t="s">
        <v>33</v>
      </c>
      <c r="C373" s="29" t="s">
        <v>56</v>
      </c>
      <c r="D373" s="30" t="s">
        <v>457</v>
      </c>
      <c r="E373" s="28" t="s">
        <v>401</v>
      </c>
      <c r="F373" s="68" t="s">
        <v>10</v>
      </c>
      <c r="G373" s="31">
        <v>46169</v>
      </c>
      <c r="H373" s="28" t="s">
        <v>47</v>
      </c>
      <c r="I373" s="67">
        <v>2.0833333333333332E-2</v>
      </c>
      <c r="J373" s="67">
        <v>0.58333333333333337</v>
      </c>
      <c r="K373" s="67">
        <v>0.60416666666666663</v>
      </c>
      <c r="L373" s="28">
        <v>30</v>
      </c>
    </row>
    <row r="374" spans="1:12" ht="24.6" hidden="1" x14ac:dyDescent="0.3">
      <c r="A374" s="28" t="s">
        <v>46</v>
      </c>
      <c r="B374" s="28" t="s">
        <v>33</v>
      </c>
      <c r="C374" s="29" t="s">
        <v>72</v>
      </c>
      <c r="D374" s="30" t="s">
        <v>561</v>
      </c>
      <c r="E374" s="28" t="s">
        <v>124</v>
      </c>
      <c r="F374" s="69" t="s">
        <v>45</v>
      </c>
      <c r="G374" s="31">
        <v>46169</v>
      </c>
      <c r="H374" s="28" t="s">
        <v>47</v>
      </c>
      <c r="I374" s="67">
        <v>0.125</v>
      </c>
      <c r="J374" s="67">
        <v>0.5</v>
      </c>
      <c r="K374" s="67">
        <v>0.89583333333333337</v>
      </c>
      <c r="L374" s="28">
        <v>180</v>
      </c>
    </row>
    <row r="375" spans="1:12" hidden="1" x14ac:dyDescent="0.3">
      <c r="A375" s="28" t="s">
        <v>46</v>
      </c>
      <c r="B375" s="28" t="s">
        <v>33</v>
      </c>
      <c r="C375" s="29" t="s">
        <v>72</v>
      </c>
      <c r="D375" s="30" t="s">
        <v>556</v>
      </c>
      <c r="E375" s="28" t="s">
        <v>124</v>
      </c>
      <c r="F375" s="68" t="s">
        <v>10</v>
      </c>
      <c r="G375" s="31">
        <v>46169</v>
      </c>
      <c r="H375" s="28" t="s">
        <v>47</v>
      </c>
      <c r="I375" s="67">
        <v>4.1666666666666664E-2</v>
      </c>
      <c r="J375" s="67">
        <v>0.5</v>
      </c>
      <c r="K375" s="67">
        <v>0.89583333333333337</v>
      </c>
      <c r="L375" s="28">
        <v>60</v>
      </c>
    </row>
    <row r="376" spans="1:12" ht="24.6" hidden="1" x14ac:dyDescent="0.3">
      <c r="A376" s="28" t="s">
        <v>46</v>
      </c>
      <c r="B376" s="28" t="s">
        <v>33</v>
      </c>
      <c r="C376" s="29" t="s">
        <v>57</v>
      </c>
      <c r="D376" s="30" t="s">
        <v>558</v>
      </c>
      <c r="E376" s="28" t="s">
        <v>124</v>
      </c>
      <c r="F376" s="68" t="s">
        <v>10</v>
      </c>
      <c r="G376" s="31">
        <v>46169</v>
      </c>
      <c r="H376" s="28" t="s">
        <v>47</v>
      </c>
      <c r="I376" s="67">
        <v>0.16666666666666666</v>
      </c>
      <c r="J376" s="67">
        <v>0.5</v>
      </c>
      <c r="K376" s="67">
        <v>0.89583333333333337</v>
      </c>
      <c r="L376" s="28">
        <v>240</v>
      </c>
    </row>
    <row r="377" spans="1:12" hidden="1" x14ac:dyDescent="0.3">
      <c r="A377" s="28" t="s">
        <v>46</v>
      </c>
      <c r="B377" s="28" t="s">
        <v>33</v>
      </c>
      <c r="C377" s="29" t="s">
        <v>56</v>
      </c>
      <c r="D377" s="30" t="s">
        <v>457</v>
      </c>
      <c r="E377" s="28" t="s">
        <v>401</v>
      </c>
      <c r="F377" s="68" t="s">
        <v>10</v>
      </c>
      <c r="G377" s="31">
        <v>46170</v>
      </c>
      <c r="H377" s="28" t="s">
        <v>47</v>
      </c>
      <c r="I377" s="67">
        <v>2.0833333333333332E-2</v>
      </c>
      <c r="J377" s="67">
        <v>0.58333333333333337</v>
      </c>
      <c r="K377" s="67">
        <v>0.60416666666666663</v>
      </c>
      <c r="L377" s="28">
        <v>30</v>
      </c>
    </row>
    <row r="378" spans="1:12" ht="24.6" hidden="1" x14ac:dyDescent="0.3">
      <c r="A378" s="28" t="s">
        <v>46</v>
      </c>
      <c r="B378" s="28" t="s">
        <v>33</v>
      </c>
      <c r="C378" s="29" t="s">
        <v>72</v>
      </c>
      <c r="D378" s="30" t="s">
        <v>557</v>
      </c>
      <c r="E378" s="28" t="s">
        <v>124</v>
      </c>
      <c r="F378" s="68" t="s">
        <v>10</v>
      </c>
      <c r="G378" s="31">
        <v>46170</v>
      </c>
      <c r="H378" s="28" t="s">
        <v>47</v>
      </c>
      <c r="I378" s="67">
        <v>0.25</v>
      </c>
      <c r="J378" s="67">
        <v>0.5</v>
      </c>
      <c r="K378" s="67">
        <v>0.89583333333333337</v>
      </c>
      <c r="L378" s="28">
        <v>360</v>
      </c>
    </row>
    <row r="379" spans="1:12" hidden="1" x14ac:dyDescent="0.3">
      <c r="A379" s="28" t="s">
        <v>46</v>
      </c>
      <c r="B379" s="28" t="s">
        <v>33</v>
      </c>
      <c r="C379" s="29" t="s">
        <v>56</v>
      </c>
      <c r="D379" s="30" t="s">
        <v>457</v>
      </c>
      <c r="E379" s="28" t="s">
        <v>401</v>
      </c>
      <c r="F379" s="68" t="s">
        <v>10</v>
      </c>
      <c r="G379" s="31">
        <v>46171</v>
      </c>
      <c r="H379" s="28" t="s">
        <v>47</v>
      </c>
      <c r="I379" s="67">
        <v>2.0833333333333332E-2</v>
      </c>
      <c r="J379" s="67">
        <v>0.58333333333333337</v>
      </c>
      <c r="K379" s="67">
        <v>0.60416666666666663</v>
      </c>
      <c r="L379" s="28">
        <v>30</v>
      </c>
    </row>
    <row r="380" spans="1:12" hidden="1" x14ac:dyDescent="0.3">
      <c r="A380" s="28" t="s">
        <v>46</v>
      </c>
      <c r="B380" s="28" t="s">
        <v>33</v>
      </c>
      <c r="C380" s="29" t="s">
        <v>57</v>
      </c>
      <c r="D380" s="30" t="s">
        <v>555</v>
      </c>
      <c r="E380" s="28" t="s">
        <v>124</v>
      </c>
      <c r="F380" s="68" t="s">
        <v>10</v>
      </c>
      <c r="G380" s="31">
        <v>46171</v>
      </c>
      <c r="H380" s="28" t="s">
        <v>47</v>
      </c>
      <c r="I380" s="67">
        <v>0.25</v>
      </c>
      <c r="J380" s="67">
        <v>0.5</v>
      </c>
      <c r="K380" s="67">
        <v>0.875</v>
      </c>
      <c r="L380" s="28">
        <v>360</v>
      </c>
    </row>
    <row r="381" spans="1:12" ht="24.6" hidden="1" x14ac:dyDescent="0.3">
      <c r="A381" s="28" t="s">
        <v>46</v>
      </c>
      <c r="B381" s="28" t="s">
        <v>33</v>
      </c>
      <c r="C381" s="29" t="s">
        <v>72</v>
      </c>
      <c r="D381" s="30" t="s">
        <v>559</v>
      </c>
      <c r="E381" s="28" t="s">
        <v>124</v>
      </c>
      <c r="F381" s="68" t="s">
        <v>10</v>
      </c>
      <c r="G381" s="31">
        <v>46171</v>
      </c>
      <c r="H381" s="28" t="s">
        <v>47</v>
      </c>
      <c r="I381" s="67">
        <v>0.125</v>
      </c>
      <c r="J381" s="67">
        <v>0.5</v>
      </c>
      <c r="K381" s="67">
        <v>0.875</v>
      </c>
      <c r="L381" s="28">
        <v>180</v>
      </c>
    </row>
    <row r="382" spans="1:12" ht="36.6" hidden="1" x14ac:dyDescent="0.3">
      <c r="A382" s="76" t="s">
        <v>60</v>
      </c>
      <c r="B382" s="76" t="s">
        <v>33</v>
      </c>
      <c r="C382" s="76" t="s">
        <v>64</v>
      </c>
      <c r="D382" s="80" t="s">
        <v>547</v>
      </c>
      <c r="E382" s="76" t="s">
        <v>42</v>
      </c>
      <c r="F382" s="68" t="s">
        <v>10</v>
      </c>
      <c r="G382" s="77">
        <v>46174</v>
      </c>
      <c r="H382" s="76" t="s">
        <v>69</v>
      </c>
      <c r="I382" s="78">
        <v>0.3125</v>
      </c>
      <c r="J382" s="78">
        <v>0.5</v>
      </c>
      <c r="K382" s="78">
        <v>0.83333333333333337</v>
      </c>
      <c r="L382" s="76">
        <v>450</v>
      </c>
    </row>
    <row r="383" spans="1:12" hidden="1" x14ac:dyDescent="0.3">
      <c r="A383" s="76" t="s">
        <v>60</v>
      </c>
      <c r="B383" s="76" t="s">
        <v>33</v>
      </c>
      <c r="C383" s="76" t="s">
        <v>65</v>
      </c>
      <c r="D383" s="80" t="s">
        <v>457</v>
      </c>
      <c r="E383" s="76" t="s">
        <v>401</v>
      </c>
      <c r="F383" s="68" t="s">
        <v>10</v>
      </c>
      <c r="G383" s="77">
        <v>46174</v>
      </c>
      <c r="H383" s="76" t="s">
        <v>69</v>
      </c>
      <c r="I383" s="78">
        <v>2.0833333333333332E-2</v>
      </c>
      <c r="J383" s="78">
        <v>0.58333333333333337</v>
      </c>
      <c r="K383" s="78">
        <v>0.60416666666666663</v>
      </c>
      <c r="L383" s="76">
        <v>30</v>
      </c>
    </row>
    <row r="384" spans="1:12" ht="24.6" hidden="1" x14ac:dyDescent="0.3">
      <c r="A384" s="76" t="s">
        <v>60</v>
      </c>
      <c r="B384" s="76" t="s">
        <v>33</v>
      </c>
      <c r="C384" s="76" t="s">
        <v>64</v>
      </c>
      <c r="D384" s="80" t="s">
        <v>549</v>
      </c>
      <c r="E384" s="76" t="s">
        <v>42</v>
      </c>
      <c r="F384" s="69" t="s">
        <v>45</v>
      </c>
      <c r="G384" s="77">
        <v>46175</v>
      </c>
      <c r="H384" s="76" t="s">
        <v>69</v>
      </c>
      <c r="I384" s="78">
        <v>0.33333333333333331</v>
      </c>
      <c r="J384" s="78">
        <v>0.5</v>
      </c>
      <c r="K384" s="78">
        <v>0.875</v>
      </c>
      <c r="L384" s="76">
        <v>480</v>
      </c>
    </row>
    <row r="385" spans="1:12" hidden="1" x14ac:dyDescent="0.3">
      <c r="A385" s="76" t="s">
        <v>60</v>
      </c>
      <c r="B385" s="76" t="s">
        <v>33</v>
      </c>
      <c r="C385" s="76" t="s">
        <v>65</v>
      </c>
      <c r="D385" s="80" t="s">
        <v>457</v>
      </c>
      <c r="E385" s="76" t="s">
        <v>401</v>
      </c>
      <c r="F385" s="68" t="s">
        <v>10</v>
      </c>
      <c r="G385" s="77">
        <v>46175</v>
      </c>
      <c r="H385" s="76" t="s">
        <v>69</v>
      </c>
      <c r="I385" s="78">
        <v>2.0833333333333332E-2</v>
      </c>
      <c r="J385" s="78">
        <v>0.58333333333333337</v>
      </c>
      <c r="K385" s="78">
        <v>0.60416666666666663</v>
      </c>
      <c r="L385" s="76">
        <v>30</v>
      </c>
    </row>
    <row r="386" spans="1:12" ht="24.6" hidden="1" x14ac:dyDescent="0.3">
      <c r="A386" s="76" t="s">
        <v>60</v>
      </c>
      <c r="B386" s="76" t="s">
        <v>33</v>
      </c>
      <c r="C386" s="76" t="s">
        <v>64</v>
      </c>
      <c r="D386" s="80" t="s">
        <v>550</v>
      </c>
      <c r="E386" s="76" t="s">
        <v>42</v>
      </c>
      <c r="F386" s="69" t="s">
        <v>45</v>
      </c>
      <c r="G386" s="77">
        <v>46177</v>
      </c>
      <c r="H386" s="76" t="s">
        <v>69</v>
      </c>
      <c r="I386" s="78">
        <v>0.29166666666666669</v>
      </c>
      <c r="J386" s="78">
        <v>0.5</v>
      </c>
      <c r="K386" s="78">
        <v>6.833333333333333</v>
      </c>
      <c r="L386" s="76">
        <v>420</v>
      </c>
    </row>
    <row r="387" spans="1:12" hidden="1" x14ac:dyDescent="0.3">
      <c r="A387" s="76" t="s">
        <v>60</v>
      </c>
      <c r="B387" s="76" t="s">
        <v>33</v>
      </c>
      <c r="C387" s="76" t="s">
        <v>65</v>
      </c>
      <c r="D387" s="80" t="s">
        <v>457</v>
      </c>
      <c r="E387" s="76" t="s">
        <v>401</v>
      </c>
      <c r="F387" s="68" t="s">
        <v>10</v>
      </c>
      <c r="G387" s="77">
        <v>46177</v>
      </c>
      <c r="H387" s="76" t="s">
        <v>69</v>
      </c>
      <c r="I387" s="78">
        <v>2.0833333333333332E-2</v>
      </c>
      <c r="J387" s="78">
        <v>0.58333333333333337</v>
      </c>
      <c r="K387" s="78">
        <v>0.60416666666666663</v>
      </c>
      <c r="L387" s="76">
        <v>30</v>
      </c>
    </row>
    <row r="388" spans="1:12" hidden="1" x14ac:dyDescent="0.3">
      <c r="A388" s="76" t="s">
        <v>60</v>
      </c>
      <c r="B388" s="76" t="s">
        <v>33</v>
      </c>
      <c r="C388" s="76" t="s">
        <v>65</v>
      </c>
      <c r="D388" s="80" t="s">
        <v>548</v>
      </c>
      <c r="E388" s="76" t="s">
        <v>124</v>
      </c>
      <c r="F388" s="68" t="s">
        <v>10</v>
      </c>
      <c r="G388" s="77">
        <v>46177</v>
      </c>
      <c r="H388" s="76" t="s">
        <v>69</v>
      </c>
      <c r="I388" s="78">
        <v>2.0833333333333332E-2</v>
      </c>
      <c r="J388" s="78">
        <v>0.64583333333333337</v>
      </c>
      <c r="K388" s="78">
        <v>0.66666666666666663</v>
      </c>
      <c r="L388" s="76">
        <v>30</v>
      </c>
    </row>
    <row r="389" spans="1:12" ht="24.6" hidden="1" x14ac:dyDescent="0.3">
      <c r="A389" s="76" t="s">
        <v>60</v>
      </c>
      <c r="B389" s="76" t="s">
        <v>33</v>
      </c>
      <c r="C389" s="76" t="s">
        <v>64</v>
      </c>
      <c r="D389" s="80" t="s">
        <v>551</v>
      </c>
      <c r="E389" s="76" t="s">
        <v>42</v>
      </c>
      <c r="F389" s="69" t="s">
        <v>45</v>
      </c>
      <c r="G389" s="77">
        <v>46178</v>
      </c>
      <c r="H389" s="76" t="s">
        <v>69</v>
      </c>
      <c r="I389" s="78">
        <v>4.8611111111111112E-3</v>
      </c>
      <c r="J389" s="78">
        <v>0.52083333333333337</v>
      </c>
      <c r="K389" s="78">
        <v>0.875</v>
      </c>
      <c r="L389" s="76">
        <v>420</v>
      </c>
    </row>
    <row r="390" spans="1:12" hidden="1" x14ac:dyDescent="0.3">
      <c r="A390" s="76" t="s">
        <v>60</v>
      </c>
      <c r="B390" s="76" t="s">
        <v>33</v>
      </c>
      <c r="C390" s="76" t="s">
        <v>65</v>
      </c>
      <c r="D390" s="80" t="s">
        <v>457</v>
      </c>
      <c r="E390" s="76" t="s">
        <v>401</v>
      </c>
      <c r="F390" s="68" t="s">
        <v>10</v>
      </c>
      <c r="G390" s="77">
        <v>46178</v>
      </c>
      <c r="H390" s="76" t="s">
        <v>69</v>
      </c>
      <c r="I390" s="78">
        <v>2.0833333333333332E-2</v>
      </c>
      <c r="J390" s="78">
        <v>0.58333333333333337</v>
      </c>
      <c r="K390" s="78">
        <v>0.60416666666666663</v>
      </c>
      <c r="L390" s="76">
        <v>30</v>
      </c>
    </row>
    <row r="391" spans="1:12" hidden="1" x14ac:dyDescent="0.3">
      <c r="A391" s="28" t="s">
        <v>46</v>
      </c>
      <c r="B391" s="28" t="s">
        <v>33</v>
      </c>
      <c r="C391" s="29" t="s">
        <v>56</v>
      </c>
      <c r="D391" s="30" t="s">
        <v>457</v>
      </c>
      <c r="E391" s="28" t="s">
        <v>401</v>
      </c>
      <c r="F391" s="68" t="s">
        <v>10</v>
      </c>
      <c r="G391" s="31">
        <v>46174</v>
      </c>
      <c r="H391" s="28" t="s">
        <v>47</v>
      </c>
      <c r="I391" s="67">
        <v>2.0833333333333332E-2</v>
      </c>
      <c r="J391" s="67">
        <v>0.58333333333333337</v>
      </c>
      <c r="K391" s="67">
        <v>0.60416666666666663</v>
      </c>
      <c r="L391" s="28">
        <v>30</v>
      </c>
    </row>
    <row r="392" spans="1:12" ht="24.6" hidden="1" x14ac:dyDescent="0.3">
      <c r="A392" s="28" t="s">
        <v>46</v>
      </c>
      <c r="B392" s="28" t="s">
        <v>33</v>
      </c>
      <c r="C392" s="29" t="s">
        <v>70</v>
      </c>
      <c r="D392" s="30" t="s">
        <v>562</v>
      </c>
      <c r="E392" s="28" t="s">
        <v>124</v>
      </c>
      <c r="F392" s="68" t="s">
        <v>10</v>
      </c>
      <c r="G392" s="31">
        <v>46174</v>
      </c>
      <c r="H392" s="28" t="s">
        <v>47</v>
      </c>
      <c r="I392" s="67">
        <v>0.29166666666666669</v>
      </c>
      <c r="J392" s="67">
        <v>0.5</v>
      </c>
      <c r="K392" s="67">
        <v>0.89583333333333337</v>
      </c>
      <c r="L392" s="28">
        <v>420</v>
      </c>
    </row>
    <row r="393" spans="1:12" hidden="1" x14ac:dyDescent="0.3">
      <c r="A393" s="28" t="s">
        <v>46</v>
      </c>
      <c r="B393" s="28" t="s">
        <v>33</v>
      </c>
      <c r="C393" s="29" t="s">
        <v>56</v>
      </c>
      <c r="D393" s="30" t="s">
        <v>457</v>
      </c>
      <c r="E393" s="28" t="s">
        <v>401</v>
      </c>
      <c r="F393" s="68" t="s">
        <v>10</v>
      </c>
      <c r="G393" s="31">
        <v>46175</v>
      </c>
      <c r="H393" s="28" t="s">
        <v>47</v>
      </c>
      <c r="I393" s="67">
        <v>2.0833333333333332E-2</v>
      </c>
      <c r="J393" s="67">
        <v>0.58333333333333337</v>
      </c>
      <c r="K393" s="67">
        <v>0.60416666666666663</v>
      </c>
      <c r="L393" s="28">
        <v>30</v>
      </c>
    </row>
    <row r="394" spans="1:12" hidden="1" x14ac:dyDescent="0.3">
      <c r="A394" s="28" t="s">
        <v>46</v>
      </c>
      <c r="B394" s="28" t="s">
        <v>33</v>
      </c>
      <c r="C394" s="29" t="s">
        <v>56</v>
      </c>
      <c r="D394" s="30" t="s">
        <v>563</v>
      </c>
      <c r="E394" s="28" t="s">
        <v>124</v>
      </c>
      <c r="F394" s="68" t="s">
        <v>10</v>
      </c>
      <c r="G394" s="31">
        <v>46175</v>
      </c>
      <c r="H394" s="28" t="s">
        <v>47</v>
      </c>
      <c r="I394" s="67">
        <v>0.10416666666666667</v>
      </c>
      <c r="J394" s="67">
        <v>0.5</v>
      </c>
      <c r="K394" s="67">
        <v>0.89583333333333337</v>
      </c>
      <c r="L394" s="28">
        <v>150</v>
      </c>
    </row>
    <row r="395" spans="1:12" hidden="1" x14ac:dyDescent="0.3">
      <c r="A395" s="28" t="s">
        <v>46</v>
      </c>
      <c r="B395" s="28" t="s">
        <v>33</v>
      </c>
      <c r="C395" s="29" t="s">
        <v>57</v>
      </c>
      <c r="D395" s="30" t="s">
        <v>564</v>
      </c>
      <c r="E395" s="28" t="s">
        <v>124</v>
      </c>
      <c r="F395" s="69" t="s">
        <v>45</v>
      </c>
      <c r="G395" s="31">
        <v>46175</v>
      </c>
      <c r="H395" s="28" t="s">
        <v>47</v>
      </c>
      <c r="I395" s="67">
        <v>0.25</v>
      </c>
      <c r="J395" s="67">
        <v>0.5</v>
      </c>
      <c r="K395" s="67">
        <v>0.89583333333333337</v>
      </c>
      <c r="L395" s="28">
        <v>360</v>
      </c>
    </row>
    <row r="396" spans="1:12" hidden="1" x14ac:dyDescent="0.3">
      <c r="A396" s="28" t="s">
        <v>46</v>
      </c>
      <c r="B396" s="28" t="s">
        <v>33</v>
      </c>
      <c r="C396" s="29" t="s">
        <v>56</v>
      </c>
      <c r="D396" s="30" t="s">
        <v>457</v>
      </c>
      <c r="E396" s="28" t="s">
        <v>401</v>
      </c>
      <c r="F396" s="68" t="s">
        <v>10</v>
      </c>
      <c r="G396" s="31">
        <v>46176</v>
      </c>
      <c r="H396" s="28" t="s">
        <v>47</v>
      </c>
      <c r="I396" s="67">
        <v>2.0833333333333332E-2</v>
      </c>
      <c r="J396" s="67">
        <v>0.58333333333333337</v>
      </c>
      <c r="K396" s="67">
        <v>0.60416666666666663</v>
      </c>
      <c r="L396" s="28">
        <v>30</v>
      </c>
    </row>
    <row r="397" spans="1:12" hidden="1" x14ac:dyDescent="0.3">
      <c r="A397" s="28" t="s">
        <v>46</v>
      </c>
      <c r="B397" s="28" t="s">
        <v>33</v>
      </c>
      <c r="C397" s="29" t="s">
        <v>57</v>
      </c>
      <c r="D397" s="30" t="s">
        <v>555</v>
      </c>
      <c r="E397" s="28" t="s">
        <v>124</v>
      </c>
      <c r="F397" s="68" t="s">
        <v>10</v>
      </c>
      <c r="G397" s="31">
        <v>46176</v>
      </c>
      <c r="H397" s="28" t="s">
        <v>47</v>
      </c>
      <c r="I397" s="67">
        <v>0.25</v>
      </c>
      <c r="J397" s="67">
        <v>0.5</v>
      </c>
      <c r="K397" s="67">
        <v>0.89583333333333337</v>
      </c>
      <c r="L397" s="28">
        <v>360</v>
      </c>
    </row>
    <row r="398" spans="1:12" hidden="1" x14ac:dyDescent="0.3">
      <c r="A398" s="28" t="s">
        <v>46</v>
      </c>
      <c r="B398" s="28" t="s">
        <v>33</v>
      </c>
      <c r="C398" s="29" t="s">
        <v>56</v>
      </c>
      <c r="D398" s="30" t="s">
        <v>457</v>
      </c>
      <c r="E398" s="28" t="s">
        <v>401</v>
      </c>
      <c r="F398" s="68" t="s">
        <v>10</v>
      </c>
      <c r="G398" s="31">
        <v>46177</v>
      </c>
      <c r="H398" s="28" t="s">
        <v>47</v>
      </c>
      <c r="I398" s="67">
        <v>2.0833333333333332E-2</v>
      </c>
      <c r="J398" s="67">
        <v>0.58333333333333337</v>
      </c>
      <c r="K398" s="67">
        <v>0.60416666666666663</v>
      </c>
      <c r="L398" s="28">
        <v>30</v>
      </c>
    </row>
    <row r="399" spans="1:12" hidden="1" x14ac:dyDescent="0.3">
      <c r="A399" s="28" t="s">
        <v>46</v>
      </c>
      <c r="B399" s="28" t="s">
        <v>33</v>
      </c>
      <c r="C399" s="29" t="s">
        <v>56</v>
      </c>
      <c r="D399" s="30" t="s">
        <v>565</v>
      </c>
      <c r="E399" s="28" t="s">
        <v>124</v>
      </c>
      <c r="F399" s="68" t="s">
        <v>10</v>
      </c>
      <c r="G399" s="31">
        <v>46177</v>
      </c>
      <c r="H399" s="28" t="s">
        <v>47</v>
      </c>
      <c r="I399" s="67">
        <v>8.3333333333333329E-2</v>
      </c>
      <c r="J399" s="67">
        <v>0.5</v>
      </c>
      <c r="K399" s="67">
        <v>0.89583333333333337</v>
      </c>
      <c r="L399" s="28">
        <v>120</v>
      </c>
    </row>
    <row r="400" spans="1:12" hidden="1" x14ac:dyDescent="0.3">
      <c r="A400" s="28" t="s">
        <v>46</v>
      </c>
      <c r="B400" s="28" t="s">
        <v>33</v>
      </c>
      <c r="C400" s="29" t="s">
        <v>57</v>
      </c>
      <c r="D400" s="30" t="s">
        <v>564</v>
      </c>
      <c r="E400" s="28" t="s">
        <v>124</v>
      </c>
      <c r="F400" s="69" t="s">
        <v>45</v>
      </c>
      <c r="G400" s="31">
        <v>46177</v>
      </c>
      <c r="H400" s="28" t="s">
        <v>47</v>
      </c>
      <c r="I400" s="67">
        <v>0.25</v>
      </c>
      <c r="J400" s="67">
        <v>0.5</v>
      </c>
      <c r="K400" s="67">
        <v>0.89583333333333337</v>
      </c>
      <c r="L400" s="28">
        <v>360</v>
      </c>
    </row>
    <row r="401" spans="1:12" hidden="1" x14ac:dyDescent="0.3">
      <c r="A401" s="28" t="s">
        <v>46</v>
      </c>
      <c r="B401" s="28" t="s">
        <v>33</v>
      </c>
      <c r="C401" s="29" t="s">
        <v>56</v>
      </c>
      <c r="D401" s="30" t="s">
        <v>457</v>
      </c>
      <c r="E401" s="28" t="s">
        <v>401</v>
      </c>
      <c r="F401" s="68" t="s">
        <v>10</v>
      </c>
      <c r="G401" s="31">
        <v>46178</v>
      </c>
      <c r="H401" s="28" t="s">
        <v>47</v>
      </c>
      <c r="I401" s="67">
        <v>2.0833333333333332E-2</v>
      </c>
      <c r="J401" s="67">
        <v>0.58333333333333337</v>
      </c>
      <c r="K401" s="67">
        <v>0.60416666666666663</v>
      </c>
      <c r="L401" s="28">
        <v>30</v>
      </c>
    </row>
    <row r="402" spans="1:12" hidden="1" x14ac:dyDescent="0.3">
      <c r="A402" s="28" t="s">
        <v>46</v>
      </c>
      <c r="B402" s="28" t="s">
        <v>33</v>
      </c>
      <c r="C402" s="29" t="s">
        <v>57</v>
      </c>
      <c r="D402" s="30" t="s">
        <v>564</v>
      </c>
      <c r="E402" s="28" t="s">
        <v>124</v>
      </c>
      <c r="F402" s="69" t="s">
        <v>45</v>
      </c>
      <c r="G402" s="31">
        <v>46178</v>
      </c>
      <c r="H402" s="28" t="s">
        <v>47</v>
      </c>
      <c r="I402" s="67">
        <v>8.3333333333333329E-2</v>
      </c>
      <c r="J402" s="67">
        <v>0.5</v>
      </c>
      <c r="K402" s="67">
        <v>0.875</v>
      </c>
      <c r="L402" s="28">
        <v>120</v>
      </c>
    </row>
    <row r="403" spans="1:12" hidden="1" x14ac:dyDescent="0.3">
      <c r="A403" s="28" t="s">
        <v>46</v>
      </c>
      <c r="B403" s="28" t="s">
        <v>33</v>
      </c>
      <c r="C403" s="29" t="s">
        <v>72</v>
      </c>
      <c r="D403" s="30" t="s">
        <v>566</v>
      </c>
      <c r="E403" s="28" t="s">
        <v>124</v>
      </c>
      <c r="F403" s="68" t="s">
        <v>10</v>
      </c>
      <c r="G403" s="31">
        <v>46178</v>
      </c>
      <c r="H403" s="28" t="s">
        <v>47</v>
      </c>
      <c r="I403" s="67">
        <v>0.20833333333333334</v>
      </c>
      <c r="J403" s="67">
        <v>0.5</v>
      </c>
      <c r="K403" s="67">
        <v>0.89583333333333337</v>
      </c>
      <c r="L403" s="28">
        <v>300</v>
      </c>
    </row>
    <row r="404" spans="1:12" ht="24.6" hidden="1" x14ac:dyDescent="0.3">
      <c r="A404" s="76" t="s">
        <v>60</v>
      </c>
      <c r="B404" s="76" t="s">
        <v>33</v>
      </c>
      <c r="C404" s="76" t="s">
        <v>64</v>
      </c>
      <c r="D404" s="80" t="s">
        <v>574</v>
      </c>
      <c r="E404" s="76" t="s">
        <v>42</v>
      </c>
      <c r="F404" s="69" t="s">
        <v>45</v>
      </c>
      <c r="G404" s="77">
        <v>46181</v>
      </c>
      <c r="H404" s="76" t="s">
        <v>69</v>
      </c>
      <c r="I404" s="78">
        <v>0.3125</v>
      </c>
      <c r="J404" s="78">
        <v>0.5</v>
      </c>
      <c r="K404" s="78">
        <v>0.83333333333333337</v>
      </c>
      <c r="L404" s="76">
        <v>450</v>
      </c>
    </row>
    <row r="405" spans="1:12" hidden="1" x14ac:dyDescent="0.3">
      <c r="A405" s="76" t="s">
        <v>60</v>
      </c>
      <c r="B405" s="76" t="s">
        <v>33</v>
      </c>
      <c r="C405" s="76" t="s">
        <v>65</v>
      </c>
      <c r="D405" s="80" t="s">
        <v>457</v>
      </c>
      <c r="E405" s="76" t="s">
        <v>401</v>
      </c>
      <c r="F405" s="68" t="s">
        <v>10</v>
      </c>
      <c r="G405" s="77">
        <v>46181</v>
      </c>
      <c r="H405" s="76" t="s">
        <v>69</v>
      </c>
      <c r="I405" s="78">
        <v>2.0833333333333332E-2</v>
      </c>
      <c r="J405" s="78">
        <v>0.58333333333333337</v>
      </c>
      <c r="K405" s="78">
        <v>0.60416666666666663</v>
      </c>
      <c r="L405" s="76">
        <v>30</v>
      </c>
    </row>
    <row r="406" spans="1:12" ht="24.6" hidden="1" x14ac:dyDescent="0.3">
      <c r="A406" s="76" t="s">
        <v>60</v>
      </c>
      <c r="B406" s="76" t="s">
        <v>33</v>
      </c>
      <c r="C406" s="76" t="s">
        <v>64</v>
      </c>
      <c r="D406" s="80" t="s">
        <v>575</v>
      </c>
      <c r="E406" s="76" t="s">
        <v>42</v>
      </c>
      <c r="F406" s="69" t="s">
        <v>45</v>
      </c>
      <c r="G406" s="77">
        <v>46182</v>
      </c>
      <c r="H406" s="76" t="s">
        <v>69</v>
      </c>
      <c r="I406" s="78">
        <v>0.33333333333333331</v>
      </c>
      <c r="J406" s="78">
        <v>0.5</v>
      </c>
      <c r="K406" s="78">
        <v>0.875</v>
      </c>
      <c r="L406" s="76">
        <v>480</v>
      </c>
    </row>
    <row r="407" spans="1:12" hidden="1" x14ac:dyDescent="0.3">
      <c r="A407" s="76" t="s">
        <v>60</v>
      </c>
      <c r="B407" s="76" t="s">
        <v>33</v>
      </c>
      <c r="C407" s="76" t="s">
        <v>65</v>
      </c>
      <c r="D407" s="80" t="s">
        <v>457</v>
      </c>
      <c r="E407" s="76" t="s">
        <v>401</v>
      </c>
      <c r="F407" s="68" t="s">
        <v>10</v>
      </c>
      <c r="G407" s="77">
        <v>46182</v>
      </c>
      <c r="H407" s="76" t="s">
        <v>69</v>
      </c>
      <c r="I407" s="78">
        <v>2.0833333333333332E-2</v>
      </c>
      <c r="J407" s="78">
        <v>0.58333333333333337</v>
      </c>
      <c r="K407" s="78">
        <v>0.60416666666666663</v>
      </c>
      <c r="L407" s="76">
        <v>30</v>
      </c>
    </row>
    <row r="408" spans="1:12" ht="24.6" hidden="1" x14ac:dyDescent="0.3">
      <c r="A408" s="76" t="s">
        <v>60</v>
      </c>
      <c r="B408" s="76" t="s">
        <v>33</v>
      </c>
      <c r="C408" s="76" t="s">
        <v>64</v>
      </c>
      <c r="D408" s="80" t="s">
        <v>576</v>
      </c>
      <c r="E408" s="76" t="s">
        <v>42</v>
      </c>
      <c r="F408" s="68" t="s">
        <v>10</v>
      </c>
      <c r="G408" s="77">
        <v>46183</v>
      </c>
      <c r="H408" s="76" t="s">
        <v>69</v>
      </c>
      <c r="I408" s="78">
        <v>0.29166666666666669</v>
      </c>
      <c r="J408" s="78">
        <v>0.5</v>
      </c>
      <c r="K408" s="78">
        <v>6.833333333333333</v>
      </c>
      <c r="L408" s="76">
        <v>420</v>
      </c>
    </row>
    <row r="409" spans="1:12" hidden="1" x14ac:dyDescent="0.3">
      <c r="A409" s="76" t="s">
        <v>60</v>
      </c>
      <c r="B409" s="76" t="s">
        <v>33</v>
      </c>
      <c r="C409" s="76" t="s">
        <v>65</v>
      </c>
      <c r="D409" s="80" t="s">
        <v>457</v>
      </c>
      <c r="E409" s="76" t="s">
        <v>401</v>
      </c>
      <c r="F409" s="68" t="s">
        <v>10</v>
      </c>
      <c r="G409" s="77">
        <v>46183</v>
      </c>
      <c r="H409" s="76" t="s">
        <v>69</v>
      </c>
      <c r="I409" s="78">
        <v>2.0833333333333332E-2</v>
      </c>
      <c r="J409" s="78">
        <v>0.58333333333333337</v>
      </c>
      <c r="K409" s="78">
        <v>0.60416666666666663</v>
      </c>
      <c r="L409" s="76">
        <v>30</v>
      </c>
    </row>
    <row r="410" spans="1:12" ht="24.6" hidden="1" x14ac:dyDescent="0.3">
      <c r="A410" s="76" t="s">
        <v>60</v>
      </c>
      <c r="B410" s="76" t="s">
        <v>33</v>
      </c>
      <c r="C410" s="76" t="s">
        <v>64</v>
      </c>
      <c r="D410" s="80" t="s">
        <v>577</v>
      </c>
      <c r="E410" s="76" t="s">
        <v>42</v>
      </c>
      <c r="F410" s="68" t="s">
        <v>10</v>
      </c>
      <c r="G410" s="77">
        <v>46184</v>
      </c>
      <c r="H410" s="76" t="s">
        <v>69</v>
      </c>
      <c r="I410" s="78">
        <v>4.8611111111111112E-3</v>
      </c>
      <c r="J410" s="78">
        <v>0.52083333333333337</v>
      </c>
      <c r="K410" s="78">
        <v>0.875</v>
      </c>
      <c r="L410" s="76">
        <v>420</v>
      </c>
    </row>
    <row r="411" spans="1:12" hidden="1" x14ac:dyDescent="0.3">
      <c r="A411" s="76" t="s">
        <v>60</v>
      </c>
      <c r="B411" s="76" t="s">
        <v>33</v>
      </c>
      <c r="C411" s="76" t="s">
        <v>65</v>
      </c>
      <c r="D411" s="80" t="s">
        <v>457</v>
      </c>
      <c r="E411" s="76" t="s">
        <v>401</v>
      </c>
      <c r="F411" s="68" t="s">
        <v>10</v>
      </c>
      <c r="G411" s="77">
        <v>46184</v>
      </c>
      <c r="H411" s="76" t="s">
        <v>69</v>
      </c>
      <c r="I411" s="78">
        <v>2.0833333333333332E-2</v>
      </c>
      <c r="J411" s="78">
        <v>0.58333333333333337</v>
      </c>
      <c r="K411" s="78">
        <v>0.60416666666666663</v>
      </c>
      <c r="L411" s="76">
        <v>30</v>
      </c>
    </row>
    <row r="412" spans="1:12" hidden="1" x14ac:dyDescent="0.3">
      <c r="A412" s="76" t="s">
        <v>60</v>
      </c>
      <c r="B412" s="76" t="s">
        <v>33</v>
      </c>
      <c r="C412" s="76" t="s">
        <v>64</v>
      </c>
      <c r="D412" s="80" t="s">
        <v>578</v>
      </c>
      <c r="E412" s="76" t="s">
        <v>42</v>
      </c>
      <c r="F412" s="68" t="s">
        <v>10</v>
      </c>
      <c r="G412" s="77">
        <v>46185</v>
      </c>
      <c r="H412" s="76" t="s">
        <v>69</v>
      </c>
      <c r="I412" s="78">
        <v>0.3125</v>
      </c>
      <c r="J412" s="78">
        <v>0.5</v>
      </c>
      <c r="K412" s="78">
        <v>0.83333333333333337</v>
      </c>
      <c r="L412" s="76">
        <v>450</v>
      </c>
    </row>
    <row r="413" spans="1:12" hidden="1" x14ac:dyDescent="0.3">
      <c r="A413" s="76" t="s">
        <v>60</v>
      </c>
      <c r="B413" s="76" t="s">
        <v>33</v>
      </c>
      <c r="C413" s="76" t="s">
        <v>65</v>
      </c>
      <c r="D413" s="80" t="s">
        <v>457</v>
      </c>
      <c r="E413" s="76" t="s">
        <v>401</v>
      </c>
      <c r="F413" s="68" t="s">
        <v>10</v>
      </c>
      <c r="G413" s="77">
        <v>46185</v>
      </c>
      <c r="H413" s="76" t="s">
        <v>69</v>
      </c>
      <c r="I413" s="78">
        <v>2.0833333333333332E-2</v>
      </c>
      <c r="J413" s="78">
        <v>0.58333333333333337</v>
      </c>
      <c r="K413" s="78">
        <v>0.60416666666666663</v>
      </c>
      <c r="L413" s="76">
        <v>30</v>
      </c>
    </row>
    <row r="414" spans="1:12" hidden="1" x14ac:dyDescent="0.3">
      <c r="A414" s="28" t="s">
        <v>46</v>
      </c>
      <c r="B414" s="28" t="s">
        <v>33</v>
      </c>
      <c r="C414" s="29" t="s">
        <v>56</v>
      </c>
      <c r="D414" s="30" t="s">
        <v>457</v>
      </c>
      <c r="E414" s="28" t="s">
        <v>401</v>
      </c>
      <c r="F414" s="68" t="s">
        <v>10</v>
      </c>
      <c r="G414" s="31">
        <v>46181</v>
      </c>
      <c r="H414" s="28" t="s">
        <v>47</v>
      </c>
      <c r="I414" s="67">
        <v>2.0833333333333332E-2</v>
      </c>
      <c r="J414" s="67">
        <v>0.58333333333333337</v>
      </c>
      <c r="K414" s="67">
        <v>0.60416666666666663</v>
      </c>
      <c r="L414" s="28">
        <v>30</v>
      </c>
    </row>
    <row r="415" spans="1:12" ht="24.6" hidden="1" x14ac:dyDescent="0.3">
      <c r="A415" s="28" t="s">
        <v>46</v>
      </c>
      <c r="B415" s="28" t="s">
        <v>33</v>
      </c>
      <c r="C415" s="29" t="s">
        <v>57</v>
      </c>
      <c r="D415" s="30" t="s">
        <v>583</v>
      </c>
      <c r="E415" s="28" t="s">
        <v>124</v>
      </c>
      <c r="F415" s="69" t="s">
        <v>45</v>
      </c>
      <c r="G415" s="31">
        <v>46181</v>
      </c>
      <c r="H415" s="28" t="s">
        <v>47</v>
      </c>
      <c r="I415" s="67">
        <v>0.29166666666666669</v>
      </c>
      <c r="J415" s="67">
        <v>0.5</v>
      </c>
      <c r="K415" s="67">
        <v>0.89583333333333337</v>
      </c>
      <c r="L415" s="28">
        <v>420</v>
      </c>
    </row>
    <row r="416" spans="1:12" hidden="1" x14ac:dyDescent="0.3">
      <c r="A416" s="28" t="s">
        <v>46</v>
      </c>
      <c r="B416" s="28" t="s">
        <v>33</v>
      </c>
      <c r="C416" s="29" t="s">
        <v>56</v>
      </c>
      <c r="D416" s="30" t="s">
        <v>457</v>
      </c>
      <c r="E416" s="28" t="s">
        <v>401</v>
      </c>
      <c r="F416" s="68" t="s">
        <v>10</v>
      </c>
      <c r="G416" s="31">
        <v>46182</v>
      </c>
      <c r="H416" s="28" t="s">
        <v>47</v>
      </c>
      <c r="I416" s="67">
        <v>2.0833333333333332E-2</v>
      </c>
      <c r="J416" s="67">
        <v>0.58333333333333337</v>
      </c>
      <c r="K416" s="67">
        <v>0.60416666666666663</v>
      </c>
      <c r="L416" s="28">
        <v>30</v>
      </c>
    </row>
    <row r="417" spans="1:12" hidden="1" x14ac:dyDescent="0.3">
      <c r="A417" s="28" t="s">
        <v>46</v>
      </c>
      <c r="B417" s="28" t="s">
        <v>33</v>
      </c>
      <c r="C417" s="29" t="s">
        <v>57</v>
      </c>
      <c r="D417" s="30" t="s">
        <v>555</v>
      </c>
      <c r="E417" s="28" t="s">
        <v>124</v>
      </c>
      <c r="F417" s="68" t="s">
        <v>10</v>
      </c>
      <c r="G417" s="31">
        <v>46182</v>
      </c>
      <c r="H417" s="28" t="s">
        <v>47</v>
      </c>
      <c r="I417" s="67">
        <v>0.25</v>
      </c>
      <c r="J417" s="67">
        <v>0.5</v>
      </c>
      <c r="K417" s="67">
        <v>0.89583333333333337</v>
      </c>
      <c r="L417" s="28">
        <v>360</v>
      </c>
    </row>
    <row r="418" spans="1:12" ht="24.6" hidden="1" x14ac:dyDescent="0.3">
      <c r="A418" s="28" t="s">
        <v>46</v>
      </c>
      <c r="B418" s="28" t="s">
        <v>33</v>
      </c>
      <c r="C418" s="29" t="s">
        <v>57</v>
      </c>
      <c r="D418" s="30" t="s">
        <v>583</v>
      </c>
      <c r="E418" s="28" t="s">
        <v>124</v>
      </c>
      <c r="F418" s="69" t="s">
        <v>45</v>
      </c>
      <c r="G418" s="31">
        <v>46182</v>
      </c>
      <c r="H418" s="28" t="s">
        <v>47</v>
      </c>
      <c r="I418" s="67">
        <v>8.3333333333333329E-2</v>
      </c>
      <c r="J418" s="67">
        <v>0.5</v>
      </c>
      <c r="K418" s="67">
        <v>0.89583333333333337</v>
      </c>
      <c r="L418" s="28">
        <v>120</v>
      </c>
    </row>
    <row r="419" spans="1:12" hidden="1" x14ac:dyDescent="0.3">
      <c r="A419" s="28" t="s">
        <v>46</v>
      </c>
      <c r="B419" s="28" t="s">
        <v>33</v>
      </c>
      <c r="C419" s="29" t="s">
        <v>56</v>
      </c>
      <c r="D419" s="30" t="s">
        <v>457</v>
      </c>
      <c r="E419" s="28" t="s">
        <v>401</v>
      </c>
      <c r="F419" s="68" t="s">
        <v>10</v>
      </c>
      <c r="G419" s="31">
        <v>46183</v>
      </c>
      <c r="H419" s="28" t="s">
        <v>47</v>
      </c>
      <c r="I419" s="67">
        <v>2.0833333333333332E-2</v>
      </c>
      <c r="J419" s="67">
        <v>0.58333333333333337</v>
      </c>
      <c r="K419" s="67">
        <v>0.60416666666666663</v>
      </c>
      <c r="L419" s="28">
        <v>30</v>
      </c>
    </row>
    <row r="420" spans="1:12" ht="24.6" hidden="1" x14ac:dyDescent="0.3">
      <c r="A420" s="28" t="s">
        <v>46</v>
      </c>
      <c r="B420" s="28" t="s">
        <v>33</v>
      </c>
      <c r="C420" s="29" t="s">
        <v>57</v>
      </c>
      <c r="D420" s="30" t="s">
        <v>583</v>
      </c>
      <c r="E420" s="28" t="s">
        <v>124</v>
      </c>
      <c r="F420" s="69" t="s">
        <v>45</v>
      </c>
      <c r="G420" s="31">
        <v>46183</v>
      </c>
      <c r="H420" s="28" t="s">
        <v>47</v>
      </c>
      <c r="I420" s="67">
        <v>0.25</v>
      </c>
      <c r="J420" s="67">
        <v>0.5</v>
      </c>
      <c r="K420" s="67">
        <v>0.89583333333333337</v>
      </c>
      <c r="L420" s="28">
        <v>360</v>
      </c>
    </row>
    <row r="421" spans="1:12" hidden="1" x14ac:dyDescent="0.3">
      <c r="A421" s="28" t="s">
        <v>46</v>
      </c>
      <c r="B421" s="28" t="s">
        <v>33</v>
      </c>
      <c r="C421" s="29" t="s">
        <v>56</v>
      </c>
      <c r="D421" s="30" t="s">
        <v>457</v>
      </c>
      <c r="E421" s="28" t="s">
        <v>401</v>
      </c>
      <c r="F421" s="68" t="s">
        <v>10</v>
      </c>
      <c r="G421" s="31">
        <v>46184</v>
      </c>
      <c r="H421" s="28" t="s">
        <v>47</v>
      </c>
      <c r="I421" s="67">
        <v>2.0833333333333332E-2</v>
      </c>
      <c r="J421" s="67">
        <v>0.58333333333333337</v>
      </c>
      <c r="K421" s="67">
        <v>0.60416666666666663</v>
      </c>
      <c r="L421" s="28">
        <v>30</v>
      </c>
    </row>
    <row r="422" spans="1:12" hidden="1" x14ac:dyDescent="0.3">
      <c r="A422" s="28" t="s">
        <v>46</v>
      </c>
      <c r="B422" s="28" t="s">
        <v>33</v>
      </c>
      <c r="C422" s="29" t="s">
        <v>56</v>
      </c>
      <c r="D422" s="30" t="s">
        <v>563</v>
      </c>
      <c r="E422" s="28" t="s">
        <v>124</v>
      </c>
      <c r="F422" s="68" t="s">
        <v>10</v>
      </c>
      <c r="G422" s="31">
        <v>46184</v>
      </c>
      <c r="H422" s="28" t="s">
        <v>47</v>
      </c>
      <c r="I422" s="67">
        <v>4.1666666666666664E-2</v>
      </c>
      <c r="J422" s="67">
        <v>0.5</v>
      </c>
      <c r="K422" s="67">
        <v>0.89583333333333337</v>
      </c>
      <c r="L422" s="28">
        <v>60</v>
      </c>
    </row>
    <row r="423" spans="1:12" hidden="1" x14ac:dyDescent="0.3">
      <c r="A423" s="28" t="s">
        <v>46</v>
      </c>
      <c r="B423" s="28" t="s">
        <v>33</v>
      </c>
      <c r="C423" s="29" t="s">
        <v>56</v>
      </c>
      <c r="D423" s="30" t="s">
        <v>584</v>
      </c>
      <c r="E423" s="28" t="s">
        <v>124</v>
      </c>
      <c r="F423" s="68" t="s">
        <v>10</v>
      </c>
      <c r="G423" s="31">
        <v>46184</v>
      </c>
      <c r="H423" s="28" t="s">
        <v>47</v>
      </c>
      <c r="I423" s="67">
        <v>2.0833333333333332E-2</v>
      </c>
      <c r="J423" s="67">
        <v>0.5</v>
      </c>
      <c r="K423" s="67">
        <v>0.89583333333333337</v>
      </c>
      <c r="L423" s="28">
        <v>30</v>
      </c>
    </row>
    <row r="424" spans="1:12" ht="24.6" hidden="1" x14ac:dyDescent="0.3">
      <c r="A424" s="28" t="s">
        <v>46</v>
      </c>
      <c r="B424" s="28" t="s">
        <v>33</v>
      </c>
      <c r="C424" s="29" t="s">
        <v>57</v>
      </c>
      <c r="D424" s="30" t="s">
        <v>583</v>
      </c>
      <c r="E424" s="28" t="s">
        <v>124</v>
      </c>
      <c r="F424" s="69" t="s">
        <v>45</v>
      </c>
      <c r="G424" s="31">
        <v>46184</v>
      </c>
      <c r="H424" s="28" t="s">
        <v>47</v>
      </c>
      <c r="I424" s="67">
        <v>0.25</v>
      </c>
      <c r="J424" s="67">
        <v>0.5</v>
      </c>
      <c r="K424" s="67">
        <v>0.89583333333333337</v>
      </c>
      <c r="L424" s="28">
        <v>360</v>
      </c>
    </row>
    <row r="425" spans="1:12" hidden="1" x14ac:dyDescent="0.3">
      <c r="A425" s="28" t="s">
        <v>46</v>
      </c>
      <c r="B425" s="28" t="s">
        <v>33</v>
      </c>
      <c r="C425" s="29" t="s">
        <v>56</v>
      </c>
      <c r="D425" s="30" t="s">
        <v>457</v>
      </c>
      <c r="E425" s="28" t="s">
        <v>401</v>
      </c>
      <c r="F425" s="68" t="s">
        <v>10</v>
      </c>
      <c r="G425" s="31">
        <v>46185</v>
      </c>
      <c r="H425" s="28" t="s">
        <v>47</v>
      </c>
      <c r="I425" s="67">
        <v>2.0833333333333332E-2</v>
      </c>
      <c r="J425" s="67">
        <v>0.58333333333333337</v>
      </c>
      <c r="K425" s="67">
        <v>0.60416666666666663</v>
      </c>
      <c r="L425" s="28">
        <v>30</v>
      </c>
    </row>
    <row r="426" spans="1:12" ht="24.6" hidden="1" x14ac:dyDescent="0.3">
      <c r="A426" s="28" t="s">
        <v>46</v>
      </c>
      <c r="B426" s="28" t="s">
        <v>33</v>
      </c>
      <c r="C426" s="29" t="s">
        <v>57</v>
      </c>
      <c r="D426" s="30" t="s">
        <v>583</v>
      </c>
      <c r="E426" s="28" t="s">
        <v>124</v>
      </c>
      <c r="F426" s="69" t="s">
        <v>45</v>
      </c>
      <c r="G426" s="31">
        <v>46185</v>
      </c>
      <c r="H426" s="28" t="s">
        <v>47</v>
      </c>
      <c r="I426" s="67">
        <v>0.20833333333333334</v>
      </c>
      <c r="J426" s="67">
        <v>0.5</v>
      </c>
      <c r="K426" s="67">
        <v>0.875</v>
      </c>
      <c r="L426" s="28">
        <v>300</v>
      </c>
    </row>
    <row r="427" spans="1:12" hidden="1" x14ac:dyDescent="0.3">
      <c r="A427" s="28" t="s">
        <v>46</v>
      </c>
      <c r="B427" s="28" t="s">
        <v>33</v>
      </c>
      <c r="C427" s="29" t="s">
        <v>72</v>
      </c>
      <c r="D427" s="30" t="s">
        <v>585</v>
      </c>
      <c r="E427" s="28" t="s">
        <v>124</v>
      </c>
      <c r="F427" s="68" t="s">
        <v>10</v>
      </c>
      <c r="G427" s="31">
        <v>46185</v>
      </c>
      <c r="H427" s="28" t="s">
        <v>47</v>
      </c>
      <c r="I427" s="67">
        <v>8.3333333333333329E-2</v>
      </c>
      <c r="J427" s="67">
        <v>0.5</v>
      </c>
      <c r="K427" s="67">
        <v>0.89583333333333337</v>
      </c>
      <c r="L427" s="28">
        <v>120</v>
      </c>
    </row>
    <row r="428" spans="1:12" ht="24.6" hidden="1" x14ac:dyDescent="0.3">
      <c r="A428" s="76" t="s">
        <v>60</v>
      </c>
      <c r="B428" s="76" t="s">
        <v>33</v>
      </c>
      <c r="C428" s="76" t="s">
        <v>64</v>
      </c>
      <c r="D428" s="80" t="s">
        <v>595</v>
      </c>
      <c r="E428" s="76" t="s">
        <v>42</v>
      </c>
      <c r="F428" s="69" t="s">
        <v>45</v>
      </c>
      <c r="G428" s="77">
        <v>46188</v>
      </c>
      <c r="H428" s="76" t="s">
        <v>69</v>
      </c>
      <c r="I428" s="78">
        <v>0.3125</v>
      </c>
      <c r="J428" s="78">
        <v>0.5</v>
      </c>
      <c r="K428" s="78">
        <v>0.83333333333333337</v>
      </c>
      <c r="L428" s="76">
        <v>450</v>
      </c>
    </row>
    <row r="429" spans="1:12" hidden="1" x14ac:dyDescent="0.3">
      <c r="A429" s="76" t="s">
        <v>60</v>
      </c>
      <c r="B429" s="76" t="s">
        <v>33</v>
      </c>
      <c r="C429" s="76" t="s">
        <v>65</v>
      </c>
      <c r="D429" s="80" t="s">
        <v>457</v>
      </c>
      <c r="E429" s="76" t="s">
        <v>401</v>
      </c>
      <c r="F429" s="68" t="s">
        <v>10</v>
      </c>
      <c r="G429" s="77">
        <v>46188</v>
      </c>
      <c r="H429" s="76" t="s">
        <v>69</v>
      </c>
      <c r="I429" s="78">
        <v>2.0833333333333332E-2</v>
      </c>
      <c r="J429" s="78">
        <v>0.58333333333333337</v>
      </c>
      <c r="K429" s="78">
        <v>0.60416666666666663</v>
      </c>
      <c r="L429" s="76">
        <v>30</v>
      </c>
    </row>
    <row r="430" spans="1:12" ht="24.6" hidden="1" x14ac:dyDescent="0.3">
      <c r="A430" s="76" t="s">
        <v>60</v>
      </c>
      <c r="B430" s="76" t="s">
        <v>33</v>
      </c>
      <c r="C430" s="76" t="s">
        <v>64</v>
      </c>
      <c r="D430" s="80" t="s">
        <v>596</v>
      </c>
      <c r="E430" s="76" t="s">
        <v>42</v>
      </c>
      <c r="F430" s="69" t="s">
        <v>45</v>
      </c>
      <c r="G430" s="77">
        <v>46189</v>
      </c>
      <c r="H430" s="76" t="s">
        <v>69</v>
      </c>
      <c r="I430" s="78">
        <v>0.33333333333333331</v>
      </c>
      <c r="J430" s="78">
        <v>0.5</v>
      </c>
      <c r="K430" s="78">
        <v>0.875</v>
      </c>
      <c r="L430" s="76">
        <v>480</v>
      </c>
    </row>
    <row r="431" spans="1:12" hidden="1" x14ac:dyDescent="0.3">
      <c r="A431" s="76" t="s">
        <v>60</v>
      </c>
      <c r="B431" s="76" t="s">
        <v>33</v>
      </c>
      <c r="C431" s="76" t="s">
        <v>65</v>
      </c>
      <c r="D431" s="80" t="s">
        <v>457</v>
      </c>
      <c r="E431" s="76" t="s">
        <v>401</v>
      </c>
      <c r="F431" s="68" t="s">
        <v>10</v>
      </c>
      <c r="G431" s="77">
        <v>46189</v>
      </c>
      <c r="H431" s="76" t="s">
        <v>69</v>
      </c>
      <c r="I431" s="78">
        <v>2.0833333333333332E-2</v>
      </c>
      <c r="J431" s="78">
        <v>0.58333333333333337</v>
      </c>
      <c r="K431" s="78">
        <v>0.60416666666666663</v>
      </c>
      <c r="L431" s="76">
        <v>30</v>
      </c>
    </row>
    <row r="432" spans="1:12" ht="24.6" hidden="1" x14ac:dyDescent="0.3">
      <c r="A432" s="76" t="s">
        <v>60</v>
      </c>
      <c r="B432" s="76" t="s">
        <v>33</v>
      </c>
      <c r="C432" s="76" t="s">
        <v>64</v>
      </c>
      <c r="D432" s="80" t="s">
        <v>597</v>
      </c>
      <c r="E432" s="76" t="s">
        <v>42</v>
      </c>
      <c r="F432" s="68" t="s">
        <v>10</v>
      </c>
      <c r="G432" s="77">
        <v>46190</v>
      </c>
      <c r="H432" s="76" t="s">
        <v>69</v>
      </c>
      <c r="I432" s="78">
        <v>0.29166666666666669</v>
      </c>
      <c r="J432" s="78">
        <v>0.5</v>
      </c>
      <c r="K432" s="78">
        <v>6.833333333333333</v>
      </c>
      <c r="L432" s="76">
        <v>420</v>
      </c>
    </row>
    <row r="433" spans="1:12" hidden="1" x14ac:dyDescent="0.3">
      <c r="A433" s="76" t="s">
        <v>60</v>
      </c>
      <c r="B433" s="76" t="s">
        <v>33</v>
      </c>
      <c r="C433" s="76" t="s">
        <v>65</v>
      </c>
      <c r="D433" s="80" t="s">
        <v>457</v>
      </c>
      <c r="E433" s="76" t="s">
        <v>401</v>
      </c>
      <c r="F433" s="68" t="s">
        <v>10</v>
      </c>
      <c r="G433" s="77">
        <v>46190</v>
      </c>
      <c r="H433" s="76" t="s">
        <v>69</v>
      </c>
      <c r="I433" s="78">
        <v>2.0833333333333332E-2</v>
      </c>
      <c r="J433" s="78">
        <v>0.58333333333333337</v>
      </c>
      <c r="K433" s="78">
        <v>0.60416666666666663</v>
      </c>
      <c r="L433" s="76">
        <v>30</v>
      </c>
    </row>
    <row r="434" spans="1:12" ht="24.6" hidden="1" x14ac:dyDescent="0.3">
      <c r="A434" s="76" t="s">
        <v>60</v>
      </c>
      <c r="B434" s="76" t="s">
        <v>33</v>
      </c>
      <c r="C434" s="76" t="s">
        <v>64</v>
      </c>
      <c r="D434" s="80" t="s">
        <v>598</v>
      </c>
      <c r="E434" s="76" t="s">
        <v>42</v>
      </c>
      <c r="F434" s="69" t="s">
        <v>45</v>
      </c>
      <c r="G434" s="77">
        <v>46191</v>
      </c>
      <c r="H434" s="76" t="s">
        <v>69</v>
      </c>
      <c r="I434" s="78">
        <v>4.8611111111111112E-3</v>
      </c>
      <c r="J434" s="78">
        <v>0.52083333333333337</v>
      </c>
      <c r="K434" s="78">
        <v>0.875</v>
      </c>
      <c r="L434" s="76">
        <v>420</v>
      </c>
    </row>
    <row r="435" spans="1:12" hidden="1" x14ac:dyDescent="0.3">
      <c r="A435" s="76" t="s">
        <v>60</v>
      </c>
      <c r="B435" s="76" t="s">
        <v>33</v>
      </c>
      <c r="C435" s="76" t="s">
        <v>65</v>
      </c>
      <c r="D435" s="80" t="s">
        <v>457</v>
      </c>
      <c r="E435" s="76" t="s">
        <v>401</v>
      </c>
      <c r="F435" s="68" t="s">
        <v>10</v>
      </c>
      <c r="G435" s="77">
        <v>46191</v>
      </c>
      <c r="H435" s="76" t="s">
        <v>69</v>
      </c>
      <c r="I435" s="78">
        <v>2.0833333333333332E-2</v>
      </c>
      <c r="J435" s="78">
        <v>0.58333333333333337</v>
      </c>
      <c r="K435" s="78">
        <v>0.60416666666666663</v>
      </c>
      <c r="L435" s="76">
        <v>30</v>
      </c>
    </row>
    <row r="436" spans="1:12" ht="36.6" hidden="1" x14ac:dyDescent="0.3">
      <c r="A436" s="76" t="s">
        <v>60</v>
      </c>
      <c r="B436" s="76" t="s">
        <v>33</v>
      </c>
      <c r="C436" s="76" t="s">
        <v>64</v>
      </c>
      <c r="D436" s="80" t="s">
        <v>599</v>
      </c>
      <c r="E436" s="76" t="s">
        <v>42</v>
      </c>
      <c r="F436" s="68" t="s">
        <v>10</v>
      </c>
      <c r="G436" s="77">
        <v>46192</v>
      </c>
      <c r="H436" s="76" t="s">
        <v>69</v>
      </c>
      <c r="I436" s="78">
        <v>0.3125</v>
      </c>
      <c r="J436" s="78">
        <v>0.5</v>
      </c>
      <c r="K436" s="78">
        <v>0.83333333333333337</v>
      </c>
      <c r="L436" s="76">
        <v>450</v>
      </c>
    </row>
    <row r="437" spans="1:12" hidden="1" x14ac:dyDescent="0.3">
      <c r="A437" s="76" t="s">
        <v>60</v>
      </c>
      <c r="B437" s="76" t="s">
        <v>33</v>
      </c>
      <c r="C437" s="76" t="s">
        <v>65</v>
      </c>
      <c r="D437" s="80" t="s">
        <v>457</v>
      </c>
      <c r="E437" s="76" t="s">
        <v>401</v>
      </c>
      <c r="F437" s="68" t="s">
        <v>10</v>
      </c>
      <c r="G437" s="77">
        <v>46192</v>
      </c>
      <c r="H437" s="76" t="s">
        <v>69</v>
      </c>
      <c r="I437" s="78">
        <v>2.0833333333333332E-2</v>
      </c>
      <c r="J437" s="78">
        <v>0.58333333333333337</v>
      </c>
      <c r="K437" s="78">
        <v>0.60416666666666663</v>
      </c>
      <c r="L437" s="76">
        <v>30</v>
      </c>
    </row>
    <row r="438" spans="1:12" hidden="1" x14ac:dyDescent="0.3">
      <c r="A438" s="28" t="s">
        <v>46</v>
      </c>
      <c r="B438" s="28" t="s">
        <v>33</v>
      </c>
      <c r="C438" s="29" t="s">
        <v>56</v>
      </c>
      <c r="D438" s="30" t="s">
        <v>457</v>
      </c>
      <c r="E438" s="28" t="s">
        <v>401</v>
      </c>
      <c r="F438" s="68" t="s">
        <v>10</v>
      </c>
      <c r="G438" s="31">
        <v>46188</v>
      </c>
      <c r="H438" s="28" t="s">
        <v>47</v>
      </c>
      <c r="I438" s="67">
        <v>2.0833333333333332E-2</v>
      </c>
      <c r="J438" s="67">
        <v>0.58333333333333337</v>
      </c>
      <c r="K438" s="67">
        <v>0.60416666666666663</v>
      </c>
      <c r="L438" s="28">
        <v>30</v>
      </c>
    </row>
    <row r="439" spans="1:12" hidden="1" x14ac:dyDescent="0.3">
      <c r="A439" s="28" t="s">
        <v>46</v>
      </c>
      <c r="B439" s="28" t="s">
        <v>33</v>
      </c>
      <c r="C439" s="29" t="s">
        <v>72</v>
      </c>
      <c r="D439" s="30" t="s">
        <v>587</v>
      </c>
      <c r="E439" s="28" t="s">
        <v>124</v>
      </c>
      <c r="F439" s="69" t="s">
        <v>45</v>
      </c>
      <c r="G439" s="31">
        <v>46188</v>
      </c>
      <c r="H439" s="28" t="s">
        <v>47</v>
      </c>
      <c r="I439" s="67">
        <v>8.3333333333333329E-2</v>
      </c>
      <c r="J439" s="67">
        <v>0.5</v>
      </c>
      <c r="K439" s="67">
        <v>0.89583333333333337</v>
      </c>
      <c r="L439" s="28">
        <v>120</v>
      </c>
    </row>
    <row r="440" spans="1:12" ht="24.6" hidden="1" x14ac:dyDescent="0.3">
      <c r="A440" s="28" t="s">
        <v>46</v>
      </c>
      <c r="B440" s="28" t="s">
        <v>33</v>
      </c>
      <c r="C440" s="29" t="s">
        <v>72</v>
      </c>
      <c r="D440" s="30" t="s">
        <v>594</v>
      </c>
      <c r="E440" s="28" t="s">
        <v>124</v>
      </c>
      <c r="F440" s="69" t="s">
        <v>45</v>
      </c>
      <c r="G440" s="31">
        <v>46188</v>
      </c>
      <c r="H440" s="28" t="s">
        <v>47</v>
      </c>
      <c r="I440" s="67">
        <v>0.22916666666666666</v>
      </c>
      <c r="J440" s="67">
        <v>0.5</v>
      </c>
      <c r="K440" s="67">
        <v>0.89583333333333337</v>
      </c>
      <c r="L440" s="28">
        <v>330</v>
      </c>
    </row>
    <row r="441" spans="1:12" hidden="1" x14ac:dyDescent="0.3">
      <c r="A441" s="28" t="s">
        <v>46</v>
      </c>
      <c r="B441" s="28" t="s">
        <v>33</v>
      </c>
      <c r="C441" s="29" t="s">
        <v>56</v>
      </c>
      <c r="D441" s="30" t="s">
        <v>457</v>
      </c>
      <c r="E441" s="28" t="s">
        <v>401</v>
      </c>
      <c r="F441" s="68" t="s">
        <v>10</v>
      </c>
      <c r="G441" s="31">
        <v>46189</v>
      </c>
      <c r="H441" s="28" t="s">
        <v>47</v>
      </c>
      <c r="I441" s="67">
        <v>2.0833333333333332E-2</v>
      </c>
      <c r="J441" s="67">
        <v>0.58333333333333337</v>
      </c>
      <c r="K441" s="67">
        <v>0.60416666666666663</v>
      </c>
      <c r="L441" s="28">
        <v>30</v>
      </c>
    </row>
    <row r="442" spans="1:12" hidden="1" x14ac:dyDescent="0.3">
      <c r="A442" s="28" t="s">
        <v>46</v>
      </c>
      <c r="B442" s="28" t="s">
        <v>33</v>
      </c>
      <c r="C442" s="29" t="s">
        <v>57</v>
      </c>
      <c r="D442" s="30" t="s">
        <v>555</v>
      </c>
      <c r="E442" s="28" t="s">
        <v>124</v>
      </c>
      <c r="F442" s="68" t="s">
        <v>10</v>
      </c>
      <c r="G442" s="31">
        <v>46189</v>
      </c>
      <c r="H442" s="28" t="s">
        <v>47</v>
      </c>
      <c r="I442" s="67">
        <v>0.25</v>
      </c>
      <c r="J442" s="67">
        <v>0.5</v>
      </c>
      <c r="K442" s="67">
        <v>0.89583333333333337</v>
      </c>
      <c r="L442" s="28">
        <v>360</v>
      </c>
    </row>
    <row r="443" spans="1:12" ht="24.6" hidden="1" x14ac:dyDescent="0.3">
      <c r="A443" s="28" t="s">
        <v>46</v>
      </c>
      <c r="B443" s="28" t="s">
        <v>33</v>
      </c>
      <c r="C443" s="29" t="s">
        <v>72</v>
      </c>
      <c r="D443" s="30" t="s">
        <v>593</v>
      </c>
      <c r="E443" s="28" t="s">
        <v>124</v>
      </c>
      <c r="F443" s="69" t="s">
        <v>45</v>
      </c>
      <c r="G443" s="31">
        <v>46189</v>
      </c>
      <c r="H443" s="28" t="s">
        <v>47</v>
      </c>
      <c r="I443" s="67">
        <v>0.125</v>
      </c>
      <c r="J443" s="67">
        <v>0.5</v>
      </c>
      <c r="K443" s="67">
        <v>0.89583333333333337</v>
      </c>
      <c r="L443" s="28">
        <v>180</v>
      </c>
    </row>
    <row r="444" spans="1:12" hidden="1" x14ac:dyDescent="0.3">
      <c r="A444" s="28" t="s">
        <v>46</v>
      </c>
      <c r="B444" s="28" t="s">
        <v>33</v>
      </c>
      <c r="C444" s="29" t="s">
        <v>56</v>
      </c>
      <c r="D444" s="30" t="s">
        <v>457</v>
      </c>
      <c r="E444" s="28" t="s">
        <v>401</v>
      </c>
      <c r="F444" s="68" t="s">
        <v>10</v>
      </c>
      <c r="G444" s="31">
        <v>46190</v>
      </c>
      <c r="H444" s="28" t="s">
        <v>47</v>
      </c>
      <c r="I444" s="67">
        <v>2.0833333333333332E-2</v>
      </c>
      <c r="J444" s="67">
        <v>0.58333333333333337</v>
      </c>
      <c r="K444" s="67">
        <v>0.60416666666666663</v>
      </c>
      <c r="L444" s="28">
        <v>30</v>
      </c>
    </row>
    <row r="445" spans="1:12" hidden="1" x14ac:dyDescent="0.3">
      <c r="A445" s="28" t="s">
        <v>46</v>
      </c>
      <c r="B445" s="28" t="s">
        <v>33</v>
      </c>
      <c r="C445" s="29" t="s">
        <v>56</v>
      </c>
      <c r="D445" s="30" t="s">
        <v>591</v>
      </c>
      <c r="E445" s="28" t="s">
        <v>124</v>
      </c>
      <c r="F445" s="68" t="s">
        <v>10</v>
      </c>
      <c r="G445" s="31">
        <v>46190</v>
      </c>
      <c r="H445" s="28" t="s">
        <v>47</v>
      </c>
      <c r="I445" s="67">
        <v>2.0833333333333332E-2</v>
      </c>
      <c r="J445" s="67">
        <v>0.58333333333333337</v>
      </c>
      <c r="K445" s="67">
        <v>0.60416666666666663</v>
      </c>
      <c r="L445" s="28">
        <v>30</v>
      </c>
    </row>
    <row r="446" spans="1:12" ht="24.6" hidden="1" x14ac:dyDescent="0.3">
      <c r="A446" s="28" t="s">
        <v>46</v>
      </c>
      <c r="B446" s="28" t="s">
        <v>33</v>
      </c>
      <c r="C446" s="29" t="s">
        <v>72</v>
      </c>
      <c r="D446" s="30" t="s">
        <v>592</v>
      </c>
      <c r="E446" s="28" t="s">
        <v>124</v>
      </c>
      <c r="F446" s="69" t="s">
        <v>45</v>
      </c>
      <c r="G446" s="31">
        <v>46190</v>
      </c>
      <c r="H446" s="28" t="s">
        <v>47</v>
      </c>
      <c r="I446" s="67">
        <v>0.25</v>
      </c>
      <c r="J446" s="67">
        <v>0.5</v>
      </c>
      <c r="K446" s="67">
        <v>0.89583333333333337</v>
      </c>
      <c r="L446" s="28">
        <v>360</v>
      </c>
    </row>
    <row r="447" spans="1:12" hidden="1" x14ac:dyDescent="0.3">
      <c r="A447" s="28" t="s">
        <v>46</v>
      </c>
      <c r="B447" s="28" t="s">
        <v>33</v>
      </c>
      <c r="C447" s="29" t="s">
        <v>56</v>
      </c>
      <c r="D447" s="30" t="s">
        <v>457</v>
      </c>
      <c r="E447" s="28" t="s">
        <v>401</v>
      </c>
      <c r="F447" s="68" t="s">
        <v>10</v>
      </c>
      <c r="G447" s="31">
        <v>46191</v>
      </c>
      <c r="H447" s="28" t="s">
        <v>47</v>
      </c>
      <c r="I447" s="67">
        <v>2.0833333333333332E-2</v>
      </c>
      <c r="J447" s="67">
        <v>0.58333333333333337</v>
      </c>
      <c r="K447" s="67">
        <v>0.60416666666666663</v>
      </c>
      <c r="L447" s="28">
        <v>30</v>
      </c>
    </row>
    <row r="448" spans="1:12" hidden="1" x14ac:dyDescent="0.3">
      <c r="A448" s="28" t="s">
        <v>46</v>
      </c>
      <c r="B448" s="28" t="s">
        <v>33</v>
      </c>
      <c r="C448" s="29" t="s">
        <v>56</v>
      </c>
      <c r="D448" s="30" t="s">
        <v>563</v>
      </c>
      <c r="E448" s="28" t="s">
        <v>124</v>
      </c>
      <c r="F448" s="68" t="s">
        <v>10</v>
      </c>
      <c r="G448" s="31">
        <v>46191</v>
      </c>
      <c r="H448" s="28" t="s">
        <v>47</v>
      </c>
      <c r="I448" s="67">
        <v>4.1666666666666664E-2</v>
      </c>
      <c r="J448" s="67">
        <v>0.5</v>
      </c>
      <c r="K448" s="67">
        <v>0.89583333333333337</v>
      </c>
      <c r="L448" s="28">
        <v>60</v>
      </c>
    </row>
    <row r="449" spans="1:12" ht="24.6" hidden="1" x14ac:dyDescent="0.3">
      <c r="A449" s="28" t="s">
        <v>46</v>
      </c>
      <c r="B449" s="28" t="s">
        <v>33</v>
      </c>
      <c r="C449" s="29" t="s">
        <v>57</v>
      </c>
      <c r="D449" s="30" t="s">
        <v>589</v>
      </c>
      <c r="E449" s="28" t="s">
        <v>124</v>
      </c>
      <c r="F449" s="69" t="s">
        <v>45</v>
      </c>
      <c r="G449" s="31">
        <v>46191</v>
      </c>
      <c r="H449" s="28" t="s">
        <v>47</v>
      </c>
      <c r="I449" s="67">
        <v>0.25</v>
      </c>
      <c r="J449" s="67">
        <v>0.5</v>
      </c>
      <c r="K449" s="67">
        <v>0.89583333333333337</v>
      </c>
      <c r="L449" s="28">
        <v>360</v>
      </c>
    </row>
    <row r="450" spans="1:12" hidden="1" x14ac:dyDescent="0.3">
      <c r="A450" s="28" t="s">
        <v>46</v>
      </c>
      <c r="B450" s="28" t="s">
        <v>33</v>
      </c>
      <c r="C450" s="29" t="s">
        <v>56</v>
      </c>
      <c r="D450" s="30" t="s">
        <v>457</v>
      </c>
      <c r="E450" s="28" t="s">
        <v>401</v>
      </c>
      <c r="F450" s="68" t="s">
        <v>10</v>
      </c>
      <c r="G450" s="31">
        <v>46192</v>
      </c>
      <c r="H450" s="28" t="s">
        <v>47</v>
      </c>
      <c r="I450" s="67">
        <v>2.0833333333333332E-2</v>
      </c>
      <c r="J450" s="67">
        <v>0.58333333333333337</v>
      </c>
      <c r="K450" s="67">
        <v>0.60416666666666663</v>
      </c>
      <c r="L450" s="28">
        <v>30</v>
      </c>
    </row>
    <row r="451" spans="1:12" hidden="1" x14ac:dyDescent="0.3">
      <c r="A451" s="28" t="s">
        <v>46</v>
      </c>
      <c r="B451" s="28" t="s">
        <v>33</v>
      </c>
      <c r="C451" s="29" t="s">
        <v>72</v>
      </c>
      <c r="D451" s="30" t="s">
        <v>588</v>
      </c>
      <c r="E451" s="28" t="s">
        <v>124</v>
      </c>
      <c r="F451" s="69" t="s">
        <v>45</v>
      </c>
      <c r="G451" s="31">
        <v>46192</v>
      </c>
      <c r="H451" s="28" t="s">
        <v>47</v>
      </c>
      <c r="I451" s="67">
        <v>0.20833333333333334</v>
      </c>
      <c r="J451" s="67">
        <v>0.5</v>
      </c>
      <c r="K451" s="67">
        <v>0.875</v>
      </c>
      <c r="L451" s="28">
        <v>300</v>
      </c>
    </row>
    <row r="452" spans="1:12" hidden="1" x14ac:dyDescent="0.3">
      <c r="A452" s="28" t="s">
        <v>46</v>
      </c>
      <c r="B452" s="28" t="s">
        <v>33</v>
      </c>
      <c r="C452" s="29" t="s">
        <v>72</v>
      </c>
      <c r="D452" s="30" t="s">
        <v>590</v>
      </c>
      <c r="E452" s="28" t="s">
        <v>124</v>
      </c>
      <c r="F452" s="69" t="s">
        <v>45</v>
      </c>
      <c r="G452" s="31">
        <v>46192</v>
      </c>
      <c r="H452" s="28" t="s">
        <v>47</v>
      </c>
      <c r="I452" s="67">
        <v>8.3333333333333329E-2</v>
      </c>
      <c r="J452" s="67">
        <v>0.5</v>
      </c>
      <c r="K452" s="67">
        <v>0.89583333333333337</v>
      </c>
      <c r="L452" s="28">
        <v>120</v>
      </c>
    </row>
    <row r="453" spans="1:12" ht="24.6" hidden="1" x14ac:dyDescent="0.3">
      <c r="A453" s="76" t="s">
        <v>60</v>
      </c>
      <c r="B453" s="76" t="s">
        <v>33</v>
      </c>
      <c r="C453" s="76" t="s">
        <v>64</v>
      </c>
      <c r="D453" s="80" t="s">
        <v>610</v>
      </c>
      <c r="E453" s="76" t="s">
        <v>42</v>
      </c>
      <c r="F453" s="68" t="s">
        <v>10</v>
      </c>
      <c r="G453" s="77">
        <v>46195</v>
      </c>
      <c r="H453" s="76" t="s">
        <v>69</v>
      </c>
      <c r="I453" s="78">
        <v>0.14583333333333334</v>
      </c>
      <c r="J453" s="78">
        <v>0.5</v>
      </c>
      <c r="K453" s="78">
        <v>0.70833333333333337</v>
      </c>
      <c r="L453" s="76">
        <v>210</v>
      </c>
    </row>
    <row r="454" spans="1:12" ht="24.6" hidden="1" x14ac:dyDescent="0.3">
      <c r="A454" s="76" t="s">
        <v>60</v>
      </c>
      <c r="B454" s="76" t="s">
        <v>33</v>
      </c>
      <c r="C454" s="76" t="s">
        <v>64</v>
      </c>
      <c r="D454" s="80" t="s">
        <v>607</v>
      </c>
      <c r="E454" s="76" t="s">
        <v>42</v>
      </c>
      <c r="F454" s="69" t="s">
        <v>45</v>
      </c>
      <c r="G454" s="77">
        <v>46195</v>
      </c>
      <c r="H454" s="76" t="s">
        <v>69</v>
      </c>
      <c r="I454" s="78">
        <v>0.16666666666666666</v>
      </c>
      <c r="J454" s="78">
        <v>0.75</v>
      </c>
      <c r="K454" s="78">
        <v>0.91666666666666663</v>
      </c>
      <c r="L454" s="76">
        <v>240</v>
      </c>
    </row>
    <row r="455" spans="1:12" hidden="1" x14ac:dyDescent="0.3">
      <c r="A455" s="76" t="s">
        <v>60</v>
      </c>
      <c r="B455" s="76" t="s">
        <v>33</v>
      </c>
      <c r="C455" s="76" t="s">
        <v>65</v>
      </c>
      <c r="D455" s="80" t="s">
        <v>457</v>
      </c>
      <c r="E455" s="76" t="s">
        <v>401</v>
      </c>
      <c r="F455" s="68" t="s">
        <v>10</v>
      </c>
      <c r="G455" s="77">
        <v>46195</v>
      </c>
      <c r="H455" s="76" t="s">
        <v>69</v>
      </c>
      <c r="I455" s="78">
        <v>2.0833333333333332E-2</v>
      </c>
      <c r="J455" s="78">
        <v>0.58333333333333337</v>
      </c>
      <c r="K455" s="78">
        <v>0.60416666666666663</v>
      </c>
      <c r="L455" s="76">
        <v>30</v>
      </c>
    </row>
    <row r="456" spans="1:12" hidden="1" x14ac:dyDescent="0.3">
      <c r="A456" s="76" t="s">
        <v>60</v>
      </c>
      <c r="B456" s="76" t="s">
        <v>33</v>
      </c>
      <c r="C456" s="76" t="s">
        <v>65</v>
      </c>
      <c r="D456" s="80" t="s">
        <v>616</v>
      </c>
      <c r="E456" s="76" t="s">
        <v>401</v>
      </c>
      <c r="F456" s="68" t="s">
        <v>10</v>
      </c>
      <c r="G456" s="77">
        <v>46195</v>
      </c>
      <c r="H456" s="76" t="s">
        <v>69</v>
      </c>
      <c r="I456" s="78">
        <v>0.10416666666666667</v>
      </c>
      <c r="J456" s="78">
        <v>0.625</v>
      </c>
      <c r="K456" s="78">
        <v>0.72916666666666663</v>
      </c>
      <c r="L456" s="76">
        <v>150</v>
      </c>
    </row>
    <row r="457" spans="1:12" ht="36.6" hidden="1" x14ac:dyDescent="0.3">
      <c r="A457" s="76" t="s">
        <v>60</v>
      </c>
      <c r="B457" s="76" t="s">
        <v>33</v>
      </c>
      <c r="C457" s="76" t="s">
        <v>64</v>
      </c>
      <c r="D457" s="80" t="s">
        <v>611</v>
      </c>
      <c r="E457" s="76" t="s">
        <v>42</v>
      </c>
      <c r="F457" s="68" t="s">
        <v>10</v>
      </c>
      <c r="G457" s="77">
        <v>46197</v>
      </c>
      <c r="H457" s="76" t="s">
        <v>69</v>
      </c>
      <c r="I457" s="78">
        <v>0.29166666666666669</v>
      </c>
      <c r="J457" s="78">
        <v>0.5</v>
      </c>
      <c r="K457" s="78">
        <v>6.833333333333333</v>
      </c>
      <c r="L457" s="76">
        <v>420</v>
      </c>
    </row>
    <row r="458" spans="1:12" hidden="1" x14ac:dyDescent="0.3">
      <c r="A458" s="76" t="s">
        <v>60</v>
      </c>
      <c r="B458" s="76" t="s">
        <v>33</v>
      </c>
      <c r="C458" s="76" t="s">
        <v>65</v>
      </c>
      <c r="D458" s="80" t="s">
        <v>457</v>
      </c>
      <c r="E458" s="76" t="s">
        <v>401</v>
      </c>
      <c r="F458" s="68" t="s">
        <v>10</v>
      </c>
      <c r="G458" s="77">
        <v>46197</v>
      </c>
      <c r="H458" s="76" t="s">
        <v>69</v>
      </c>
      <c r="I458" s="78">
        <v>2.0833333333333332E-2</v>
      </c>
      <c r="J458" s="78">
        <v>0.58333333333333337</v>
      </c>
      <c r="K458" s="78">
        <v>0.60416666666666663</v>
      </c>
      <c r="L458" s="76">
        <v>30</v>
      </c>
    </row>
    <row r="459" spans="1:12" ht="24.6" hidden="1" x14ac:dyDescent="0.3">
      <c r="A459" s="76" t="s">
        <v>60</v>
      </c>
      <c r="B459" s="76" t="s">
        <v>33</v>
      </c>
      <c r="C459" s="76" t="s">
        <v>64</v>
      </c>
      <c r="D459" s="80" t="s">
        <v>608</v>
      </c>
      <c r="E459" s="76" t="s">
        <v>42</v>
      </c>
      <c r="F459" s="69" t="s">
        <v>45</v>
      </c>
      <c r="G459" s="77">
        <v>46198</v>
      </c>
      <c r="H459" s="76" t="s">
        <v>69</v>
      </c>
      <c r="I459" s="78">
        <v>0.3125</v>
      </c>
      <c r="J459" s="78">
        <v>0.52083333333333337</v>
      </c>
      <c r="K459" s="78">
        <v>0.875</v>
      </c>
      <c r="L459" s="76">
        <v>450</v>
      </c>
    </row>
    <row r="460" spans="1:12" hidden="1" x14ac:dyDescent="0.3">
      <c r="A460" s="76" t="s">
        <v>60</v>
      </c>
      <c r="B460" s="76" t="s">
        <v>33</v>
      </c>
      <c r="C460" s="76" t="s">
        <v>65</v>
      </c>
      <c r="D460" s="80" t="s">
        <v>457</v>
      </c>
      <c r="E460" s="76" t="s">
        <v>401</v>
      </c>
      <c r="F460" s="68" t="s">
        <v>10</v>
      </c>
      <c r="G460" s="77">
        <v>46198</v>
      </c>
      <c r="H460" s="76" t="s">
        <v>69</v>
      </c>
      <c r="I460" s="78">
        <v>2.0833333333333332E-2</v>
      </c>
      <c r="J460" s="78">
        <v>0.58333333333333337</v>
      </c>
      <c r="K460" s="78">
        <v>0.60416666666666663</v>
      </c>
      <c r="L460" s="76">
        <v>30</v>
      </c>
    </row>
    <row r="461" spans="1:12" ht="24.6" hidden="1" x14ac:dyDescent="0.3">
      <c r="A461" s="76" t="s">
        <v>60</v>
      </c>
      <c r="B461" s="76" t="s">
        <v>33</v>
      </c>
      <c r="C461" s="76" t="s">
        <v>64</v>
      </c>
      <c r="D461" s="80" t="s">
        <v>609</v>
      </c>
      <c r="E461" s="76" t="s">
        <v>42</v>
      </c>
      <c r="F461" s="68" t="s">
        <v>10</v>
      </c>
      <c r="G461" s="77">
        <v>46199</v>
      </c>
      <c r="H461" s="76" t="s">
        <v>69</v>
      </c>
      <c r="I461" s="78">
        <v>0.33333333333333331</v>
      </c>
      <c r="J461" s="78">
        <v>0.5</v>
      </c>
      <c r="K461" s="78">
        <v>0.83333333333333337</v>
      </c>
      <c r="L461" s="76">
        <v>480</v>
      </c>
    </row>
    <row r="462" spans="1:12" hidden="1" x14ac:dyDescent="0.3">
      <c r="A462" s="76" t="s">
        <v>60</v>
      </c>
      <c r="B462" s="76" t="s">
        <v>33</v>
      </c>
      <c r="C462" s="76" t="s">
        <v>65</v>
      </c>
      <c r="D462" s="80" t="s">
        <v>457</v>
      </c>
      <c r="E462" s="76" t="s">
        <v>401</v>
      </c>
      <c r="F462" s="68" t="s">
        <v>10</v>
      </c>
      <c r="G462" s="77">
        <v>46199</v>
      </c>
      <c r="H462" s="76" t="s">
        <v>69</v>
      </c>
      <c r="I462" s="78">
        <v>2.0833333333333332E-2</v>
      </c>
      <c r="J462" s="78">
        <v>0.58333333333333337</v>
      </c>
      <c r="K462" s="78">
        <v>0.60416666666666663</v>
      </c>
      <c r="L462" s="76">
        <v>30</v>
      </c>
    </row>
    <row r="463" spans="1:12" hidden="1" x14ac:dyDescent="0.3">
      <c r="A463" s="28" t="s">
        <v>46</v>
      </c>
      <c r="B463" s="28" t="s">
        <v>33</v>
      </c>
      <c r="C463" s="29" t="s">
        <v>56</v>
      </c>
      <c r="D463" s="30" t="s">
        <v>457</v>
      </c>
      <c r="E463" s="28" t="s">
        <v>401</v>
      </c>
      <c r="F463" s="68" t="s">
        <v>10</v>
      </c>
      <c r="G463" s="31">
        <v>46195</v>
      </c>
      <c r="H463" s="28" t="s">
        <v>47</v>
      </c>
      <c r="I463" s="67">
        <v>2.0833333333333332E-2</v>
      </c>
      <c r="J463" s="67">
        <v>0.58333333333333337</v>
      </c>
      <c r="K463" s="67">
        <v>0.60416666666666663</v>
      </c>
      <c r="L463" s="28">
        <v>30</v>
      </c>
    </row>
    <row r="464" spans="1:12" hidden="1" x14ac:dyDescent="0.3">
      <c r="A464" s="28" t="s">
        <v>46</v>
      </c>
      <c r="B464" s="28" t="s">
        <v>33</v>
      </c>
      <c r="C464" s="29" t="s">
        <v>56</v>
      </c>
      <c r="D464" s="30" t="s">
        <v>616</v>
      </c>
      <c r="E464" s="28" t="s">
        <v>42</v>
      </c>
      <c r="F464" s="68" t="s">
        <v>10</v>
      </c>
      <c r="G464" s="31">
        <v>46195</v>
      </c>
      <c r="H464" s="28" t="s">
        <v>47</v>
      </c>
      <c r="I464" s="67">
        <v>0.125</v>
      </c>
      <c r="J464" s="67">
        <v>0.625</v>
      </c>
      <c r="K464" s="67">
        <v>0.75</v>
      </c>
      <c r="L464" s="28">
        <v>180</v>
      </c>
    </row>
    <row r="465" spans="1:12" ht="24.6" hidden="1" x14ac:dyDescent="0.3">
      <c r="A465" s="28" t="s">
        <v>46</v>
      </c>
      <c r="B465" s="28" t="s">
        <v>33</v>
      </c>
      <c r="C465" s="29" t="s">
        <v>72</v>
      </c>
      <c r="D465" s="30" t="s">
        <v>633</v>
      </c>
      <c r="E465" s="28" t="s">
        <v>124</v>
      </c>
      <c r="F465" s="68" t="s">
        <v>10</v>
      </c>
      <c r="G465" s="31">
        <v>46195</v>
      </c>
      <c r="H465" s="28" t="s">
        <v>47</v>
      </c>
      <c r="I465" s="67">
        <v>8.3333333333333329E-2</v>
      </c>
      <c r="J465" s="67">
        <v>0.5</v>
      </c>
      <c r="K465" s="67">
        <v>0.89583333333333337</v>
      </c>
      <c r="L465" s="28">
        <v>300</v>
      </c>
    </row>
    <row r="466" spans="1:12" ht="24.6" hidden="1" x14ac:dyDescent="0.3">
      <c r="A466" s="28" t="s">
        <v>46</v>
      </c>
      <c r="B466" s="28" t="s">
        <v>33</v>
      </c>
      <c r="C466" s="29" t="s">
        <v>72</v>
      </c>
      <c r="D466" s="30" t="s">
        <v>631</v>
      </c>
      <c r="E466" s="28" t="s">
        <v>124</v>
      </c>
      <c r="F466" s="68" t="s">
        <v>10</v>
      </c>
      <c r="G466" s="31">
        <v>46195</v>
      </c>
      <c r="H466" s="28" t="s">
        <v>47</v>
      </c>
      <c r="I466" s="67">
        <v>0.16666666666666666</v>
      </c>
      <c r="J466" s="67">
        <v>0.5</v>
      </c>
      <c r="K466" s="67">
        <v>0.89583333333333337</v>
      </c>
      <c r="L466" s="28">
        <v>240</v>
      </c>
    </row>
    <row r="467" spans="1:12" hidden="1" x14ac:dyDescent="0.3">
      <c r="A467" s="28" t="s">
        <v>46</v>
      </c>
      <c r="B467" s="28" t="s">
        <v>33</v>
      </c>
      <c r="C467" s="29" t="s">
        <v>56</v>
      </c>
      <c r="D467" s="30" t="s">
        <v>457</v>
      </c>
      <c r="E467" s="28" t="s">
        <v>401</v>
      </c>
      <c r="F467" s="68" t="s">
        <v>10</v>
      </c>
      <c r="G467" s="31">
        <v>46197</v>
      </c>
      <c r="H467" s="28" t="s">
        <v>47</v>
      </c>
      <c r="I467" s="67">
        <v>2.0833333333333332E-2</v>
      </c>
      <c r="J467" s="67">
        <v>0.58333333333333337</v>
      </c>
      <c r="K467" s="67">
        <v>0.60416666666666663</v>
      </c>
      <c r="L467" s="28">
        <v>30</v>
      </c>
    </row>
    <row r="468" spans="1:12" hidden="1" x14ac:dyDescent="0.3">
      <c r="A468" s="28" t="s">
        <v>46</v>
      </c>
      <c r="B468" s="28" t="s">
        <v>33</v>
      </c>
      <c r="C468" s="29" t="s">
        <v>72</v>
      </c>
      <c r="D468" s="30" t="s">
        <v>632</v>
      </c>
      <c r="E468" s="28" t="s">
        <v>42</v>
      </c>
      <c r="F468" s="68" t="s">
        <v>10</v>
      </c>
      <c r="G468" s="31">
        <v>46197</v>
      </c>
      <c r="H468" s="28" t="s">
        <v>47</v>
      </c>
      <c r="I468" s="67">
        <v>8.3333333333333329E-2</v>
      </c>
      <c r="J468" s="67">
        <v>0.5</v>
      </c>
      <c r="K468" s="67">
        <v>0.89583333333333337</v>
      </c>
      <c r="L468" s="28">
        <v>120</v>
      </c>
    </row>
    <row r="469" spans="1:12" ht="36.6" hidden="1" x14ac:dyDescent="0.3">
      <c r="A469" s="28" t="s">
        <v>46</v>
      </c>
      <c r="B469" s="28" t="s">
        <v>33</v>
      </c>
      <c r="C469" s="29" t="s">
        <v>72</v>
      </c>
      <c r="D469" s="30" t="s">
        <v>634</v>
      </c>
      <c r="E469" s="28" t="s">
        <v>124</v>
      </c>
      <c r="F469" s="68" t="s">
        <v>10</v>
      </c>
      <c r="G469" s="31">
        <v>46197</v>
      </c>
      <c r="H469" s="28" t="s">
        <v>47</v>
      </c>
      <c r="I469" s="67">
        <v>0.125</v>
      </c>
      <c r="J469" s="67">
        <v>0.5</v>
      </c>
      <c r="K469" s="67">
        <v>0.89583333333333337</v>
      </c>
      <c r="L469" s="28">
        <v>180</v>
      </c>
    </row>
    <row r="470" spans="1:12" hidden="1" x14ac:dyDescent="0.3">
      <c r="A470" s="28" t="s">
        <v>46</v>
      </c>
      <c r="B470" s="28" t="s">
        <v>33</v>
      </c>
      <c r="C470" s="29" t="s">
        <v>56</v>
      </c>
      <c r="D470" s="30" t="s">
        <v>457</v>
      </c>
      <c r="E470" s="28" t="s">
        <v>401</v>
      </c>
      <c r="F470" s="68" t="s">
        <v>10</v>
      </c>
      <c r="G470" s="31">
        <v>46198</v>
      </c>
      <c r="H470" s="28" t="s">
        <v>47</v>
      </c>
      <c r="I470" s="67">
        <v>2.0833333333333332E-2</v>
      </c>
      <c r="J470" s="67">
        <v>0.58333333333333337</v>
      </c>
      <c r="K470" s="67">
        <v>0.60416666666666663</v>
      </c>
      <c r="L470" s="28">
        <v>30</v>
      </c>
    </row>
    <row r="471" spans="1:12" ht="24.6" hidden="1" x14ac:dyDescent="0.3">
      <c r="A471" s="28" t="s">
        <v>46</v>
      </c>
      <c r="B471" s="28" t="s">
        <v>33</v>
      </c>
      <c r="C471" s="29" t="s">
        <v>57</v>
      </c>
      <c r="D471" s="30" t="s">
        <v>627</v>
      </c>
      <c r="E471" s="28" t="s">
        <v>124</v>
      </c>
      <c r="F471" s="68" t="s">
        <v>10</v>
      </c>
      <c r="G471" s="31">
        <v>46198</v>
      </c>
      <c r="H471" s="28" t="s">
        <v>47</v>
      </c>
      <c r="I471" s="67">
        <v>0.25</v>
      </c>
      <c r="J471" s="67">
        <v>0.5</v>
      </c>
      <c r="K471" s="67">
        <v>0.89583333333333337</v>
      </c>
      <c r="L471" s="28">
        <v>360</v>
      </c>
    </row>
    <row r="472" spans="1:12" hidden="1" x14ac:dyDescent="0.3">
      <c r="A472" s="28" t="s">
        <v>46</v>
      </c>
      <c r="B472" s="28" t="s">
        <v>33</v>
      </c>
      <c r="C472" s="29" t="s">
        <v>56</v>
      </c>
      <c r="D472" s="30" t="s">
        <v>636</v>
      </c>
      <c r="E472" s="28" t="s">
        <v>124</v>
      </c>
      <c r="F472" s="68" t="s">
        <v>10</v>
      </c>
      <c r="G472" s="31">
        <v>46198</v>
      </c>
      <c r="H472" s="28" t="s">
        <v>47</v>
      </c>
      <c r="I472" s="67">
        <v>2.0833333333333332E-2</v>
      </c>
      <c r="J472" s="67">
        <v>0.79166666666666663</v>
      </c>
      <c r="K472" s="67">
        <v>0.8125</v>
      </c>
      <c r="L472" s="28">
        <v>30</v>
      </c>
    </row>
    <row r="473" spans="1:12" hidden="1" x14ac:dyDescent="0.3">
      <c r="A473" s="28" t="s">
        <v>46</v>
      </c>
      <c r="B473" s="28" t="s">
        <v>33</v>
      </c>
      <c r="C473" s="29" t="s">
        <v>56</v>
      </c>
      <c r="D473" s="30" t="s">
        <v>628</v>
      </c>
      <c r="E473" s="28" t="s">
        <v>124</v>
      </c>
      <c r="F473" s="68" t="s">
        <v>10</v>
      </c>
      <c r="G473" s="31">
        <v>46198</v>
      </c>
      <c r="H473" s="28" t="s">
        <v>47</v>
      </c>
      <c r="I473" s="67">
        <v>3.125E-2</v>
      </c>
      <c r="J473" s="67">
        <v>0.8125</v>
      </c>
      <c r="K473" s="67">
        <v>0.84375</v>
      </c>
      <c r="L473" s="28">
        <v>45</v>
      </c>
    </row>
    <row r="474" spans="1:12" hidden="1" x14ac:dyDescent="0.3">
      <c r="A474" s="28" t="s">
        <v>46</v>
      </c>
      <c r="B474" s="28" t="s">
        <v>33</v>
      </c>
      <c r="C474" s="29" t="s">
        <v>56</v>
      </c>
      <c r="D474" s="30" t="s">
        <v>457</v>
      </c>
      <c r="E474" s="28" t="s">
        <v>401</v>
      </c>
      <c r="F474" s="68" t="s">
        <v>10</v>
      </c>
      <c r="G474" s="31">
        <v>46199</v>
      </c>
      <c r="H474" s="28" t="s">
        <v>47</v>
      </c>
      <c r="I474" s="67">
        <v>2.0833333333333332E-2</v>
      </c>
      <c r="J474" s="67">
        <v>0.58333333333333337</v>
      </c>
      <c r="K474" s="67">
        <v>0.60416666666666663</v>
      </c>
      <c r="L474" s="28">
        <v>30</v>
      </c>
    </row>
    <row r="475" spans="1:12" hidden="1" x14ac:dyDescent="0.3">
      <c r="A475" s="28" t="s">
        <v>46</v>
      </c>
      <c r="B475" s="28" t="s">
        <v>33</v>
      </c>
      <c r="C475" s="29" t="s">
        <v>72</v>
      </c>
      <c r="D475" s="30" t="s">
        <v>635</v>
      </c>
      <c r="E475" s="28" t="s">
        <v>124</v>
      </c>
      <c r="F475" s="68" t="s">
        <v>10</v>
      </c>
      <c r="G475" s="31">
        <v>46199</v>
      </c>
      <c r="H475" s="28" t="s">
        <v>47</v>
      </c>
      <c r="I475" s="67">
        <v>0.16666666666666666</v>
      </c>
      <c r="J475" s="67">
        <v>0.5</v>
      </c>
      <c r="K475" s="67">
        <v>0.89583333333333337</v>
      </c>
      <c r="L475" s="28">
        <v>240</v>
      </c>
    </row>
    <row r="476" spans="1:12" ht="24.6" hidden="1" x14ac:dyDescent="0.3">
      <c r="A476" s="76" t="s">
        <v>60</v>
      </c>
      <c r="B476" s="76" t="s">
        <v>33</v>
      </c>
      <c r="C476" s="76" t="s">
        <v>64</v>
      </c>
      <c r="D476" s="80" t="s">
        <v>617</v>
      </c>
      <c r="E476" s="76" t="s">
        <v>42</v>
      </c>
      <c r="F476" s="69" t="s">
        <v>45</v>
      </c>
      <c r="G476" s="77">
        <v>46202</v>
      </c>
      <c r="H476" s="76" t="s">
        <v>69</v>
      </c>
      <c r="I476" s="78">
        <v>0.33333333333333331</v>
      </c>
      <c r="J476" s="78">
        <v>0.5</v>
      </c>
      <c r="K476" s="78">
        <v>0.875</v>
      </c>
      <c r="L476" s="76">
        <v>480</v>
      </c>
    </row>
    <row r="477" spans="1:12" hidden="1" x14ac:dyDescent="0.3">
      <c r="A477" s="76" t="s">
        <v>60</v>
      </c>
      <c r="B477" s="76" t="s">
        <v>33</v>
      </c>
      <c r="C477" s="76" t="s">
        <v>65</v>
      </c>
      <c r="D477" s="80" t="s">
        <v>457</v>
      </c>
      <c r="E477" s="76" t="s">
        <v>401</v>
      </c>
      <c r="F477" s="68" t="s">
        <v>10</v>
      </c>
      <c r="G477" s="77">
        <v>46202</v>
      </c>
      <c r="H477" s="76" t="s">
        <v>69</v>
      </c>
      <c r="I477" s="78">
        <v>2.0833333333333332E-2</v>
      </c>
      <c r="J477" s="78">
        <v>0.58333333333333337</v>
      </c>
      <c r="K477" s="78">
        <v>0.60416666666666663</v>
      </c>
      <c r="L477" s="76">
        <v>30</v>
      </c>
    </row>
    <row r="478" spans="1:12" ht="36.6" hidden="1" x14ac:dyDescent="0.3">
      <c r="A478" s="76" t="s">
        <v>60</v>
      </c>
      <c r="B478" s="76" t="s">
        <v>33</v>
      </c>
      <c r="C478" s="76" t="s">
        <v>64</v>
      </c>
      <c r="D478" s="80" t="s">
        <v>618</v>
      </c>
      <c r="E478" s="76" t="s">
        <v>42</v>
      </c>
      <c r="F478" s="68" t="s">
        <v>10</v>
      </c>
      <c r="G478" s="77">
        <v>46203</v>
      </c>
      <c r="H478" s="76" t="s">
        <v>69</v>
      </c>
      <c r="I478" s="78">
        <v>0.33333333333333331</v>
      </c>
      <c r="J478" s="78">
        <v>0.5</v>
      </c>
      <c r="K478" s="78">
        <v>6.875</v>
      </c>
      <c r="L478" s="76">
        <v>480</v>
      </c>
    </row>
    <row r="479" spans="1:12" hidden="1" x14ac:dyDescent="0.3">
      <c r="A479" s="76" t="s">
        <v>60</v>
      </c>
      <c r="B479" s="76" t="s">
        <v>33</v>
      </c>
      <c r="C479" s="76" t="s">
        <v>65</v>
      </c>
      <c r="D479" s="80" t="s">
        <v>457</v>
      </c>
      <c r="E479" s="76" t="s">
        <v>401</v>
      </c>
      <c r="F479" s="68" t="s">
        <v>10</v>
      </c>
      <c r="G479" s="77">
        <v>46203</v>
      </c>
      <c r="H479" s="76" t="s">
        <v>69</v>
      </c>
      <c r="I479" s="78">
        <v>2.0833333333333332E-2</v>
      </c>
      <c r="J479" s="78">
        <v>0.58333333333333337</v>
      </c>
      <c r="K479" s="78">
        <v>0.60416666666666663</v>
      </c>
      <c r="L479" s="76">
        <v>30</v>
      </c>
    </row>
    <row r="480" spans="1:12" ht="24.6" hidden="1" x14ac:dyDescent="0.3">
      <c r="A480" s="76" t="s">
        <v>60</v>
      </c>
      <c r="B480" s="76" t="s">
        <v>33</v>
      </c>
      <c r="C480" s="76" t="s">
        <v>64</v>
      </c>
      <c r="D480" s="80" t="s">
        <v>619</v>
      </c>
      <c r="E480" s="76" t="s">
        <v>42</v>
      </c>
      <c r="F480" s="69" t="s">
        <v>45</v>
      </c>
      <c r="G480" s="77">
        <v>46204</v>
      </c>
      <c r="H480" s="76" t="s">
        <v>69</v>
      </c>
      <c r="I480" s="78">
        <v>0.3125</v>
      </c>
      <c r="J480" s="78">
        <v>0.52083333333333337</v>
      </c>
      <c r="K480" s="78">
        <v>0.875</v>
      </c>
      <c r="L480" s="76">
        <v>450</v>
      </c>
    </row>
    <row r="481" spans="1:12" hidden="1" x14ac:dyDescent="0.3">
      <c r="A481" s="76" t="s">
        <v>60</v>
      </c>
      <c r="B481" s="76" t="s">
        <v>33</v>
      </c>
      <c r="C481" s="76" t="s">
        <v>65</v>
      </c>
      <c r="D481" s="80" t="s">
        <v>457</v>
      </c>
      <c r="E481" s="76" t="s">
        <v>401</v>
      </c>
      <c r="F481" s="68" t="s">
        <v>10</v>
      </c>
      <c r="G481" s="77">
        <v>46204</v>
      </c>
      <c r="H481" s="76" t="s">
        <v>69</v>
      </c>
      <c r="I481" s="78">
        <v>2.0833333333333332E-2</v>
      </c>
      <c r="J481" s="78">
        <v>0.58333333333333337</v>
      </c>
      <c r="K481" s="78">
        <v>0.60416666666666663</v>
      </c>
      <c r="L481" s="76">
        <v>30</v>
      </c>
    </row>
    <row r="482" spans="1:12" ht="36.6" hidden="1" x14ac:dyDescent="0.3">
      <c r="A482" s="76" t="s">
        <v>60</v>
      </c>
      <c r="B482" s="76" t="s">
        <v>33</v>
      </c>
      <c r="C482" s="76" t="s">
        <v>64</v>
      </c>
      <c r="D482" s="80" t="s">
        <v>620</v>
      </c>
      <c r="E482" s="76" t="s">
        <v>42</v>
      </c>
      <c r="F482" s="68" t="s">
        <v>10</v>
      </c>
      <c r="G482" s="77">
        <v>46206</v>
      </c>
      <c r="H482" s="76" t="s">
        <v>69</v>
      </c>
      <c r="I482" s="78">
        <v>0.35416666666666669</v>
      </c>
      <c r="J482" s="78">
        <v>0.5</v>
      </c>
      <c r="K482" s="78">
        <v>0.91666666666666663</v>
      </c>
      <c r="L482" s="76">
        <v>510</v>
      </c>
    </row>
    <row r="483" spans="1:12" hidden="1" x14ac:dyDescent="0.3">
      <c r="A483" s="76" t="s">
        <v>60</v>
      </c>
      <c r="B483" s="76" t="s">
        <v>33</v>
      </c>
      <c r="C483" s="76" t="s">
        <v>65</v>
      </c>
      <c r="D483" s="80" t="s">
        <v>457</v>
      </c>
      <c r="E483" s="76" t="s">
        <v>401</v>
      </c>
      <c r="F483" s="68" t="s">
        <v>10</v>
      </c>
      <c r="G483" s="77">
        <v>46206</v>
      </c>
      <c r="H483" s="76" t="s">
        <v>69</v>
      </c>
      <c r="I483" s="78">
        <v>2.0833333333333332E-2</v>
      </c>
      <c r="J483" s="78">
        <v>0.58333333333333337</v>
      </c>
      <c r="K483" s="78">
        <v>0.60416666666666663</v>
      </c>
      <c r="L483" s="76">
        <v>30</v>
      </c>
    </row>
    <row r="484" spans="1:12" hidden="1" x14ac:dyDescent="0.3">
      <c r="A484" s="28" t="s">
        <v>46</v>
      </c>
      <c r="B484" s="28" t="s">
        <v>33</v>
      </c>
      <c r="C484" s="29" t="s">
        <v>56</v>
      </c>
      <c r="D484" s="30" t="s">
        <v>457</v>
      </c>
      <c r="E484" s="28" t="s">
        <v>401</v>
      </c>
      <c r="F484" s="68" t="s">
        <v>10</v>
      </c>
      <c r="G484" s="31">
        <v>46202</v>
      </c>
      <c r="H484" s="28" t="s">
        <v>47</v>
      </c>
      <c r="I484" s="67">
        <v>2.0833333333333332E-2</v>
      </c>
      <c r="J484" s="67">
        <v>0.58333333333333337</v>
      </c>
      <c r="K484" s="67">
        <v>0.60416666666666663</v>
      </c>
      <c r="L484" s="28">
        <v>30</v>
      </c>
    </row>
    <row r="485" spans="1:12" hidden="1" x14ac:dyDescent="0.3">
      <c r="A485" s="28" t="s">
        <v>46</v>
      </c>
      <c r="B485" s="28" t="s">
        <v>33</v>
      </c>
      <c r="C485" s="29" t="s">
        <v>72</v>
      </c>
      <c r="D485" s="30" t="s">
        <v>625</v>
      </c>
      <c r="E485" s="28" t="s">
        <v>42</v>
      </c>
      <c r="F485" s="69" t="s">
        <v>45</v>
      </c>
      <c r="G485" s="31">
        <v>46202</v>
      </c>
      <c r="H485" s="28" t="s">
        <v>47</v>
      </c>
      <c r="I485" s="67">
        <v>0.27083333333333331</v>
      </c>
      <c r="J485" s="67">
        <v>0.5</v>
      </c>
      <c r="K485" s="67">
        <v>0.89583333333333337</v>
      </c>
      <c r="L485" s="28">
        <v>390</v>
      </c>
    </row>
    <row r="486" spans="1:12" hidden="1" x14ac:dyDescent="0.3">
      <c r="A486" s="28" t="s">
        <v>46</v>
      </c>
      <c r="B486" s="28" t="s">
        <v>33</v>
      </c>
      <c r="C486" s="29" t="s">
        <v>56</v>
      </c>
      <c r="D486" s="30" t="s">
        <v>457</v>
      </c>
      <c r="E486" s="28" t="s">
        <v>401</v>
      </c>
      <c r="F486" s="68" t="s">
        <v>10</v>
      </c>
      <c r="G486" s="31">
        <v>46203</v>
      </c>
      <c r="H486" s="28" t="s">
        <v>47</v>
      </c>
      <c r="I486" s="67">
        <v>2.0833333333333332E-2</v>
      </c>
      <c r="J486" s="67">
        <v>0.58333333333333337</v>
      </c>
      <c r="K486" s="67">
        <v>0.60416666666666663</v>
      </c>
      <c r="L486" s="28">
        <v>30</v>
      </c>
    </row>
    <row r="487" spans="1:12" hidden="1" x14ac:dyDescent="0.3">
      <c r="A487" s="28" t="s">
        <v>46</v>
      </c>
      <c r="B487" s="28" t="s">
        <v>33</v>
      </c>
      <c r="C487" s="29" t="s">
        <v>72</v>
      </c>
      <c r="D487" s="30" t="s">
        <v>625</v>
      </c>
      <c r="E487" s="28" t="s">
        <v>42</v>
      </c>
      <c r="F487" s="69" t="s">
        <v>45</v>
      </c>
      <c r="G487" s="31">
        <v>46203</v>
      </c>
      <c r="H487" s="28" t="s">
        <v>47</v>
      </c>
      <c r="I487" s="67">
        <v>0.29166666666666669</v>
      </c>
      <c r="J487" s="67">
        <v>0.5</v>
      </c>
      <c r="K487" s="67">
        <v>0.89583333333333337</v>
      </c>
      <c r="L487" s="28">
        <v>420</v>
      </c>
    </row>
    <row r="488" spans="1:12" hidden="1" x14ac:dyDescent="0.3">
      <c r="A488" s="28" t="s">
        <v>46</v>
      </c>
      <c r="B488" s="28" t="s">
        <v>33</v>
      </c>
      <c r="C488" s="29" t="s">
        <v>56</v>
      </c>
      <c r="D488" s="30" t="s">
        <v>457</v>
      </c>
      <c r="E488" s="28" t="s">
        <v>401</v>
      </c>
      <c r="F488" s="68" t="s">
        <v>10</v>
      </c>
      <c r="G488" s="31">
        <v>46204</v>
      </c>
      <c r="H488" s="28" t="s">
        <v>47</v>
      </c>
      <c r="I488" s="67">
        <v>2.0833333333333332E-2</v>
      </c>
      <c r="J488" s="67">
        <v>0.58333333333333337</v>
      </c>
      <c r="K488" s="67">
        <v>0.60416666666666663</v>
      </c>
      <c r="L488" s="28">
        <v>30</v>
      </c>
    </row>
    <row r="489" spans="1:12" ht="24.6" hidden="1" x14ac:dyDescent="0.3">
      <c r="A489" s="28" t="s">
        <v>46</v>
      </c>
      <c r="B489" s="28" t="s">
        <v>33</v>
      </c>
      <c r="C489" s="29" t="s">
        <v>72</v>
      </c>
      <c r="D489" s="30" t="s">
        <v>626</v>
      </c>
      <c r="E489" s="28" t="s">
        <v>42</v>
      </c>
      <c r="F489" s="68" t="s">
        <v>10</v>
      </c>
      <c r="G489" s="31">
        <v>46204</v>
      </c>
      <c r="H489" s="28" t="s">
        <v>47</v>
      </c>
      <c r="I489" s="67">
        <v>0.16666666666666666</v>
      </c>
      <c r="J489" s="67">
        <v>0.5</v>
      </c>
      <c r="K489" s="67">
        <v>0.89583333333333337</v>
      </c>
      <c r="L489" s="28">
        <v>240</v>
      </c>
    </row>
    <row r="490" spans="1:12" ht="24.6" hidden="1" x14ac:dyDescent="0.3">
      <c r="A490" s="28" t="s">
        <v>46</v>
      </c>
      <c r="B490" s="28" t="s">
        <v>33</v>
      </c>
      <c r="C490" s="29" t="s">
        <v>57</v>
      </c>
      <c r="D490" s="30" t="s">
        <v>627</v>
      </c>
      <c r="E490" s="28" t="s">
        <v>124</v>
      </c>
      <c r="F490" s="68" t="s">
        <v>10</v>
      </c>
      <c r="G490" s="31">
        <v>46204</v>
      </c>
      <c r="H490" s="28" t="s">
        <v>47</v>
      </c>
      <c r="I490" s="67">
        <v>0.16666666666666666</v>
      </c>
      <c r="J490" s="67">
        <v>0.5</v>
      </c>
      <c r="K490" s="67">
        <v>0.89583333333333337</v>
      </c>
      <c r="L490" s="28">
        <v>240</v>
      </c>
    </row>
    <row r="491" spans="1:12" hidden="1" x14ac:dyDescent="0.3">
      <c r="A491" s="28" t="s">
        <v>46</v>
      </c>
      <c r="B491" s="28" t="s">
        <v>33</v>
      </c>
      <c r="C491" s="29" t="s">
        <v>56</v>
      </c>
      <c r="D491" s="30" t="s">
        <v>457</v>
      </c>
      <c r="E491" s="28" t="s">
        <v>401</v>
      </c>
      <c r="F491" s="68" t="s">
        <v>10</v>
      </c>
      <c r="G491" s="31">
        <v>46205</v>
      </c>
      <c r="H491" s="28" t="s">
        <v>47</v>
      </c>
      <c r="I491" s="67">
        <v>2.0833333333333332E-2</v>
      </c>
      <c r="J491" s="67">
        <v>0.58333333333333337</v>
      </c>
      <c r="K491" s="67">
        <v>0.60416666666666663</v>
      </c>
      <c r="L491" s="28">
        <v>30</v>
      </c>
    </row>
    <row r="492" spans="1:12" hidden="1" x14ac:dyDescent="0.3">
      <c r="A492" s="28" t="s">
        <v>46</v>
      </c>
      <c r="B492" s="28" t="s">
        <v>33</v>
      </c>
      <c r="C492" s="29" t="s">
        <v>56</v>
      </c>
      <c r="D492" s="30" t="s">
        <v>628</v>
      </c>
      <c r="E492" s="28" t="s">
        <v>124</v>
      </c>
      <c r="F492" s="68" t="s">
        <v>10</v>
      </c>
      <c r="G492" s="31">
        <v>46205</v>
      </c>
      <c r="H492" s="28" t="s">
        <v>47</v>
      </c>
      <c r="I492" s="67">
        <v>4.1666666666666664E-2</v>
      </c>
      <c r="J492" s="67">
        <v>0.83333333333333337</v>
      </c>
      <c r="K492" s="67">
        <v>0.85416666666666663</v>
      </c>
      <c r="L492" s="28">
        <v>30</v>
      </c>
    </row>
    <row r="493" spans="1:12" ht="24.6" hidden="1" x14ac:dyDescent="0.3">
      <c r="A493" s="28" t="s">
        <v>46</v>
      </c>
      <c r="B493" s="28" t="s">
        <v>33</v>
      </c>
      <c r="C493" s="29" t="s">
        <v>72</v>
      </c>
      <c r="D493" s="30" t="s">
        <v>629</v>
      </c>
      <c r="E493" s="28" t="s">
        <v>42</v>
      </c>
      <c r="F493" s="68" t="s">
        <v>10</v>
      </c>
      <c r="G493" s="31">
        <v>46205</v>
      </c>
      <c r="H493" s="28" t="s">
        <v>47</v>
      </c>
      <c r="I493" s="67">
        <v>0.33333333333333331</v>
      </c>
      <c r="J493" s="67">
        <v>0.5</v>
      </c>
      <c r="K493" s="67">
        <v>0.89583333333333337</v>
      </c>
      <c r="L493" s="28">
        <v>480</v>
      </c>
    </row>
    <row r="494" spans="1:12" hidden="1" x14ac:dyDescent="0.3">
      <c r="A494" s="28" t="s">
        <v>46</v>
      </c>
      <c r="B494" s="28" t="s">
        <v>33</v>
      </c>
      <c r="C494" s="29" t="s">
        <v>56</v>
      </c>
      <c r="D494" s="30" t="s">
        <v>457</v>
      </c>
      <c r="E494" s="28" t="s">
        <v>401</v>
      </c>
      <c r="F494" s="68" t="s">
        <v>10</v>
      </c>
      <c r="G494" s="31">
        <v>46206</v>
      </c>
      <c r="H494" s="28" t="s">
        <v>47</v>
      </c>
      <c r="I494" s="67">
        <v>2.0833333333333332E-2</v>
      </c>
      <c r="J494" s="67">
        <v>0.58333333333333337</v>
      </c>
      <c r="K494" s="67">
        <v>0.60416666666666663</v>
      </c>
      <c r="L494" s="28">
        <v>30</v>
      </c>
    </row>
    <row r="495" spans="1:12" ht="24.6" hidden="1" x14ac:dyDescent="0.3">
      <c r="A495" s="28" t="s">
        <v>46</v>
      </c>
      <c r="B495" s="28" t="s">
        <v>33</v>
      </c>
      <c r="C495" s="29" t="s">
        <v>72</v>
      </c>
      <c r="D495" s="30" t="s">
        <v>630</v>
      </c>
      <c r="E495" s="28" t="s">
        <v>42</v>
      </c>
      <c r="F495" s="68" t="s">
        <v>10</v>
      </c>
      <c r="G495" s="31">
        <v>46206</v>
      </c>
      <c r="H495" s="28" t="s">
        <v>47</v>
      </c>
      <c r="I495" s="67">
        <v>0.33333333333333331</v>
      </c>
      <c r="J495" s="67">
        <v>0.5</v>
      </c>
      <c r="K495" s="67">
        <v>0.89583333333333337</v>
      </c>
      <c r="L495" s="28">
        <v>480</v>
      </c>
    </row>
    <row r="496" spans="1:12" ht="24.6" hidden="1" x14ac:dyDescent="0.3">
      <c r="A496" s="76" t="s">
        <v>60</v>
      </c>
      <c r="B496" s="76" t="s">
        <v>33</v>
      </c>
      <c r="C496" s="76" t="s">
        <v>64</v>
      </c>
      <c r="D496" s="80" t="s">
        <v>638</v>
      </c>
      <c r="E496" s="76" t="s">
        <v>42</v>
      </c>
      <c r="F496" s="69" t="s">
        <v>45</v>
      </c>
      <c r="G496" s="77">
        <v>46209</v>
      </c>
      <c r="H496" s="76" t="s">
        <v>69</v>
      </c>
      <c r="I496" s="78">
        <v>0.33333333333333331</v>
      </c>
      <c r="J496" s="78">
        <v>0.5</v>
      </c>
      <c r="K496" s="78">
        <v>0.875</v>
      </c>
      <c r="L496" s="76">
        <v>480</v>
      </c>
    </row>
    <row r="497" spans="1:12" hidden="1" x14ac:dyDescent="0.3">
      <c r="A497" s="76" t="s">
        <v>60</v>
      </c>
      <c r="B497" s="76" t="s">
        <v>33</v>
      </c>
      <c r="C497" s="76" t="s">
        <v>65</v>
      </c>
      <c r="D497" s="80" t="s">
        <v>457</v>
      </c>
      <c r="E497" s="76" t="s">
        <v>401</v>
      </c>
      <c r="F497" s="68" t="s">
        <v>10</v>
      </c>
      <c r="G497" s="77">
        <v>46209</v>
      </c>
      <c r="H497" s="76" t="s">
        <v>69</v>
      </c>
      <c r="I497" s="78">
        <v>2.0833333333333332E-2</v>
      </c>
      <c r="J497" s="78">
        <v>0.58333333333333337</v>
      </c>
      <c r="K497" s="78">
        <v>0.60416666666666663</v>
      </c>
      <c r="L497" s="76">
        <v>30</v>
      </c>
    </row>
    <row r="498" spans="1:12" ht="36.6" hidden="1" x14ac:dyDescent="0.3">
      <c r="A498" s="76" t="s">
        <v>60</v>
      </c>
      <c r="B498" s="76" t="s">
        <v>33</v>
      </c>
      <c r="C498" s="76" t="s">
        <v>64</v>
      </c>
      <c r="D498" s="80" t="s">
        <v>639</v>
      </c>
      <c r="E498" s="76" t="s">
        <v>42</v>
      </c>
      <c r="F498" s="68" t="s">
        <v>10</v>
      </c>
      <c r="G498" s="77">
        <v>46210</v>
      </c>
      <c r="H498" s="76" t="s">
        <v>69</v>
      </c>
      <c r="I498" s="78">
        <v>0.33333333333333331</v>
      </c>
      <c r="J498" s="78">
        <v>0.5</v>
      </c>
      <c r="K498" s="78">
        <v>6.875</v>
      </c>
      <c r="L498" s="76">
        <v>480</v>
      </c>
    </row>
    <row r="499" spans="1:12" hidden="1" x14ac:dyDescent="0.3">
      <c r="A499" s="76" t="s">
        <v>60</v>
      </c>
      <c r="B499" s="76" t="s">
        <v>33</v>
      </c>
      <c r="C499" s="76" t="s">
        <v>65</v>
      </c>
      <c r="D499" s="80" t="s">
        <v>457</v>
      </c>
      <c r="E499" s="76" t="s">
        <v>401</v>
      </c>
      <c r="F499" s="68" t="s">
        <v>10</v>
      </c>
      <c r="G499" s="77">
        <v>46210</v>
      </c>
      <c r="H499" s="76" t="s">
        <v>69</v>
      </c>
      <c r="I499" s="78">
        <v>2.0833333333333332E-2</v>
      </c>
      <c r="J499" s="78">
        <v>0.58333333333333337</v>
      </c>
      <c r="K499" s="78">
        <v>0.60416666666666663</v>
      </c>
      <c r="L499" s="76">
        <v>30</v>
      </c>
    </row>
    <row r="500" spans="1:12" ht="24.6" hidden="1" x14ac:dyDescent="0.3">
      <c r="A500" s="76" t="s">
        <v>60</v>
      </c>
      <c r="B500" s="76" t="s">
        <v>33</v>
      </c>
      <c r="C500" s="76" t="s">
        <v>64</v>
      </c>
      <c r="D500" s="80" t="s">
        <v>640</v>
      </c>
      <c r="E500" s="76" t="s">
        <v>42</v>
      </c>
      <c r="F500" s="69" t="s">
        <v>45</v>
      </c>
      <c r="G500" s="77">
        <v>46211</v>
      </c>
      <c r="H500" s="76" t="s">
        <v>69</v>
      </c>
      <c r="I500" s="78">
        <v>0.3125</v>
      </c>
      <c r="J500" s="78">
        <v>0.52083333333333337</v>
      </c>
      <c r="K500" s="78">
        <v>0.875</v>
      </c>
      <c r="L500" s="76">
        <v>450</v>
      </c>
    </row>
    <row r="501" spans="1:12" hidden="1" x14ac:dyDescent="0.3">
      <c r="A501" s="76" t="s">
        <v>60</v>
      </c>
      <c r="B501" s="76" t="s">
        <v>33</v>
      </c>
      <c r="C501" s="76" t="s">
        <v>65</v>
      </c>
      <c r="D501" s="80" t="s">
        <v>457</v>
      </c>
      <c r="E501" s="76" t="s">
        <v>401</v>
      </c>
      <c r="F501" s="68" t="s">
        <v>10</v>
      </c>
      <c r="G501" s="77">
        <v>46211</v>
      </c>
      <c r="H501" s="76" t="s">
        <v>69</v>
      </c>
      <c r="I501" s="78">
        <v>2.0833333333333332E-2</v>
      </c>
      <c r="J501" s="78">
        <v>0.58333333333333337</v>
      </c>
      <c r="K501" s="78">
        <v>0.60416666666666663</v>
      </c>
      <c r="L501" s="76">
        <v>30</v>
      </c>
    </row>
    <row r="502" spans="1:12" ht="36.6" hidden="1" x14ac:dyDescent="0.3">
      <c r="A502" s="76" t="s">
        <v>60</v>
      </c>
      <c r="B502" s="76" t="s">
        <v>33</v>
      </c>
      <c r="C502" s="76" t="s">
        <v>64</v>
      </c>
      <c r="D502" s="80" t="s">
        <v>641</v>
      </c>
      <c r="E502" s="76" t="s">
        <v>42</v>
      </c>
      <c r="F502" s="68" t="s">
        <v>10</v>
      </c>
      <c r="G502" s="77">
        <v>46212</v>
      </c>
      <c r="H502" s="76" t="s">
        <v>69</v>
      </c>
      <c r="I502" s="78">
        <v>0.29166666666666669</v>
      </c>
      <c r="J502" s="78">
        <v>0.5</v>
      </c>
      <c r="K502" s="78">
        <v>0.91666666666666663</v>
      </c>
      <c r="L502" s="76">
        <v>420</v>
      </c>
    </row>
    <row r="503" spans="1:12" hidden="1" x14ac:dyDescent="0.3">
      <c r="A503" s="76" t="s">
        <v>60</v>
      </c>
      <c r="B503" s="76" t="s">
        <v>33</v>
      </c>
      <c r="C503" s="76" t="s">
        <v>65</v>
      </c>
      <c r="D503" s="80" t="s">
        <v>649</v>
      </c>
      <c r="E503" s="76" t="s">
        <v>401</v>
      </c>
      <c r="F503" s="68" t="s">
        <v>10</v>
      </c>
      <c r="G503" s="77">
        <v>46212</v>
      </c>
      <c r="H503" s="76" t="s">
        <v>69</v>
      </c>
      <c r="I503" s="78">
        <v>4.1666666666666664E-2</v>
      </c>
      <c r="J503" s="78">
        <v>0.58333333333333337</v>
      </c>
      <c r="K503" s="78">
        <v>0.625</v>
      </c>
      <c r="L503" s="76">
        <v>60</v>
      </c>
    </row>
    <row r="504" spans="1:12" ht="36.6" hidden="1" x14ac:dyDescent="0.3">
      <c r="A504" s="76" t="s">
        <v>60</v>
      </c>
      <c r="B504" s="76" t="s">
        <v>33</v>
      </c>
      <c r="C504" s="76" t="s">
        <v>64</v>
      </c>
      <c r="D504" s="80" t="s">
        <v>642</v>
      </c>
      <c r="E504" s="76" t="s">
        <v>42</v>
      </c>
      <c r="F504" s="69" t="s">
        <v>45</v>
      </c>
      <c r="G504" s="77">
        <v>46213</v>
      </c>
      <c r="H504" s="76" t="s">
        <v>69</v>
      </c>
      <c r="I504" s="78">
        <v>0.33333333333333331</v>
      </c>
      <c r="J504" s="78">
        <v>0.5</v>
      </c>
      <c r="K504" s="78">
        <v>0.91666666666666663</v>
      </c>
      <c r="L504" s="76">
        <v>480</v>
      </c>
    </row>
    <row r="505" spans="1:12" hidden="1" x14ac:dyDescent="0.3">
      <c r="A505" s="76" t="s">
        <v>60</v>
      </c>
      <c r="B505" s="76" t="s">
        <v>33</v>
      </c>
      <c r="C505" s="76" t="s">
        <v>65</v>
      </c>
      <c r="D505" s="80" t="s">
        <v>457</v>
      </c>
      <c r="E505" s="76" t="s">
        <v>401</v>
      </c>
      <c r="F505" s="68" t="s">
        <v>10</v>
      </c>
      <c r="G505" s="77">
        <v>46213</v>
      </c>
      <c r="H505" s="76" t="s">
        <v>69</v>
      </c>
      <c r="I505" s="78">
        <v>2.0833333333333332E-2</v>
      </c>
      <c r="J505" s="78">
        <v>0.58333333333333337</v>
      </c>
      <c r="K505" s="78">
        <v>0.60416666666666663</v>
      </c>
      <c r="L505" s="76">
        <v>30</v>
      </c>
    </row>
    <row r="506" spans="1:12" hidden="1" x14ac:dyDescent="0.3">
      <c r="A506" s="28" t="s">
        <v>46</v>
      </c>
      <c r="B506" s="28" t="s">
        <v>33</v>
      </c>
      <c r="C506" s="29" t="s">
        <v>56</v>
      </c>
      <c r="D506" s="30" t="s">
        <v>457</v>
      </c>
      <c r="E506" s="28" t="s">
        <v>401</v>
      </c>
      <c r="F506" s="68" t="s">
        <v>10</v>
      </c>
      <c r="G506" s="31">
        <v>46209</v>
      </c>
      <c r="H506" s="28" t="s">
        <v>47</v>
      </c>
      <c r="I506" s="67">
        <v>2.0833333333333332E-2</v>
      </c>
      <c r="J506" s="67">
        <v>0.58333333333333337</v>
      </c>
      <c r="K506" s="67">
        <v>0.60416666666666663</v>
      </c>
      <c r="L506" s="28">
        <v>30</v>
      </c>
    </row>
    <row r="507" spans="1:12" hidden="1" x14ac:dyDescent="0.3">
      <c r="A507" s="28" t="s">
        <v>46</v>
      </c>
      <c r="B507" s="28" t="s">
        <v>33</v>
      </c>
      <c r="C507" s="29" t="s">
        <v>72</v>
      </c>
      <c r="D507" s="30" t="s">
        <v>650</v>
      </c>
      <c r="E507" s="28" t="s">
        <v>124</v>
      </c>
      <c r="F507" s="69" t="s">
        <v>45</v>
      </c>
      <c r="G507" s="31">
        <v>46209</v>
      </c>
      <c r="H507" s="28" t="s">
        <v>47</v>
      </c>
      <c r="I507" s="67">
        <v>0.20833333333333334</v>
      </c>
      <c r="J507" s="67">
        <v>0.5</v>
      </c>
      <c r="K507" s="67">
        <v>0.89583333333333337</v>
      </c>
      <c r="L507" s="28">
        <v>300</v>
      </c>
    </row>
    <row r="508" spans="1:12" hidden="1" x14ac:dyDescent="0.3">
      <c r="A508" s="28" t="s">
        <v>46</v>
      </c>
      <c r="B508" s="28" t="s">
        <v>33</v>
      </c>
      <c r="C508" s="29" t="s">
        <v>56</v>
      </c>
      <c r="D508" s="30" t="s">
        <v>457</v>
      </c>
      <c r="E508" s="28" t="s">
        <v>401</v>
      </c>
      <c r="F508" s="68" t="s">
        <v>10</v>
      </c>
      <c r="G508" s="31">
        <v>46210</v>
      </c>
      <c r="H508" s="28" t="s">
        <v>47</v>
      </c>
      <c r="I508" s="67">
        <v>2.0833333333333332E-2</v>
      </c>
      <c r="J508" s="67">
        <v>0.58333333333333337</v>
      </c>
      <c r="K508" s="67">
        <v>0.60416666666666663</v>
      </c>
      <c r="L508" s="28">
        <v>30</v>
      </c>
    </row>
    <row r="509" spans="1:12" hidden="1" x14ac:dyDescent="0.3">
      <c r="A509" s="28" t="s">
        <v>46</v>
      </c>
      <c r="B509" s="28" t="s">
        <v>33</v>
      </c>
      <c r="C509" s="29" t="s">
        <v>56</v>
      </c>
      <c r="D509" s="30" t="s">
        <v>652</v>
      </c>
      <c r="E509" s="28" t="s">
        <v>124</v>
      </c>
      <c r="F509" s="68" t="s">
        <v>10</v>
      </c>
      <c r="G509" s="31">
        <v>46210</v>
      </c>
      <c r="H509" s="28" t="s">
        <v>47</v>
      </c>
      <c r="I509" s="67">
        <v>2.0833333333333332E-2</v>
      </c>
      <c r="J509" s="67">
        <v>0.64583333333333337</v>
      </c>
      <c r="K509" s="67">
        <v>0.66666666666666663</v>
      </c>
      <c r="L509" s="28">
        <v>30</v>
      </c>
    </row>
    <row r="510" spans="1:12" hidden="1" x14ac:dyDescent="0.3">
      <c r="A510" s="28" t="s">
        <v>46</v>
      </c>
      <c r="B510" s="28" t="s">
        <v>33</v>
      </c>
      <c r="C510" s="29" t="s">
        <v>72</v>
      </c>
      <c r="D510" s="30" t="s">
        <v>651</v>
      </c>
      <c r="E510" s="28" t="s">
        <v>42</v>
      </c>
      <c r="F510" s="69" t="s">
        <v>45</v>
      </c>
      <c r="G510" s="31">
        <v>46210</v>
      </c>
      <c r="H510" s="28" t="s">
        <v>47</v>
      </c>
      <c r="I510" s="67">
        <v>0.125</v>
      </c>
      <c r="J510" s="67">
        <v>0.625</v>
      </c>
      <c r="K510" s="67">
        <v>0.85416666666666663</v>
      </c>
      <c r="L510" s="28">
        <v>180</v>
      </c>
    </row>
    <row r="511" spans="1:12" hidden="1" x14ac:dyDescent="0.3">
      <c r="A511" s="28" t="s">
        <v>46</v>
      </c>
      <c r="B511" s="28" t="s">
        <v>33</v>
      </c>
      <c r="C511" s="29" t="s">
        <v>56</v>
      </c>
      <c r="D511" s="30" t="s">
        <v>457</v>
      </c>
      <c r="E511" s="28" t="s">
        <v>401</v>
      </c>
      <c r="F511" s="68" t="s">
        <v>10</v>
      </c>
      <c r="G511" s="31">
        <v>46211</v>
      </c>
      <c r="H511" s="28" t="s">
        <v>47</v>
      </c>
      <c r="I511" s="67">
        <v>2.0833333333333332E-2</v>
      </c>
      <c r="J511" s="67">
        <v>0.58333333333333337</v>
      </c>
      <c r="K511" s="67">
        <v>0.60416666666666663</v>
      </c>
      <c r="L511" s="28">
        <v>30</v>
      </c>
    </row>
    <row r="512" spans="1:12" hidden="1" x14ac:dyDescent="0.3">
      <c r="A512" s="28" t="s">
        <v>46</v>
      </c>
      <c r="B512" s="28" t="s">
        <v>33</v>
      </c>
      <c r="C512" s="29" t="s">
        <v>72</v>
      </c>
      <c r="D512" s="30" t="s">
        <v>651</v>
      </c>
      <c r="E512" s="28" t="s">
        <v>42</v>
      </c>
      <c r="F512" s="68" t="s">
        <v>10</v>
      </c>
      <c r="G512" s="31">
        <v>46211</v>
      </c>
      <c r="H512" s="28" t="s">
        <v>47</v>
      </c>
      <c r="I512" s="67">
        <v>0.25</v>
      </c>
      <c r="J512" s="67">
        <v>0.5</v>
      </c>
      <c r="K512" s="67">
        <v>0.89583333333333337</v>
      </c>
      <c r="L512" s="28">
        <v>360</v>
      </c>
    </row>
    <row r="513" spans="1:12" hidden="1" x14ac:dyDescent="0.3">
      <c r="A513" s="28" t="s">
        <v>46</v>
      </c>
      <c r="B513" s="28" t="s">
        <v>33</v>
      </c>
      <c r="C513" s="29" t="s">
        <v>56</v>
      </c>
      <c r="D513" s="30" t="s">
        <v>653</v>
      </c>
      <c r="E513" s="28" t="s">
        <v>401</v>
      </c>
      <c r="F513" s="68" t="s">
        <v>10</v>
      </c>
      <c r="G513" s="31">
        <v>46212</v>
      </c>
      <c r="H513" s="28" t="s">
        <v>47</v>
      </c>
      <c r="I513" s="67">
        <v>4.1666666666666664E-2</v>
      </c>
      <c r="J513" s="67">
        <v>0.58333333333333337</v>
      </c>
      <c r="K513" s="67">
        <v>0.625</v>
      </c>
      <c r="L513" s="28">
        <v>60</v>
      </c>
    </row>
    <row r="514" spans="1:12" hidden="1" x14ac:dyDescent="0.3">
      <c r="A514" s="28" t="s">
        <v>46</v>
      </c>
      <c r="B514" s="28" t="s">
        <v>33</v>
      </c>
      <c r="C514" s="29" t="s">
        <v>72</v>
      </c>
      <c r="D514" s="30" t="s">
        <v>651</v>
      </c>
      <c r="E514" s="28" t="s">
        <v>42</v>
      </c>
      <c r="F514" s="69" t="s">
        <v>45</v>
      </c>
      <c r="G514" s="31">
        <v>46212</v>
      </c>
      <c r="H514" s="28" t="s">
        <v>47</v>
      </c>
      <c r="I514" s="67">
        <v>0.25</v>
      </c>
      <c r="J514" s="67">
        <v>0.5</v>
      </c>
      <c r="K514" s="67">
        <v>0.89583333333333337</v>
      </c>
      <c r="L514" s="28">
        <v>360</v>
      </c>
    </row>
    <row r="515" spans="1:12" hidden="1" x14ac:dyDescent="0.3">
      <c r="A515" s="28" t="s">
        <v>46</v>
      </c>
      <c r="B515" s="28" t="s">
        <v>33</v>
      </c>
      <c r="C515" s="29" t="s">
        <v>72</v>
      </c>
      <c r="D515" s="30" t="s">
        <v>650</v>
      </c>
      <c r="E515" s="28" t="s">
        <v>124</v>
      </c>
      <c r="F515" s="68" t="s">
        <v>10</v>
      </c>
      <c r="G515" s="31">
        <v>46212</v>
      </c>
      <c r="H515" s="28" t="s">
        <v>47</v>
      </c>
      <c r="I515" s="67">
        <v>0.16666666666666666</v>
      </c>
      <c r="J515" s="67">
        <v>0.5</v>
      </c>
      <c r="K515" s="67">
        <v>0.89583333333333337</v>
      </c>
      <c r="L515" s="28">
        <v>240</v>
      </c>
    </row>
    <row r="516" spans="1:12" hidden="1" x14ac:dyDescent="0.3">
      <c r="A516" s="28" t="s">
        <v>46</v>
      </c>
      <c r="B516" s="28" t="s">
        <v>33</v>
      </c>
      <c r="C516" s="29" t="s">
        <v>56</v>
      </c>
      <c r="D516" s="30" t="s">
        <v>654</v>
      </c>
      <c r="E516" s="28" t="s">
        <v>124</v>
      </c>
      <c r="F516" s="68" t="s">
        <v>10</v>
      </c>
      <c r="G516" s="31">
        <v>46212</v>
      </c>
      <c r="H516" s="28" t="s">
        <v>47</v>
      </c>
      <c r="I516" s="67">
        <v>2.0833333333333332E-2</v>
      </c>
      <c r="J516" s="67">
        <v>0.83333333333333337</v>
      </c>
      <c r="K516" s="67">
        <v>0.85416666666666663</v>
      </c>
      <c r="L516" s="28">
        <v>30</v>
      </c>
    </row>
    <row r="517" spans="1:12" hidden="1" x14ac:dyDescent="0.3">
      <c r="A517" s="28" t="s">
        <v>46</v>
      </c>
      <c r="B517" s="28" t="s">
        <v>33</v>
      </c>
      <c r="C517" s="29" t="s">
        <v>56</v>
      </c>
      <c r="D517" s="30" t="s">
        <v>457</v>
      </c>
      <c r="E517" s="28" t="s">
        <v>401</v>
      </c>
      <c r="F517" s="68" t="s">
        <v>10</v>
      </c>
      <c r="G517" s="31">
        <v>46213</v>
      </c>
      <c r="H517" s="28" t="s">
        <v>47</v>
      </c>
      <c r="I517" s="67">
        <v>2.0833333333333332E-2</v>
      </c>
      <c r="J517" s="67">
        <v>0.58333333333333337</v>
      </c>
      <c r="K517" s="67">
        <v>0.60416666666666663</v>
      </c>
      <c r="L517" s="28">
        <v>30</v>
      </c>
    </row>
    <row r="518" spans="1:12" hidden="1" x14ac:dyDescent="0.3">
      <c r="A518" s="28" t="s">
        <v>46</v>
      </c>
      <c r="B518" s="28" t="s">
        <v>33</v>
      </c>
      <c r="C518" s="29" t="s">
        <v>72</v>
      </c>
      <c r="D518" s="30" t="s">
        <v>651</v>
      </c>
      <c r="E518" s="28" t="s">
        <v>42</v>
      </c>
      <c r="F518" s="69" t="s">
        <v>45</v>
      </c>
      <c r="G518" s="31">
        <v>46213</v>
      </c>
      <c r="H518" s="28" t="s">
        <v>47</v>
      </c>
      <c r="I518" s="67">
        <v>0.16666666666666666</v>
      </c>
      <c r="J518" s="67">
        <v>0.5</v>
      </c>
      <c r="K518" s="67">
        <v>0.89583333333333337</v>
      </c>
      <c r="L518" s="28">
        <v>240</v>
      </c>
    </row>
    <row r="519" spans="1:12" hidden="1" x14ac:dyDescent="0.3">
      <c r="A519" s="28" t="s">
        <v>46</v>
      </c>
      <c r="B519" s="28" t="s">
        <v>33</v>
      </c>
      <c r="C519" s="29" t="s">
        <v>72</v>
      </c>
      <c r="D519" s="30" t="s">
        <v>650</v>
      </c>
      <c r="E519" s="28" t="s">
        <v>124</v>
      </c>
      <c r="F519" s="69" t="s">
        <v>45</v>
      </c>
      <c r="G519" s="31">
        <v>46213</v>
      </c>
      <c r="H519" s="28" t="s">
        <v>47</v>
      </c>
      <c r="I519" s="67">
        <v>0.16666666666666666</v>
      </c>
      <c r="J519" s="67">
        <v>0.5</v>
      </c>
      <c r="K519" s="67">
        <v>0.89583333333333337</v>
      </c>
      <c r="L519" s="28">
        <v>240</v>
      </c>
    </row>
    <row r="520" spans="1:12" hidden="1" x14ac:dyDescent="0.3">
      <c r="A520" s="28" t="s">
        <v>46</v>
      </c>
      <c r="B520" s="28" t="s">
        <v>33</v>
      </c>
      <c r="C520" s="29" t="s">
        <v>56</v>
      </c>
      <c r="D520" s="30" t="s">
        <v>457</v>
      </c>
      <c r="E520" s="28" t="s">
        <v>401</v>
      </c>
      <c r="F520" s="68" t="s">
        <v>10</v>
      </c>
      <c r="G520" s="31">
        <v>46216</v>
      </c>
      <c r="H520" s="28" t="s">
        <v>47</v>
      </c>
      <c r="I520" s="67">
        <v>2.0833333333333332E-2</v>
      </c>
      <c r="J520" s="67">
        <v>0.58333333333333337</v>
      </c>
      <c r="K520" s="67">
        <v>0.60416666666666663</v>
      </c>
      <c r="L520" s="28">
        <v>30</v>
      </c>
    </row>
    <row r="521" spans="1:12" hidden="1" x14ac:dyDescent="0.3">
      <c r="A521" s="28" t="s">
        <v>46</v>
      </c>
      <c r="B521" s="28" t="s">
        <v>33</v>
      </c>
      <c r="C521" s="29" t="s">
        <v>72</v>
      </c>
      <c r="D521" s="30" t="s">
        <v>657</v>
      </c>
      <c r="E521" s="28" t="s">
        <v>42</v>
      </c>
      <c r="F521" s="68" t="s">
        <v>10</v>
      </c>
      <c r="G521" s="31">
        <v>46216</v>
      </c>
      <c r="H521" s="28" t="s">
        <v>47</v>
      </c>
      <c r="I521" s="67">
        <v>0.20833333333333334</v>
      </c>
      <c r="J521" s="67">
        <v>0.5</v>
      </c>
      <c r="K521" s="67">
        <v>0.89583333333333337</v>
      </c>
      <c r="L521" s="28">
        <v>300</v>
      </c>
    </row>
    <row r="522" spans="1:12" hidden="1" x14ac:dyDescent="0.3">
      <c r="A522" s="28" t="s">
        <v>46</v>
      </c>
      <c r="B522" s="28" t="s">
        <v>33</v>
      </c>
      <c r="C522" s="29" t="s">
        <v>56</v>
      </c>
      <c r="D522" s="30" t="s">
        <v>457</v>
      </c>
      <c r="E522" s="28" t="s">
        <v>401</v>
      </c>
      <c r="F522" s="68" t="s">
        <v>10</v>
      </c>
      <c r="G522" s="31">
        <v>46217</v>
      </c>
      <c r="H522" s="28" t="s">
        <v>47</v>
      </c>
      <c r="I522" s="67">
        <v>2.0833333333333332E-2</v>
      </c>
      <c r="J522" s="67">
        <v>0.58333333333333337</v>
      </c>
      <c r="K522" s="67">
        <v>0.60416666666666663</v>
      </c>
      <c r="L522" s="28">
        <v>30</v>
      </c>
    </row>
    <row r="523" spans="1:12" hidden="1" x14ac:dyDescent="0.3">
      <c r="A523" s="28" t="s">
        <v>46</v>
      </c>
      <c r="B523" s="28" t="s">
        <v>33</v>
      </c>
      <c r="C523" s="29" t="s">
        <v>72</v>
      </c>
      <c r="D523" s="30" t="s">
        <v>651</v>
      </c>
      <c r="E523" s="28" t="s">
        <v>42</v>
      </c>
      <c r="F523" s="69" t="s">
        <v>45</v>
      </c>
      <c r="G523" s="31">
        <v>46217</v>
      </c>
      <c r="H523" s="28" t="s">
        <v>47</v>
      </c>
      <c r="I523" s="67">
        <v>0.125</v>
      </c>
      <c r="J523" s="67">
        <v>0.52083333333333337</v>
      </c>
      <c r="K523" s="67">
        <v>0.66666666666666663</v>
      </c>
      <c r="L523" s="28">
        <v>180</v>
      </c>
    </row>
    <row r="524" spans="1:12" hidden="1" x14ac:dyDescent="0.3">
      <c r="A524" s="28" t="s">
        <v>46</v>
      </c>
      <c r="B524" s="28" t="s">
        <v>33</v>
      </c>
      <c r="C524" s="29" t="s">
        <v>72</v>
      </c>
      <c r="D524" s="30" t="s">
        <v>586</v>
      </c>
      <c r="E524" s="28" t="s">
        <v>124</v>
      </c>
      <c r="F524" s="68" t="s">
        <v>10</v>
      </c>
      <c r="G524" s="31">
        <v>46217</v>
      </c>
      <c r="H524" s="28" t="s">
        <v>47</v>
      </c>
      <c r="I524" s="67">
        <v>0.20833333333333334</v>
      </c>
      <c r="J524" s="67">
        <v>0.625</v>
      </c>
      <c r="K524" s="67">
        <v>0.85416666666666663</v>
      </c>
      <c r="L524" s="28">
        <v>300</v>
      </c>
    </row>
    <row r="525" spans="1:12" hidden="1" x14ac:dyDescent="0.3">
      <c r="A525" s="28" t="s">
        <v>46</v>
      </c>
      <c r="B525" s="28" t="s">
        <v>33</v>
      </c>
      <c r="C525" s="29" t="s">
        <v>56</v>
      </c>
      <c r="D525" s="30" t="s">
        <v>457</v>
      </c>
      <c r="E525" s="28" t="s">
        <v>401</v>
      </c>
      <c r="F525" s="68" t="s">
        <v>10</v>
      </c>
      <c r="G525" s="31">
        <v>46218</v>
      </c>
      <c r="H525" s="28" t="s">
        <v>47</v>
      </c>
      <c r="I525" s="67">
        <v>2.0833333333333332E-2</v>
      </c>
      <c r="J525" s="67">
        <v>0.58333333333333337</v>
      </c>
      <c r="K525" s="67">
        <v>0.60416666666666663</v>
      </c>
      <c r="L525" s="28">
        <v>30</v>
      </c>
    </row>
    <row r="526" spans="1:12" hidden="1" x14ac:dyDescent="0.3">
      <c r="A526" s="28" t="s">
        <v>46</v>
      </c>
      <c r="B526" s="28" t="s">
        <v>33</v>
      </c>
      <c r="C526" s="29" t="s">
        <v>56</v>
      </c>
      <c r="D526" s="30" t="s">
        <v>658</v>
      </c>
      <c r="E526" s="28" t="s">
        <v>401</v>
      </c>
      <c r="F526" s="68" t="s">
        <v>10</v>
      </c>
      <c r="G526" s="31">
        <v>46218</v>
      </c>
      <c r="H526" s="28" t="s">
        <v>47</v>
      </c>
      <c r="I526" s="67">
        <v>0.16666666666666666</v>
      </c>
      <c r="J526" s="67">
        <v>0.5</v>
      </c>
      <c r="K526" s="67">
        <v>0.89583333333333337</v>
      </c>
      <c r="L526" s="28">
        <v>240</v>
      </c>
    </row>
    <row r="527" spans="1:12" hidden="1" x14ac:dyDescent="0.3">
      <c r="A527" s="28" t="s">
        <v>46</v>
      </c>
      <c r="B527" s="28" t="s">
        <v>33</v>
      </c>
      <c r="C527" s="29" t="s">
        <v>72</v>
      </c>
      <c r="D527" s="30" t="s">
        <v>651</v>
      </c>
      <c r="E527" s="28" t="s">
        <v>42</v>
      </c>
      <c r="F527" s="69" t="s">
        <v>45</v>
      </c>
      <c r="G527" s="31">
        <v>46219</v>
      </c>
      <c r="H527" s="28" t="s">
        <v>47</v>
      </c>
      <c r="I527" s="67">
        <v>0.25</v>
      </c>
      <c r="J527" s="67">
        <v>0.5</v>
      </c>
      <c r="K527" s="67">
        <v>0.89583333333333337</v>
      </c>
      <c r="L527" s="28">
        <v>360</v>
      </c>
    </row>
    <row r="528" spans="1:12" hidden="1" x14ac:dyDescent="0.3">
      <c r="A528" s="28" t="s">
        <v>46</v>
      </c>
      <c r="B528" s="28" t="s">
        <v>33</v>
      </c>
      <c r="C528" s="29" t="s">
        <v>72</v>
      </c>
      <c r="D528" s="30" t="s">
        <v>650</v>
      </c>
      <c r="E528" s="28" t="s">
        <v>124</v>
      </c>
      <c r="F528" s="69" t="s">
        <v>45</v>
      </c>
      <c r="G528" s="31">
        <v>46219</v>
      </c>
      <c r="H528" s="28" t="s">
        <v>47</v>
      </c>
      <c r="I528" s="67">
        <v>8.3333333333333329E-2</v>
      </c>
      <c r="J528" s="67">
        <v>0.5</v>
      </c>
      <c r="K528" s="67">
        <v>0.89583333333333337</v>
      </c>
      <c r="L528" s="28">
        <v>120</v>
      </c>
    </row>
    <row r="529" spans="1:12" hidden="1" x14ac:dyDescent="0.3">
      <c r="A529" s="28" t="s">
        <v>46</v>
      </c>
      <c r="B529" s="28" t="s">
        <v>33</v>
      </c>
      <c r="C529" s="29" t="s">
        <v>56</v>
      </c>
      <c r="D529" s="30" t="s">
        <v>658</v>
      </c>
      <c r="E529" s="28" t="s">
        <v>401</v>
      </c>
      <c r="F529" s="68" t="s">
        <v>10</v>
      </c>
      <c r="G529" s="31">
        <v>46219</v>
      </c>
      <c r="H529" s="28" t="s">
        <v>47</v>
      </c>
      <c r="I529" s="67">
        <v>0.1875</v>
      </c>
      <c r="J529" s="67">
        <v>0.54166666666666663</v>
      </c>
      <c r="K529" s="67">
        <v>0.89583333333333337</v>
      </c>
      <c r="L529" s="28">
        <v>270</v>
      </c>
    </row>
    <row r="530" spans="1:12" hidden="1" x14ac:dyDescent="0.3">
      <c r="A530" s="28" t="s">
        <v>46</v>
      </c>
      <c r="B530" s="28" t="s">
        <v>33</v>
      </c>
      <c r="C530" s="29" t="s">
        <v>56</v>
      </c>
      <c r="D530" s="30" t="s">
        <v>457</v>
      </c>
      <c r="E530" s="28" t="s">
        <v>401</v>
      </c>
      <c r="F530" s="68" t="s">
        <v>10</v>
      </c>
      <c r="G530" s="31">
        <v>46220</v>
      </c>
      <c r="H530" s="28" t="s">
        <v>47</v>
      </c>
      <c r="I530" s="67">
        <v>2.0833333333333332E-2</v>
      </c>
      <c r="J530" s="67">
        <v>0.58333333333333337</v>
      </c>
      <c r="K530" s="67">
        <v>0.60416666666666663</v>
      </c>
      <c r="L530" s="28">
        <v>30</v>
      </c>
    </row>
    <row r="531" spans="1:12" hidden="1" x14ac:dyDescent="0.3">
      <c r="A531" s="28" t="s">
        <v>46</v>
      </c>
      <c r="B531" s="28" t="s">
        <v>33</v>
      </c>
      <c r="C531" s="29" t="s">
        <v>72</v>
      </c>
      <c r="D531" s="30" t="s">
        <v>651</v>
      </c>
      <c r="E531" s="28" t="s">
        <v>42</v>
      </c>
      <c r="F531" s="69" t="s">
        <v>45</v>
      </c>
      <c r="G531" s="31">
        <v>46220</v>
      </c>
      <c r="H531" s="28" t="s">
        <v>47</v>
      </c>
      <c r="I531" s="67">
        <v>0.29166666666666669</v>
      </c>
      <c r="J531" s="67">
        <v>0.5</v>
      </c>
      <c r="K531" s="67">
        <v>0.89583333333333337</v>
      </c>
      <c r="L531" s="28">
        <v>420</v>
      </c>
    </row>
    <row r="532" spans="1:12" ht="36.6" hidden="1" x14ac:dyDescent="0.3">
      <c r="A532" s="76" t="s">
        <v>60</v>
      </c>
      <c r="B532" s="76" t="s">
        <v>33</v>
      </c>
      <c r="C532" s="76" t="s">
        <v>64</v>
      </c>
      <c r="D532" s="80" t="s">
        <v>659</v>
      </c>
      <c r="E532" s="76" t="s">
        <v>42</v>
      </c>
      <c r="F532" s="68" t="s">
        <v>10</v>
      </c>
      <c r="G532" s="77">
        <v>46216</v>
      </c>
      <c r="H532" s="76" t="s">
        <v>69</v>
      </c>
      <c r="I532" s="78">
        <v>0.33333333333333331</v>
      </c>
      <c r="J532" s="78">
        <v>0.5</v>
      </c>
      <c r="K532" s="78">
        <v>0.875</v>
      </c>
      <c r="L532" s="76">
        <v>480</v>
      </c>
    </row>
    <row r="533" spans="1:12" hidden="1" x14ac:dyDescent="0.3">
      <c r="A533" s="76" t="s">
        <v>60</v>
      </c>
      <c r="B533" s="76" t="s">
        <v>33</v>
      </c>
      <c r="C533" s="76" t="s">
        <v>65</v>
      </c>
      <c r="D533" s="80" t="s">
        <v>457</v>
      </c>
      <c r="E533" s="76" t="s">
        <v>401</v>
      </c>
      <c r="F533" s="68" t="s">
        <v>10</v>
      </c>
      <c r="G533" s="77">
        <v>46216</v>
      </c>
      <c r="H533" s="76" t="s">
        <v>69</v>
      </c>
      <c r="I533" s="78">
        <v>2.0833333333333332E-2</v>
      </c>
      <c r="J533" s="78">
        <v>0.58333333333333337</v>
      </c>
      <c r="K533" s="78">
        <v>0.60416666666666663</v>
      </c>
      <c r="L533" s="76">
        <v>30</v>
      </c>
    </row>
    <row r="534" spans="1:12" ht="24.6" hidden="1" x14ac:dyDescent="0.3">
      <c r="A534" s="76" t="s">
        <v>60</v>
      </c>
      <c r="B534" s="76" t="s">
        <v>33</v>
      </c>
      <c r="C534" s="76" t="s">
        <v>64</v>
      </c>
      <c r="D534" s="80" t="s">
        <v>661</v>
      </c>
      <c r="E534" s="76" t="s">
        <v>42</v>
      </c>
      <c r="F534" s="69" t="s">
        <v>45</v>
      </c>
      <c r="G534" s="77">
        <v>46217</v>
      </c>
      <c r="H534" s="76" t="s">
        <v>69</v>
      </c>
      <c r="I534" s="78">
        <v>0.33333333333333331</v>
      </c>
      <c r="J534" s="78">
        <v>0.5</v>
      </c>
      <c r="K534" s="78">
        <v>6.875</v>
      </c>
      <c r="L534" s="76">
        <v>480</v>
      </c>
    </row>
    <row r="535" spans="1:12" hidden="1" x14ac:dyDescent="0.3">
      <c r="A535" s="76" t="s">
        <v>60</v>
      </c>
      <c r="B535" s="76" t="s">
        <v>33</v>
      </c>
      <c r="C535" s="76" t="s">
        <v>65</v>
      </c>
      <c r="D535" s="80" t="s">
        <v>457</v>
      </c>
      <c r="E535" s="76" t="s">
        <v>401</v>
      </c>
      <c r="F535" s="68" t="s">
        <v>10</v>
      </c>
      <c r="G535" s="77">
        <v>46217</v>
      </c>
      <c r="H535" s="76" t="s">
        <v>69</v>
      </c>
      <c r="I535" s="78">
        <v>2.0833333333333332E-2</v>
      </c>
      <c r="J535" s="78">
        <v>0.58333333333333337</v>
      </c>
      <c r="K535" s="78">
        <v>0.60416666666666663</v>
      </c>
      <c r="L535" s="76">
        <v>30</v>
      </c>
    </row>
    <row r="536" spans="1:12" ht="36.6" hidden="1" x14ac:dyDescent="0.3">
      <c r="A536" s="76" t="s">
        <v>60</v>
      </c>
      <c r="B536" s="76" t="s">
        <v>33</v>
      </c>
      <c r="C536" s="76" t="s">
        <v>64</v>
      </c>
      <c r="D536" s="80" t="s">
        <v>660</v>
      </c>
      <c r="E536" s="76" t="s">
        <v>42</v>
      </c>
      <c r="F536" s="68" t="s">
        <v>10</v>
      </c>
      <c r="G536" s="77">
        <v>46218</v>
      </c>
      <c r="H536" s="76" t="s">
        <v>69</v>
      </c>
      <c r="I536" s="78">
        <v>0.1875</v>
      </c>
      <c r="J536" s="78">
        <v>0.52083333333333337</v>
      </c>
      <c r="K536" s="78">
        <v>0.875</v>
      </c>
      <c r="L536" s="76">
        <v>270</v>
      </c>
    </row>
    <row r="537" spans="1:12" hidden="1" x14ac:dyDescent="0.3">
      <c r="A537" s="76" t="s">
        <v>60</v>
      </c>
      <c r="B537" s="76" t="s">
        <v>33</v>
      </c>
      <c r="C537" s="76" t="s">
        <v>65</v>
      </c>
      <c r="D537" s="80" t="s">
        <v>658</v>
      </c>
      <c r="E537" s="76" t="s">
        <v>401</v>
      </c>
      <c r="F537" s="68" t="s">
        <v>10</v>
      </c>
      <c r="G537" s="77">
        <v>46218</v>
      </c>
      <c r="H537" s="76" t="s">
        <v>69</v>
      </c>
      <c r="I537" s="78">
        <v>0.16666666666666666</v>
      </c>
      <c r="J537" s="78">
        <v>0.54166666666666663</v>
      </c>
      <c r="K537" s="78">
        <v>0.77083333333333337</v>
      </c>
      <c r="L537" s="76">
        <v>240</v>
      </c>
    </row>
    <row r="538" spans="1:12" ht="24.6" hidden="1" x14ac:dyDescent="0.3">
      <c r="A538" s="76" t="s">
        <v>60</v>
      </c>
      <c r="B538" s="76" t="s">
        <v>33</v>
      </c>
      <c r="C538" s="76" t="s">
        <v>64</v>
      </c>
      <c r="D538" s="80" t="s">
        <v>663</v>
      </c>
      <c r="E538" s="76" t="s">
        <v>42</v>
      </c>
      <c r="F538" s="69" t="s">
        <v>45</v>
      </c>
      <c r="G538" s="77">
        <v>46219</v>
      </c>
      <c r="H538" s="76" t="s">
        <v>69</v>
      </c>
      <c r="I538" s="78">
        <v>0.16666666666666666</v>
      </c>
      <c r="J538" s="78">
        <v>0.5</v>
      </c>
      <c r="K538" s="78">
        <v>0.91666666666666663</v>
      </c>
      <c r="L538" s="76">
        <v>240</v>
      </c>
    </row>
    <row r="539" spans="1:12" hidden="1" x14ac:dyDescent="0.3">
      <c r="A539" s="76" t="s">
        <v>60</v>
      </c>
      <c r="B539" s="76" t="s">
        <v>33</v>
      </c>
      <c r="C539" s="76" t="s">
        <v>65</v>
      </c>
      <c r="D539" s="80" t="s">
        <v>658</v>
      </c>
      <c r="E539" s="76" t="s">
        <v>401</v>
      </c>
      <c r="F539" s="68" t="s">
        <v>10</v>
      </c>
      <c r="G539" s="77">
        <v>46219</v>
      </c>
      <c r="H539" s="76" t="s">
        <v>69</v>
      </c>
      <c r="I539" s="78">
        <v>0.1875</v>
      </c>
      <c r="J539" s="78">
        <v>0.54166666666666663</v>
      </c>
      <c r="K539" s="78">
        <v>0.75</v>
      </c>
      <c r="L539" s="76">
        <v>270</v>
      </c>
    </row>
    <row r="540" spans="1:12" ht="36.6" hidden="1" x14ac:dyDescent="0.3">
      <c r="A540" s="76" t="s">
        <v>60</v>
      </c>
      <c r="B540" s="76" t="s">
        <v>33</v>
      </c>
      <c r="C540" s="76" t="s">
        <v>64</v>
      </c>
      <c r="D540" s="80" t="s">
        <v>662</v>
      </c>
      <c r="E540" s="76" t="s">
        <v>42</v>
      </c>
      <c r="F540" s="68" t="s">
        <v>10</v>
      </c>
      <c r="G540" s="77">
        <v>46220</v>
      </c>
      <c r="H540" s="76" t="s">
        <v>69</v>
      </c>
      <c r="I540" s="78">
        <v>0.33333333333333331</v>
      </c>
      <c r="J540" s="78">
        <v>0.5</v>
      </c>
      <c r="K540" s="78">
        <v>0.91666666666666663</v>
      </c>
      <c r="L540" s="76">
        <v>480</v>
      </c>
    </row>
    <row r="541" spans="1:12" hidden="1" x14ac:dyDescent="0.3">
      <c r="A541" s="76" t="s">
        <v>60</v>
      </c>
      <c r="B541" s="76" t="s">
        <v>33</v>
      </c>
      <c r="C541" s="76" t="s">
        <v>65</v>
      </c>
      <c r="D541" s="80" t="s">
        <v>457</v>
      </c>
      <c r="E541" s="76" t="s">
        <v>401</v>
      </c>
      <c r="F541" s="68" t="s">
        <v>10</v>
      </c>
      <c r="G541" s="77">
        <v>46220</v>
      </c>
      <c r="H541" s="76" t="s">
        <v>69</v>
      </c>
      <c r="I541" s="78">
        <v>2.0833333333333332E-2</v>
      </c>
      <c r="J541" s="78">
        <v>0.58333333333333337</v>
      </c>
      <c r="K541" s="78">
        <v>0.60416666666666663</v>
      </c>
      <c r="L541" s="76">
        <v>30</v>
      </c>
    </row>
    <row r="542" spans="1:12" ht="24.6" hidden="1" x14ac:dyDescent="0.3">
      <c r="A542" s="76" t="s">
        <v>60</v>
      </c>
      <c r="B542" s="76" t="s">
        <v>33</v>
      </c>
      <c r="C542" s="76" t="s">
        <v>64</v>
      </c>
      <c r="D542" s="80" t="s">
        <v>670</v>
      </c>
      <c r="E542" s="76" t="s">
        <v>42</v>
      </c>
      <c r="F542" s="69" t="s">
        <v>45</v>
      </c>
      <c r="G542" s="77">
        <v>46223</v>
      </c>
      <c r="H542" s="76" t="s">
        <v>69</v>
      </c>
      <c r="I542" s="78">
        <v>0.33333333333333331</v>
      </c>
      <c r="J542" s="78">
        <v>0.5</v>
      </c>
      <c r="K542" s="78">
        <v>0.875</v>
      </c>
      <c r="L542" s="76">
        <v>480</v>
      </c>
    </row>
    <row r="543" spans="1:12" hidden="1" x14ac:dyDescent="0.3">
      <c r="A543" s="76" t="s">
        <v>60</v>
      </c>
      <c r="B543" s="76" t="s">
        <v>33</v>
      </c>
      <c r="C543" s="76" t="s">
        <v>65</v>
      </c>
      <c r="D543" s="80" t="s">
        <v>457</v>
      </c>
      <c r="E543" s="76" t="s">
        <v>401</v>
      </c>
      <c r="F543" s="68" t="s">
        <v>10</v>
      </c>
      <c r="G543" s="77">
        <v>46223</v>
      </c>
      <c r="H543" s="76" t="s">
        <v>69</v>
      </c>
      <c r="I543" s="78">
        <v>2.0833333333333332E-2</v>
      </c>
      <c r="J543" s="78">
        <v>0.58333333333333337</v>
      </c>
      <c r="K543" s="78">
        <v>0.60416666666666663</v>
      </c>
      <c r="L543" s="76">
        <v>30</v>
      </c>
    </row>
    <row r="544" spans="1:12" ht="36.6" hidden="1" x14ac:dyDescent="0.3">
      <c r="A544" s="76" t="s">
        <v>60</v>
      </c>
      <c r="B544" s="76" t="s">
        <v>33</v>
      </c>
      <c r="C544" s="76" t="s">
        <v>64</v>
      </c>
      <c r="D544" s="80" t="s">
        <v>671</v>
      </c>
      <c r="E544" s="76" t="s">
        <v>42</v>
      </c>
      <c r="F544" s="68" t="s">
        <v>10</v>
      </c>
      <c r="G544" s="77">
        <v>46224</v>
      </c>
      <c r="H544" s="76" t="s">
        <v>69</v>
      </c>
      <c r="I544" s="78">
        <v>0.33333333333333331</v>
      </c>
      <c r="J544" s="78">
        <v>0.5</v>
      </c>
      <c r="K544" s="78">
        <v>6.875</v>
      </c>
      <c r="L544" s="76">
        <v>480</v>
      </c>
    </row>
    <row r="545" spans="1:12" hidden="1" x14ac:dyDescent="0.3">
      <c r="A545" s="76" t="s">
        <v>60</v>
      </c>
      <c r="B545" s="76" t="s">
        <v>33</v>
      </c>
      <c r="C545" s="76" t="s">
        <v>65</v>
      </c>
      <c r="D545" s="80" t="s">
        <v>457</v>
      </c>
      <c r="E545" s="76" t="s">
        <v>401</v>
      </c>
      <c r="F545" s="68" t="s">
        <v>10</v>
      </c>
      <c r="G545" s="77">
        <v>46224</v>
      </c>
      <c r="H545" s="76" t="s">
        <v>69</v>
      </c>
      <c r="I545" s="78">
        <v>2.0833333333333332E-2</v>
      </c>
      <c r="J545" s="78">
        <v>0.58333333333333337</v>
      </c>
      <c r="K545" s="78">
        <v>0.60416666666666663</v>
      </c>
      <c r="L545" s="76">
        <v>30</v>
      </c>
    </row>
    <row r="546" spans="1:12" ht="24.6" hidden="1" x14ac:dyDescent="0.3">
      <c r="A546" s="76" t="s">
        <v>60</v>
      </c>
      <c r="B546" s="76" t="s">
        <v>33</v>
      </c>
      <c r="C546" s="76" t="s">
        <v>64</v>
      </c>
      <c r="D546" s="80" t="s">
        <v>672</v>
      </c>
      <c r="E546" s="76" t="s">
        <v>42</v>
      </c>
      <c r="F546" s="69" t="s">
        <v>45</v>
      </c>
      <c r="G546" s="77">
        <v>46225</v>
      </c>
      <c r="H546" s="76" t="s">
        <v>69</v>
      </c>
      <c r="I546" s="78">
        <v>0.3125</v>
      </c>
      <c r="J546" s="78">
        <v>0.52083333333333337</v>
      </c>
      <c r="K546" s="78">
        <v>0.875</v>
      </c>
      <c r="L546" s="76">
        <v>450</v>
      </c>
    </row>
    <row r="547" spans="1:12" hidden="1" x14ac:dyDescent="0.3">
      <c r="A547" s="76" t="s">
        <v>60</v>
      </c>
      <c r="B547" s="76" t="s">
        <v>33</v>
      </c>
      <c r="C547" s="76" t="s">
        <v>65</v>
      </c>
      <c r="D547" s="80" t="s">
        <v>457</v>
      </c>
      <c r="E547" s="76" t="s">
        <v>401</v>
      </c>
      <c r="F547" s="68" t="s">
        <v>10</v>
      </c>
      <c r="G547" s="77">
        <v>46225</v>
      </c>
      <c r="H547" s="76" t="s">
        <v>69</v>
      </c>
      <c r="I547" s="78">
        <v>2.0833333333333332E-2</v>
      </c>
      <c r="J547" s="78">
        <v>0.58333333333333337</v>
      </c>
      <c r="K547" s="78">
        <v>0.60416666666666663</v>
      </c>
      <c r="L547" s="76">
        <v>30</v>
      </c>
    </row>
    <row r="548" spans="1:12" ht="36.6" hidden="1" x14ac:dyDescent="0.3">
      <c r="A548" s="76" t="s">
        <v>60</v>
      </c>
      <c r="B548" s="76" t="s">
        <v>33</v>
      </c>
      <c r="C548" s="76" t="s">
        <v>64</v>
      </c>
      <c r="D548" s="80" t="s">
        <v>673</v>
      </c>
      <c r="E548" s="76" t="s">
        <v>42</v>
      </c>
      <c r="F548" s="68" t="s">
        <v>10</v>
      </c>
      <c r="G548" s="77">
        <v>46226</v>
      </c>
      <c r="H548" s="76" t="s">
        <v>69</v>
      </c>
      <c r="I548" s="78">
        <v>0.29166666666666669</v>
      </c>
      <c r="J548" s="78">
        <v>0.5</v>
      </c>
      <c r="K548" s="78">
        <v>0.91666666666666663</v>
      </c>
      <c r="L548" s="76">
        <v>420</v>
      </c>
    </row>
    <row r="549" spans="1:12" hidden="1" x14ac:dyDescent="0.3">
      <c r="A549" s="76" t="s">
        <v>60</v>
      </c>
      <c r="B549" s="76" t="s">
        <v>33</v>
      </c>
      <c r="C549" s="76" t="s">
        <v>65</v>
      </c>
      <c r="D549" s="80" t="s">
        <v>457</v>
      </c>
      <c r="E549" s="76" t="s">
        <v>401</v>
      </c>
      <c r="F549" s="68" t="s">
        <v>10</v>
      </c>
      <c r="G549" s="77">
        <v>46226</v>
      </c>
      <c r="H549" s="76" t="s">
        <v>69</v>
      </c>
      <c r="I549" s="78">
        <v>2.0833333333333332E-2</v>
      </c>
      <c r="J549" s="78">
        <v>0.58333333333333337</v>
      </c>
      <c r="K549" s="78">
        <v>0.60416666666666663</v>
      </c>
      <c r="L549" s="76">
        <v>30</v>
      </c>
    </row>
    <row r="550" spans="1:12" ht="24.6" hidden="1" x14ac:dyDescent="0.3">
      <c r="A550" s="76" t="s">
        <v>60</v>
      </c>
      <c r="B550" s="76" t="s">
        <v>33</v>
      </c>
      <c r="C550" s="76" t="s">
        <v>64</v>
      </c>
      <c r="D550" s="80" t="s">
        <v>674</v>
      </c>
      <c r="E550" s="76" t="s">
        <v>42</v>
      </c>
      <c r="F550" s="69" t="s">
        <v>45</v>
      </c>
      <c r="G550" s="77">
        <v>46227</v>
      </c>
      <c r="H550" s="76" t="s">
        <v>69</v>
      </c>
      <c r="I550" s="78">
        <v>0.3125</v>
      </c>
      <c r="J550" s="78">
        <v>0.5</v>
      </c>
      <c r="K550" s="78">
        <v>0.91666666666666663</v>
      </c>
      <c r="L550" s="76">
        <v>450</v>
      </c>
    </row>
    <row r="551" spans="1:12" hidden="1" x14ac:dyDescent="0.3">
      <c r="A551" s="76" t="s">
        <v>60</v>
      </c>
      <c r="B551" s="76" t="s">
        <v>33</v>
      </c>
      <c r="C551" s="76" t="s">
        <v>65</v>
      </c>
      <c r="D551" s="80" t="s">
        <v>457</v>
      </c>
      <c r="E551" s="76" t="s">
        <v>401</v>
      </c>
      <c r="F551" s="68" t="s">
        <v>10</v>
      </c>
      <c r="G551" s="77">
        <v>46227</v>
      </c>
      <c r="H551" s="76" t="s">
        <v>69</v>
      </c>
      <c r="I551" s="78">
        <v>2.0833333333333332E-2</v>
      </c>
      <c r="J551" s="78">
        <v>0.58333333333333337</v>
      </c>
      <c r="K551" s="78">
        <v>0.60416666666666663</v>
      </c>
      <c r="L551" s="76">
        <v>30</v>
      </c>
    </row>
    <row r="552" spans="1:12" hidden="1" x14ac:dyDescent="0.3">
      <c r="A552" s="76" t="s">
        <v>60</v>
      </c>
      <c r="B552" s="76" t="s">
        <v>33</v>
      </c>
      <c r="C552" s="76" t="s">
        <v>65</v>
      </c>
      <c r="D552" s="80" t="s">
        <v>675</v>
      </c>
      <c r="E552" s="76" t="s">
        <v>676</v>
      </c>
      <c r="F552" s="68" t="s">
        <v>10</v>
      </c>
      <c r="G552" s="77">
        <v>46227</v>
      </c>
      <c r="H552" s="76" t="s">
        <v>69</v>
      </c>
      <c r="I552" s="78">
        <v>2.0833333333333332E-2</v>
      </c>
      <c r="J552" s="78">
        <v>0.58333333333333337</v>
      </c>
      <c r="K552" s="78">
        <v>0.60416666666666663</v>
      </c>
      <c r="L552" s="76">
        <v>30</v>
      </c>
    </row>
    <row r="553" spans="1:12" hidden="1" x14ac:dyDescent="0.3">
      <c r="A553" s="28" t="s">
        <v>46</v>
      </c>
      <c r="B553" s="28" t="s">
        <v>33</v>
      </c>
      <c r="C553" s="29" t="s">
        <v>56</v>
      </c>
      <c r="D553" s="30" t="s">
        <v>457</v>
      </c>
      <c r="E553" s="28" t="s">
        <v>401</v>
      </c>
      <c r="F553" s="68" t="s">
        <v>10</v>
      </c>
      <c r="G553" s="31">
        <v>46223</v>
      </c>
      <c r="H553" s="28" t="s">
        <v>47</v>
      </c>
      <c r="I553" s="67">
        <v>2.0833333333333332E-2</v>
      </c>
      <c r="J553" s="67">
        <v>0.58333333333333337</v>
      </c>
      <c r="K553" s="67">
        <v>0.60416666666666663</v>
      </c>
      <c r="L553" s="28">
        <v>30</v>
      </c>
    </row>
    <row r="554" spans="1:12" ht="36.6" hidden="1" x14ac:dyDescent="0.3">
      <c r="A554" s="28" t="s">
        <v>46</v>
      </c>
      <c r="B554" s="28" t="s">
        <v>33</v>
      </c>
      <c r="C554" s="29" t="s">
        <v>72</v>
      </c>
      <c r="D554" s="30" t="s">
        <v>684</v>
      </c>
      <c r="E554" s="28" t="s">
        <v>124</v>
      </c>
      <c r="F554" s="69" t="s">
        <v>45</v>
      </c>
      <c r="G554" s="31">
        <v>46223</v>
      </c>
      <c r="H554" s="28" t="s">
        <v>47</v>
      </c>
      <c r="I554" s="67">
        <v>0.16666666666666666</v>
      </c>
      <c r="J554" s="67">
        <v>0.5</v>
      </c>
      <c r="K554" s="67">
        <v>0.89583333333333337</v>
      </c>
      <c r="L554" s="28">
        <v>240</v>
      </c>
    </row>
    <row r="555" spans="1:12" hidden="1" x14ac:dyDescent="0.3">
      <c r="A555" s="28" t="s">
        <v>46</v>
      </c>
      <c r="B555" s="28" t="s">
        <v>33</v>
      </c>
      <c r="C555" s="29" t="s">
        <v>56</v>
      </c>
      <c r="D555" s="30" t="s">
        <v>457</v>
      </c>
      <c r="E555" s="28" t="s">
        <v>401</v>
      </c>
      <c r="F555" s="68" t="s">
        <v>10</v>
      </c>
      <c r="G555" s="31">
        <v>46224</v>
      </c>
      <c r="H555" s="28" t="s">
        <v>47</v>
      </c>
      <c r="I555" s="67">
        <v>2.0833333333333332E-2</v>
      </c>
      <c r="J555" s="67">
        <v>0.58333333333333337</v>
      </c>
      <c r="K555" s="67">
        <v>0.60416666666666663</v>
      </c>
      <c r="L555" s="28">
        <v>30</v>
      </c>
    </row>
    <row r="556" spans="1:12" ht="84.6" hidden="1" x14ac:dyDescent="0.3">
      <c r="A556" s="28" t="s">
        <v>46</v>
      </c>
      <c r="B556" s="28" t="s">
        <v>33</v>
      </c>
      <c r="C556" s="29" t="s">
        <v>72</v>
      </c>
      <c r="D556" s="30" t="s">
        <v>685</v>
      </c>
      <c r="E556" s="28" t="s">
        <v>124</v>
      </c>
      <c r="F556" s="69" t="s">
        <v>45</v>
      </c>
      <c r="G556" s="31">
        <v>46224</v>
      </c>
      <c r="H556" s="28" t="s">
        <v>47</v>
      </c>
      <c r="I556" s="67">
        <v>0.16666666666666666</v>
      </c>
      <c r="J556" s="67">
        <v>0.5</v>
      </c>
      <c r="K556" s="67">
        <v>0.89583333333333337</v>
      </c>
      <c r="L556" s="28">
        <v>240</v>
      </c>
    </row>
    <row r="557" spans="1:12" hidden="1" x14ac:dyDescent="0.3">
      <c r="A557" s="28" t="s">
        <v>46</v>
      </c>
      <c r="B557" s="28" t="s">
        <v>33</v>
      </c>
      <c r="C557" s="29" t="s">
        <v>57</v>
      </c>
      <c r="D557" s="30" t="s">
        <v>688</v>
      </c>
      <c r="E557" s="28" t="s">
        <v>124</v>
      </c>
      <c r="F557" s="69" t="s">
        <v>45</v>
      </c>
      <c r="G557" s="31">
        <v>46224</v>
      </c>
      <c r="H557" s="28" t="s">
        <v>47</v>
      </c>
      <c r="I557" s="67">
        <v>2.0833333333333332E-2</v>
      </c>
      <c r="J557" s="67">
        <v>0.54166666666666663</v>
      </c>
      <c r="K557" s="67">
        <v>0.89583333333333337</v>
      </c>
      <c r="L557" s="28">
        <v>30</v>
      </c>
    </row>
    <row r="558" spans="1:12" hidden="1" x14ac:dyDescent="0.3">
      <c r="A558" s="28" t="s">
        <v>46</v>
      </c>
      <c r="B558" s="28" t="s">
        <v>33</v>
      </c>
      <c r="C558" s="29" t="s">
        <v>56</v>
      </c>
      <c r="D558" s="30" t="s">
        <v>457</v>
      </c>
      <c r="E558" s="28" t="s">
        <v>401</v>
      </c>
      <c r="F558" s="68" t="s">
        <v>10</v>
      </c>
      <c r="G558" s="31">
        <v>46225</v>
      </c>
      <c r="H558" s="28" t="s">
        <v>47</v>
      </c>
      <c r="I558" s="67">
        <v>2.0833333333333332E-2</v>
      </c>
      <c r="J558" s="67">
        <v>0.58333333333333337</v>
      </c>
      <c r="K558" s="67">
        <v>0.60416666666666663</v>
      </c>
      <c r="L558" s="28">
        <v>30</v>
      </c>
    </row>
    <row r="559" spans="1:12" hidden="1" x14ac:dyDescent="0.3">
      <c r="A559" s="28" t="s">
        <v>46</v>
      </c>
      <c r="B559" s="28" t="s">
        <v>33</v>
      </c>
      <c r="C559" s="29" t="s">
        <v>72</v>
      </c>
      <c r="D559" s="30" t="s">
        <v>683</v>
      </c>
      <c r="E559" s="28" t="s">
        <v>124</v>
      </c>
      <c r="F559" s="69" t="s">
        <v>45</v>
      </c>
      <c r="G559" s="31">
        <v>46225</v>
      </c>
      <c r="H559" s="28" t="s">
        <v>47</v>
      </c>
      <c r="I559" s="67">
        <v>0.25</v>
      </c>
      <c r="J559" s="67">
        <v>0.54166666666666663</v>
      </c>
      <c r="K559" s="67">
        <v>0.89583333333333337</v>
      </c>
      <c r="L559" s="28">
        <v>360</v>
      </c>
    </row>
    <row r="560" spans="1:12" ht="36.6" hidden="1" x14ac:dyDescent="0.3">
      <c r="A560" s="28" t="s">
        <v>46</v>
      </c>
      <c r="B560" s="28" t="s">
        <v>33</v>
      </c>
      <c r="C560" s="29" t="s">
        <v>50</v>
      </c>
      <c r="D560" s="30" t="s">
        <v>687</v>
      </c>
      <c r="E560" s="28" t="s">
        <v>42</v>
      </c>
      <c r="F560" s="68" t="s">
        <v>10</v>
      </c>
      <c r="G560" s="31">
        <v>46225</v>
      </c>
      <c r="H560" s="28" t="s">
        <v>47</v>
      </c>
      <c r="I560" s="67">
        <v>0.27083333333333331</v>
      </c>
      <c r="J560" s="67">
        <v>0.5</v>
      </c>
      <c r="K560" s="67">
        <v>0.89583333333333337</v>
      </c>
      <c r="L560" s="28">
        <v>390</v>
      </c>
    </row>
    <row r="561" spans="1:12" ht="36.6" hidden="1" x14ac:dyDescent="0.3">
      <c r="A561" s="76" t="s">
        <v>60</v>
      </c>
      <c r="B561" s="76" t="s">
        <v>33</v>
      </c>
      <c r="C561" s="76" t="s">
        <v>64</v>
      </c>
      <c r="D561" s="80" t="s">
        <v>689</v>
      </c>
      <c r="E561" s="76" t="s">
        <v>42</v>
      </c>
      <c r="F561" s="68" t="s">
        <v>10</v>
      </c>
      <c r="G561" s="77">
        <v>46230</v>
      </c>
      <c r="H561" s="76" t="s">
        <v>69</v>
      </c>
      <c r="I561" s="78">
        <v>0.33333333333333331</v>
      </c>
      <c r="J561" s="78">
        <v>0.5</v>
      </c>
      <c r="K561" s="78">
        <v>0.875</v>
      </c>
      <c r="L561" s="76">
        <v>480</v>
      </c>
    </row>
    <row r="562" spans="1:12" hidden="1" x14ac:dyDescent="0.3">
      <c r="A562" s="76" t="s">
        <v>60</v>
      </c>
      <c r="B562" s="76" t="s">
        <v>33</v>
      </c>
      <c r="C562" s="76" t="s">
        <v>65</v>
      </c>
      <c r="D562" s="80" t="s">
        <v>457</v>
      </c>
      <c r="E562" s="76" t="s">
        <v>401</v>
      </c>
      <c r="F562" s="68" t="s">
        <v>10</v>
      </c>
      <c r="G562" s="77">
        <v>46230</v>
      </c>
      <c r="H562" s="76" t="s">
        <v>69</v>
      </c>
      <c r="I562" s="78">
        <v>2.0833333333333332E-2</v>
      </c>
      <c r="J562" s="78">
        <v>0.58333333333333337</v>
      </c>
      <c r="K562" s="78">
        <v>0.60416666666666663</v>
      </c>
      <c r="L562" s="76">
        <v>30</v>
      </c>
    </row>
    <row r="563" spans="1:12" ht="24.6" hidden="1" x14ac:dyDescent="0.3">
      <c r="A563" s="76" t="s">
        <v>60</v>
      </c>
      <c r="B563" s="76" t="s">
        <v>33</v>
      </c>
      <c r="C563" s="76" t="s">
        <v>64</v>
      </c>
      <c r="D563" s="80" t="s">
        <v>690</v>
      </c>
      <c r="E563" s="76" t="s">
        <v>42</v>
      </c>
      <c r="F563" s="69" t="s">
        <v>45</v>
      </c>
      <c r="G563" s="77">
        <v>46231</v>
      </c>
      <c r="H563" s="76" t="s">
        <v>69</v>
      </c>
      <c r="I563" s="78">
        <v>0.33333333333333331</v>
      </c>
      <c r="J563" s="78">
        <v>0.5</v>
      </c>
      <c r="K563" s="78">
        <v>6.875</v>
      </c>
      <c r="L563" s="76">
        <v>480</v>
      </c>
    </row>
    <row r="564" spans="1:12" hidden="1" x14ac:dyDescent="0.3">
      <c r="A564" s="76" t="s">
        <v>60</v>
      </c>
      <c r="B564" s="76" t="s">
        <v>33</v>
      </c>
      <c r="C564" s="76" t="s">
        <v>65</v>
      </c>
      <c r="D564" s="80" t="s">
        <v>457</v>
      </c>
      <c r="E564" s="76" t="s">
        <v>401</v>
      </c>
      <c r="F564" s="68" t="s">
        <v>10</v>
      </c>
      <c r="G564" s="77">
        <v>46231</v>
      </c>
      <c r="H564" s="76" t="s">
        <v>69</v>
      </c>
      <c r="I564" s="78">
        <v>2.0833333333333332E-2</v>
      </c>
      <c r="J564" s="78">
        <v>0.58333333333333337</v>
      </c>
      <c r="K564" s="78">
        <v>0.60416666666666663</v>
      </c>
      <c r="L564" s="76">
        <v>30</v>
      </c>
    </row>
    <row r="565" spans="1:12" ht="36.6" hidden="1" x14ac:dyDescent="0.3">
      <c r="A565" s="76" t="s">
        <v>60</v>
      </c>
      <c r="B565" s="76" t="s">
        <v>33</v>
      </c>
      <c r="C565" s="76" t="s">
        <v>64</v>
      </c>
      <c r="D565" s="80" t="s">
        <v>691</v>
      </c>
      <c r="E565" s="76" t="s">
        <v>42</v>
      </c>
      <c r="F565" s="68" t="s">
        <v>10</v>
      </c>
      <c r="G565" s="77">
        <v>46232</v>
      </c>
      <c r="H565" s="76" t="s">
        <v>69</v>
      </c>
      <c r="I565" s="78">
        <v>0.3125</v>
      </c>
      <c r="J565" s="78">
        <v>0.52083333333333337</v>
      </c>
      <c r="K565" s="78">
        <v>0.875</v>
      </c>
      <c r="L565" s="76">
        <v>450</v>
      </c>
    </row>
    <row r="566" spans="1:12" hidden="1" x14ac:dyDescent="0.3">
      <c r="A566" s="76" t="s">
        <v>60</v>
      </c>
      <c r="B566" s="76" t="s">
        <v>33</v>
      </c>
      <c r="C566" s="76" t="s">
        <v>65</v>
      </c>
      <c r="D566" s="80" t="s">
        <v>457</v>
      </c>
      <c r="E566" s="76" t="s">
        <v>401</v>
      </c>
      <c r="F566" s="68" t="s">
        <v>10</v>
      </c>
      <c r="G566" s="77">
        <v>46232</v>
      </c>
      <c r="H566" s="76" t="s">
        <v>69</v>
      </c>
      <c r="I566" s="78">
        <v>2.0833333333333332E-2</v>
      </c>
      <c r="J566" s="78">
        <v>0.58333333333333337</v>
      </c>
      <c r="K566" s="78">
        <v>0.60416666666666663</v>
      </c>
      <c r="L566" s="76">
        <v>30</v>
      </c>
    </row>
    <row r="567" spans="1:12" ht="24.6" hidden="1" x14ac:dyDescent="0.3">
      <c r="A567" s="76" t="s">
        <v>60</v>
      </c>
      <c r="B567" s="76" t="s">
        <v>33</v>
      </c>
      <c r="C567" s="76" t="s">
        <v>64</v>
      </c>
      <c r="D567" s="80" t="s">
        <v>693</v>
      </c>
      <c r="E567" s="76" t="s">
        <v>42</v>
      </c>
      <c r="F567" s="69" t="s">
        <v>45</v>
      </c>
      <c r="G567" s="77">
        <v>46233</v>
      </c>
      <c r="H567" s="76" t="s">
        <v>69</v>
      </c>
      <c r="I567" s="78">
        <v>0.33333333333333331</v>
      </c>
      <c r="J567" s="78">
        <v>0.5</v>
      </c>
      <c r="K567" s="78">
        <v>0.875</v>
      </c>
      <c r="L567" s="76">
        <v>480</v>
      </c>
    </row>
    <row r="568" spans="1:12" hidden="1" x14ac:dyDescent="0.3">
      <c r="A568" s="76" t="s">
        <v>60</v>
      </c>
      <c r="B568" s="76" t="s">
        <v>33</v>
      </c>
      <c r="C568" s="76" t="s">
        <v>65</v>
      </c>
      <c r="D568" s="80" t="s">
        <v>457</v>
      </c>
      <c r="E568" s="76" t="s">
        <v>401</v>
      </c>
      <c r="F568" s="68" t="s">
        <v>10</v>
      </c>
      <c r="G568" s="77">
        <v>46233</v>
      </c>
      <c r="H568" s="76" t="s">
        <v>69</v>
      </c>
      <c r="I568" s="78">
        <v>2.0833333333333332E-2</v>
      </c>
      <c r="J568" s="78">
        <v>0.58333333333333337</v>
      </c>
      <c r="K568" s="78">
        <v>0.60416666666666663</v>
      </c>
      <c r="L568" s="76">
        <v>30</v>
      </c>
    </row>
    <row r="569" spans="1:12" ht="24.6" hidden="1" x14ac:dyDescent="0.3">
      <c r="A569" s="76" t="s">
        <v>60</v>
      </c>
      <c r="B569" s="76" t="s">
        <v>33</v>
      </c>
      <c r="C569" s="76" t="s">
        <v>64</v>
      </c>
      <c r="D569" s="80" t="s">
        <v>694</v>
      </c>
      <c r="E569" s="76" t="s">
        <v>42</v>
      </c>
      <c r="F569" s="69" t="s">
        <v>45</v>
      </c>
      <c r="G569" s="77">
        <v>46234</v>
      </c>
      <c r="H569" s="76" t="s">
        <v>69</v>
      </c>
      <c r="I569" s="78">
        <v>0.16666666666666666</v>
      </c>
      <c r="J569" s="78">
        <v>0.5</v>
      </c>
      <c r="K569" s="78">
        <v>0.70833333333333337</v>
      </c>
      <c r="L569" s="76">
        <v>240</v>
      </c>
    </row>
    <row r="570" spans="1:12" ht="24.6" hidden="1" x14ac:dyDescent="0.3">
      <c r="A570" s="76" t="s">
        <v>60</v>
      </c>
      <c r="B570" s="76" t="s">
        <v>33</v>
      </c>
      <c r="C570" s="76" t="s">
        <v>64</v>
      </c>
      <c r="D570" s="80" t="s">
        <v>692</v>
      </c>
      <c r="E570" s="76" t="s">
        <v>42</v>
      </c>
      <c r="F570" s="69" t="s">
        <v>45</v>
      </c>
      <c r="G570" s="77">
        <v>46234</v>
      </c>
      <c r="H570" s="76" t="s">
        <v>69</v>
      </c>
      <c r="I570" s="78">
        <v>0.16666666666666666</v>
      </c>
      <c r="J570" s="78">
        <v>0.70833333333333337</v>
      </c>
      <c r="K570" s="78">
        <v>0.875</v>
      </c>
      <c r="L570" s="76">
        <v>240</v>
      </c>
    </row>
    <row r="571" spans="1:12" hidden="1" x14ac:dyDescent="0.3">
      <c r="A571" s="76" t="s">
        <v>60</v>
      </c>
      <c r="B571" s="76" t="s">
        <v>33</v>
      </c>
      <c r="C571" s="76" t="s">
        <v>65</v>
      </c>
      <c r="D571" s="80" t="s">
        <v>457</v>
      </c>
      <c r="E571" s="76" t="s">
        <v>401</v>
      </c>
      <c r="F571" s="68" t="s">
        <v>10</v>
      </c>
      <c r="G571" s="77">
        <v>46234</v>
      </c>
      <c r="H571" s="76" t="s">
        <v>69</v>
      </c>
      <c r="I571" s="78">
        <v>2.0833333333333332E-2</v>
      </c>
      <c r="J571" s="78">
        <v>0.58333333333333337</v>
      </c>
      <c r="K571" s="78">
        <v>0.60416666666666663</v>
      </c>
      <c r="L571" s="76">
        <v>30</v>
      </c>
    </row>
    <row r="572" spans="1:12" hidden="1" x14ac:dyDescent="0.3">
      <c r="A572" s="28" t="s">
        <v>46</v>
      </c>
      <c r="B572" s="28" t="s">
        <v>33</v>
      </c>
      <c r="C572" s="29" t="s">
        <v>56</v>
      </c>
      <c r="D572" s="30" t="s">
        <v>457</v>
      </c>
      <c r="E572" s="28" t="s">
        <v>401</v>
      </c>
      <c r="F572" s="68" t="s">
        <v>10</v>
      </c>
      <c r="G572" s="31">
        <v>46230</v>
      </c>
      <c r="H572" s="28" t="s">
        <v>47</v>
      </c>
      <c r="I572" s="67">
        <v>2.0833333333333332E-2</v>
      </c>
      <c r="J572" s="67">
        <v>0.58333333333333337</v>
      </c>
      <c r="K572" s="67">
        <v>0.60416666666666663</v>
      </c>
      <c r="L572" s="28">
        <v>30</v>
      </c>
    </row>
    <row r="573" spans="1:12" hidden="1" x14ac:dyDescent="0.3">
      <c r="A573" s="28" t="s">
        <v>46</v>
      </c>
      <c r="B573" s="28" t="s">
        <v>33</v>
      </c>
      <c r="C573" s="29" t="s">
        <v>56</v>
      </c>
      <c r="D573" s="30" t="s">
        <v>675</v>
      </c>
      <c r="E573" s="28" t="s">
        <v>676</v>
      </c>
      <c r="F573" s="68" t="s">
        <v>10</v>
      </c>
      <c r="G573" s="31">
        <v>46230</v>
      </c>
      <c r="H573" s="28" t="s">
        <v>47</v>
      </c>
      <c r="I573" s="67">
        <v>2.0833333333333332E-2</v>
      </c>
      <c r="J573" s="67">
        <v>0.60416666666666663</v>
      </c>
      <c r="K573" s="67">
        <v>0.625</v>
      </c>
      <c r="L573" s="28">
        <v>30</v>
      </c>
    </row>
    <row r="574" spans="1:12" ht="72.599999999999994" hidden="1" x14ac:dyDescent="0.3">
      <c r="A574" s="28" t="s">
        <v>46</v>
      </c>
      <c r="B574" s="28" t="s">
        <v>33</v>
      </c>
      <c r="C574" s="29" t="s">
        <v>72</v>
      </c>
      <c r="D574" s="30" t="s">
        <v>700</v>
      </c>
      <c r="E574" s="28" t="s">
        <v>124</v>
      </c>
      <c r="F574" s="69" t="s">
        <v>45</v>
      </c>
      <c r="G574" s="31">
        <v>46230</v>
      </c>
      <c r="H574" s="28" t="s">
        <v>47</v>
      </c>
      <c r="I574" s="67">
        <v>0.25</v>
      </c>
      <c r="J574" s="67">
        <v>0.5</v>
      </c>
      <c r="K574" s="67">
        <v>0.89583333333333337</v>
      </c>
      <c r="L574" s="28">
        <v>360</v>
      </c>
    </row>
    <row r="575" spans="1:12" ht="24.6" hidden="1" x14ac:dyDescent="0.3">
      <c r="A575" s="28" t="s">
        <v>46</v>
      </c>
      <c r="B575" s="28" t="s">
        <v>33</v>
      </c>
      <c r="C575" s="29" t="s">
        <v>57</v>
      </c>
      <c r="D575" s="30" t="s">
        <v>702</v>
      </c>
      <c r="E575" s="28" t="s">
        <v>124</v>
      </c>
      <c r="F575" s="69" t="s">
        <v>45</v>
      </c>
      <c r="G575" s="31">
        <v>46231</v>
      </c>
      <c r="H575" s="28" t="s">
        <v>47</v>
      </c>
      <c r="I575" s="67">
        <v>0.125</v>
      </c>
      <c r="J575" s="67">
        <v>0.54166666666666663</v>
      </c>
      <c r="K575" s="67">
        <v>0.89583333333333337</v>
      </c>
      <c r="L575" s="28">
        <v>180</v>
      </c>
    </row>
    <row r="576" spans="1:12" hidden="1" x14ac:dyDescent="0.3">
      <c r="A576" s="28" t="s">
        <v>46</v>
      </c>
      <c r="B576" s="28" t="s">
        <v>33</v>
      </c>
      <c r="C576" s="29" t="s">
        <v>56</v>
      </c>
      <c r="D576" s="30" t="s">
        <v>457</v>
      </c>
      <c r="E576" s="28" t="s">
        <v>401</v>
      </c>
      <c r="F576" s="68" t="s">
        <v>10</v>
      </c>
      <c r="G576" s="31">
        <v>46231</v>
      </c>
      <c r="H576" s="28" t="s">
        <v>47</v>
      </c>
      <c r="I576" s="67">
        <v>2.0833333333333332E-2</v>
      </c>
      <c r="J576" s="67">
        <v>0.58333333333333337</v>
      </c>
      <c r="K576" s="67">
        <v>0.60416666666666663</v>
      </c>
      <c r="L576" s="28">
        <v>30</v>
      </c>
    </row>
    <row r="577" spans="1:12" hidden="1" x14ac:dyDescent="0.3">
      <c r="A577" s="28" t="s">
        <v>46</v>
      </c>
      <c r="B577" s="28" t="s">
        <v>33</v>
      </c>
      <c r="C577" s="29" t="s">
        <v>72</v>
      </c>
      <c r="D577" s="30" t="s">
        <v>683</v>
      </c>
      <c r="E577" s="28" t="s">
        <v>124</v>
      </c>
      <c r="F577" s="69" t="s">
        <v>45</v>
      </c>
      <c r="G577" s="31">
        <v>46231</v>
      </c>
      <c r="H577" s="28" t="s">
        <v>47</v>
      </c>
      <c r="I577" s="67">
        <v>0.25</v>
      </c>
      <c r="J577" s="67">
        <v>0.54166666666666663</v>
      </c>
      <c r="K577" s="67">
        <v>0.89583333333333337</v>
      </c>
      <c r="L577" s="28">
        <v>360</v>
      </c>
    </row>
    <row r="578" spans="1:12" hidden="1" x14ac:dyDescent="0.3">
      <c r="A578" s="28" t="s">
        <v>46</v>
      </c>
      <c r="B578" s="28" t="s">
        <v>33</v>
      </c>
      <c r="C578" s="29" t="s">
        <v>56</v>
      </c>
      <c r="D578" s="30" t="s">
        <v>457</v>
      </c>
      <c r="E578" s="28" t="s">
        <v>401</v>
      </c>
      <c r="F578" s="68" t="s">
        <v>10</v>
      </c>
      <c r="G578" s="31">
        <v>46232</v>
      </c>
      <c r="H578" s="28" t="s">
        <v>47</v>
      </c>
      <c r="I578" s="67">
        <v>2.0833333333333332E-2</v>
      </c>
      <c r="J578" s="67">
        <v>0.58333333333333337</v>
      </c>
      <c r="K578" s="67">
        <v>0.60416666666666663</v>
      </c>
      <c r="L578" s="28">
        <v>30</v>
      </c>
    </row>
    <row r="579" spans="1:12" ht="24.6" hidden="1" x14ac:dyDescent="0.3">
      <c r="A579" s="28" t="s">
        <v>46</v>
      </c>
      <c r="B579" s="28" t="s">
        <v>33</v>
      </c>
      <c r="C579" s="29" t="s">
        <v>50</v>
      </c>
      <c r="D579" s="30" t="s">
        <v>701</v>
      </c>
      <c r="E579" s="28" t="s">
        <v>42</v>
      </c>
      <c r="F579" s="68" t="s">
        <v>10</v>
      </c>
      <c r="G579" s="31">
        <v>46232</v>
      </c>
      <c r="H579" s="28" t="s">
        <v>47</v>
      </c>
      <c r="I579" s="67">
        <v>0.16666666666666666</v>
      </c>
      <c r="J579" s="67">
        <v>0.5</v>
      </c>
      <c r="K579" s="67">
        <v>0.89583333333333337</v>
      </c>
      <c r="L579" s="28">
        <v>240</v>
      </c>
    </row>
    <row r="580" spans="1:12" ht="24.6" hidden="1" x14ac:dyDescent="0.3">
      <c r="A580" s="28" t="s">
        <v>46</v>
      </c>
      <c r="B580" s="28" t="s">
        <v>33</v>
      </c>
      <c r="C580" s="29" t="s">
        <v>57</v>
      </c>
      <c r="D580" s="30" t="s">
        <v>702</v>
      </c>
      <c r="E580" s="28" t="s">
        <v>124</v>
      </c>
      <c r="F580" s="69" t="s">
        <v>45</v>
      </c>
      <c r="G580" s="31">
        <v>46232</v>
      </c>
      <c r="H580" s="28" t="s">
        <v>47</v>
      </c>
      <c r="I580" s="67">
        <v>0.125</v>
      </c>
      <c r="J580" s="67">
        <v>0.54166666666666663</v>
      </c>
      <c r="K580" s="67">
        <v>0.89583333333333337</v>
      </c>
      <c r="L580" s="28">
        <v>180</v>
      </c>
    </row>
    <row r="581" spans="1:12" hidden="1" x14ac:dyDescent="0.3">
      <c r="A581" s="28" t="s">
        <v>46</v>
      </c>
      <c r="B581" s="28" t="s">
        <v>33</v>
      </c>
      <c r="C581" s="29" t="s">
        <v>56</v>
      </c>
      <c r="D581" s="30" t="s">
        <v>457</v>
      </c>
      <c r="E581" s="28" t="s">
        <v>401</v>
      </c>
      <c r="F581" s="68" t="s">
        <v>10</v>
      </c>
      <c r="G581" s="31">
        <v>46237</v>
      </c>
      <c r="H581" s="28" t="s">
        <v>47</v>
      </c>
      <c r="I581" s="67">
        <v>2.0833333333333332E-2</v>
      </c>
      <c r="J581" s="67">
        <v>0.58333333333333337</v>
      </c>
      <c r="K581" s="67">
        <v>0.60416666666666663</v>
      </c>
      <c r="L581" s="28">
        <v>30</v>
      </c>
    </row>
    <row r="582" spans="1:12" hidden="1" x14ac:dyDescent="0.3">
      <c r="A582" s="28" t="s">
        <v>46</v>
      </c>
      <c r="B582" s="28" t="s">
        <v>33</v>
      </c>
      <c r="C582" s="29" t="s">
        <v>56</v>
      </c>
      <c r="D582" s="30" t="s">
        <v>705</v>
      </c>
      <c r="E582" s="28" t="s">
        <v>42</v>
      </c>
      <c r="F582" s="68" t="s">
        <v>10</v>
      </c>
      <c r="G582" s="31">
        <v>46237</v>
      </c>
      <c r="H582" s="28" t="s">
        <v>47</v>
      </c>
      <c r="I582" s="67">
        <v>4.1666666666666664E-2</v>
      </c>
      <c r="J582" s="67">
        <v>0.60416666666666663</v>
      </c>
      <c r="K582" s="67">
        <v>0.64583333333333337</v>
      </c>
      <c r="L582" s="28">
        <v>60</v>
      </c>
    </row>
    <row r="583" spans="1:12" ht="72.599999999999994" hidden="1" x14ac:dyDescent="0.3">
      <c r="A583" s="28" t="s">
        <v>46</v>
      </c>
      <c r="B583" s="28" t="s">
        <v>33</v>
      </c>
      <c r="C583" s="29" t="s">
        <v>72</v>
      </c>
      <c r="D583" s="30" t="s">
        <v>700</v>
      </c>
      <c r="E583" s="28" t="s">
        <v>124</v>
      </c>
      <c r="F583" s="68" t="s">
        <v>10</v>
      </c>
      <c r="G583" s="31">
        <v>46237</v>
      </c>
      <c r="H583" s="28" t="s">
        <v>47</v>
      </c>
      <c r="I583" s="67">
        <v>0.33333333333333331</v>
      </c>
      <c r="J583" s="67">
        <v>0.5</v>
      </c>
      <c r="K583" s="67">
        <v>0.89583333333333337</v>
      </c>
      <c r="L583" s="28">
        <v>480</v>
      </c>
    </row>
    <row r="584" spans="1:12" hidden="1" x14ac:dyDescent="0.3">
      <c r="A584" s="28" t="s">
        <v>46</v>
      </c>
      <c r="B584" s="28" t="s">
        <v>33</v>
      </c>
      <c r="C584" s="29" t="s">
        <v>56</v>
      </c>
      <c r="D584" s="30" t="s">
        <v>457</v>
      </c>
      <c r="E584" s="28" t="s">
        <v>401</v>
      </c>
      <c r="F584" s="68" t="s">
        <v>10</v>
      </c>
      <c r="G584" s="31">
        <v>46238</v>
      </c>
      <c r="H584" s="28" t="s">
        <v>47</v>
      </c>
      <c r="I584" s="67">
        <v>2.0833333333333332E-2</v>
      </c>
      <c r="J584" s="67">
        <v>0.58333333333333337</v>
      </c>
      <c r="K584" s="67">
        <v>0.60416666666666663</v>
      </c>
      <c r="L584" s="28">
        <v>30</v>
      </c>
    </row>
    <row r="585" spans="1:12" ht="48.6" hidden="1" x14ac:dyDescent="0.3">
      <c r="A585" s="28" t="s">
        <v>46</v>
      </c>
      <c r="B585" s="28" t="s">
        <v>33</v>
      </c>
      <c r="C585" s="29" t="s">
        <v>72</v>
      </c>
      <c r="D585" s="30" t="s">
        <v>707</v>
      </c>
      <c r="E585" s="28" t="s">
        <v>124</v>
      </c>
      <c r="F585" s="68" t="s">
        <v>10</v>
      </c>
      <c r="G585" s="31">
        <v>46238</v>
      </c>
      <c r="H585" s="28" t="s">
        <v>47</v>
      </c>
      <c r="I585" s="67">
        <v>0.3125</v>
      </c>
      <c r="J585" s="67">
        <v>0.54166666666666663</v>
      </c>
      <c r="K585" s="67">
        <v>0.89583333333333337</v>
      </c>
      <c r="L585" s="28">
        <v>450</v>
      </c>
    </row>
    <row r="586" spans="1:12" hidden="1" x14ac:dyDescent="0.3">
      <c r="A586" s="28" t="s">
        <v>46</v>
      </c>
      <c r="B586" s="28" t="s">
        <v>33</v>
      </c>
      <c r="C586" s="29" t="s">
        <v>56</v>
      </c>
      <c r="D586" s="30" t="s">
        <v>457</v>
      </c>
      <c r="E586" s="28" t="s">
        <v>401</v>
      </c>
      <c r="F586" s="68" t="s">
        <v>10</v>
      </c>
      <c r="G586" s="31">
        <v>46239</v>
      </c>
      <c r="H586" s="28" t="s">
        <v>47</v>
      </c>
      <c r="I586" s="67">
        <v>2.0833333333333332E-2</v>
      </c>
      <c r="J586" s="67">
        <v>0.58333333333333337</v>
      </c>
      <c r="K586" s="67">
        <v>0.60416666666666663</v>
      </c>
      <c r="L586" s="28">
        <v>30</v>
      </c>
    </row>
    <row r="587" spans="1:12" ht="48.6" hidden="1" x14ac:dyDescent="0.3">
      <c r="A587" s="28" t="s">
        <v>46</v>
      </c>
      <c r="B587" s="28" t="s">
        <v>33</v>
      </c>
      <c r="C587" s="29" t="s">
        <v>72</v>
      </c>
      <c r="D587" s="30" t="s">
        <v>708</v>
      </c>
      <c r="E587" s="28" t="s">
        <v>124</v>
      </c>
      <c r="F587" s="68" t="s">
        <v>10</v>
      </c>
      <c r="G587" s="31">
        <v>46239</v>
      </c>
      <c r="H587" s="28" t="s">
        <v>47</v>
      </c>
      <c r="I587" s="67">
        <v>0.3125</v>
      </c>
      <c r="J587" s="67">
        <v>0.54166666666666663</v>
      </c>
      <c r="K587" s="67">
        <v>0.89583333333333337</v>
      </c>
      <c r="L587" s="28">
        <v>450</v>
      </c>
    </row>
    <row r="588" spans="1:12" hidden="1" x14ac:dyDescent="0.3">
      <c r="A588" s="28" t="s">
        <v>46</v>
      </c>
      <c r="B588" s="28" t="s">
        <v>33</v>
      </c>
      <c r="C588" s="29" t="s">
        <v>56</v>
      </c>
      <c r="D588" s="30" t="s">
        <v>457</v>
      </c>
      <c r="E588" s="28" t="s">
        <v>401</v>
      </c>
      <c r="F588" s="68" t="s">
        <v>10</v>
      </c>
      <c r="G588" s="31">
        <v>46240</v>
      </c>
      <c r="H588" s="28" t="s">
        <v>47</v>
      </c>
      <c r="I588" s="67">
        <v>2.0833333333333332E-2</v>
      </c>
      <c r="J588" s="67">
        <v>0.58333333333333337</v>
      </c>
      <c r="K588" s="67">
        <v>0.60416666666666663</v>
      </c>
      <c r="L588" s="28">
        <v>30</v>
      </c>
    </row>
    <row r="589" spans="1:12" ht="48.6" hidden="1" x14ac:dyDescent="0.3">
      <c r="A589" s="28" t="s">
        <v>46</v>
      </c>
      <c r="B589" s="28" t="s">
        <v>33</v>
      </c>
      <c r="C589" s="29" t="s">
        <v>72</v>
      </c>
      <c r="D589" s="30" t="s">
        <v>709</v>
      </c>
      <c r="E589" s="28" t="s">
        <v>124</v>
      </c>
      <c r="F589" s="68" t="s">
        <v>10</v>
      </c>
      <c r="G589" s="31">
        <v>46240</v>
      </c>
      <c r="H589" s="28" t="s">
        <v>47</v>
      </c>
      <c r="I589" s="67">
        <v>0.33333333333333331</v>
      </c>
      <c r="J589" s="67">
        <v>0.54166666666666663</v>
      </c>
      <c r="K589" s="67">
        <v>0.89583333333333337</v>
      </c>
      <c r="L589" s="28">
        <v>480</v>
      </c>
    </row>
    <row r="590" spans="1:12" hidden="1" x14ac:dyDescent="0.3">
      <c r="A590" s="28" t="s">
        <v>46</v>
      </c>
      <c r="B590" s="28" t="s">
        <v>33</v>
      </c>
      <c r="C590" s="29" t="s">
        <v>56</v>
      </c>
      <c r="D590" s="30" t="s">
        <v>457</v>
      </c>
      <c r="E590" s="28" t="s">
        <v>401</v>
      </c>
      <c r="F590" s="68" t="s">
        <v>10</v>
      </c>
      <c r="G590" s="31">
        <v>46241</v>
      </c>
      <c r="H590" s="28" t="s">
        <v>47</v>
      </c>
      <c r="I590" s="67">
        <v>2.0833333333333332E-2</v>
      </c>
      <c r="J590" s="67">
        <v>0.58333333333333337</v>
      </c>
      <c r="K590" s="67">
        <v>0.60416666666666663</v>
      </c>
      <c r="L590" s="28">
        <v>30</v>
      </c>
    </row>
    <row r="591" spans="1:12" hidden="1" x14ac:dyDescent="0.3">
      <c r="A591" s="28" t="s">
        <v>46</v>
      </c>
      <c r="B591" s="28" t="s">
        <v>33</v>
      </c>
      <c r="C591" s="29" t="s">
        <v>57</v>
      </c>
      <c r="D591" s="30" t="s">
        <v>706</v>
      </c>
      <c r="E591" s="28" t="s">
        <v>124</v>
      </c>
      <c r="F591" s="69" t="s">
        <v>45</v>
      </c>
      <c r="G591" s="31">
        <v>46241</v>
      </c>
      <c r="H591" s="28" t="s">
        <v>47</v>
      </c>
      <c r="I591" s="67">
        <v>0.125</v>
      </c>
      <c r="J591" s="67">
        <v>0.54166666666666663</v>
      </c>
      <c r="K591" s="67">
        <v>0.89583333333333337</v>
      </c>
      <c r="L591" s="28">
        <v>180</v>
      </c>
    </row>
    <row r="592" spans="1:12" hidden="1" x14ac:dyDescent="0.3">
      <c r="A592" s="28" t="s">
        <v>46</v>
      </c>
      <c r="B592" s="28" t="s">
        <v>33</v>
      </c>
      <c r="C592" s="29" t="s">
        <v>56</v>
      </c>
      <c r="D592" s="30" t="s">
        <v>704</v>
      </c>
      <c r="E592" s="28" t="s">
        <v>711</v>
      </c>
      <c r="F592" s="68" t="s">
        <v>10</v>
      </c>
      <c r="G592" s="31">
        <v>46241</v>
      </c>
      <c r="H592" s="28" t="s">
        <v>47</v>
      </c>
      <c r="I592" s="67">
        <v>2.0833333333333332E-2</v>
      </c>
      <c r="J592" s="67">
        <v>0.625</v>
      </c>
      <c r="K592" s="67">
        <v>0.64583333333333337</v>
      </c>
      <c r="L592" s="28">
        <v>30</v>
      </c>
    </row>
    <row r="593" spans="1:12" ht="24.6" hidden="1" x14ac:dyDescent="0.3">
      <c r="A593" s="28" t="s">
        <v>46</v>
      </c>
      <c r="B593" s="28" t="s">
        <v>33</v>
      </c>
      <c r="C593" s="29" t="s">
        <v>72</v>
      </c>
      <c r="D593" s="30" t="s">
        <v>710</v>
      </c>
      <c r="E593" s="28" t="s">
        <v>124</v>
      </c>
      <c r="F593" s="69" t="s">
        <v>45</v>
      </c>
      <c r="G593" s="31">
        <v>46241</v>
      </c>
      <c r="H593" s="28" t="s">
        <v>47</v>
      </c>
      <c r="I593" s="67">
        <v>0.10416666666666667</v>
      </c>
      <c r="J593" s="67">
        <v>0.54166666666666663</v>
      </c>
      <c r="K593" s="67">
        <v>0.89583333333333337</v>
      </c>
      <c r="L593" s="28">
        <v>150</v>
      </c>
    </row>
    <row r="594" spans="1:12" ht="36.6" hidden="1" x14ac:dyDescent="0.3">
      <c r="A594" s="76" t="s">
        <v>60</v>
      </c>
      <c r="B594" s="76" t="s">
        <v>33</v>
      </c>
      <c r="C594" s="76" t="s">
        <v>64</v>
      </c>
      <c r="D594" s="80" t="s">
        <v>715</v>
      </c>
      <c r="E594" s="76" t="s">
        <v>42</v>
      </c>
      <c r="F594" s="68" t="s">
        <v>10</v>
      </c>
      <c r="G594" s="77">
        <v>46237</v>
      </c>
      <c r="H594" s="76" t="s">
        <v>69</v>
      </c>
      <c r="I594" s="78">
        <v>0.33333333333333331</v>
      </c>
      <c r="J594" s="78">
        <v>0.5</v>
      </c>
      <c r="K594" s="78">
        <v>0.875</v>
      </c>
      <c r="L594" s="76">
        <v>480</v>
      </c>
    </row>
    <row r="595" spans="1:12" hidden="1" x14ac:dyDescent="0.3">
      <c r="A595" s="76" t="s">
        <v>60</v>
      </c>
      <c r="B595" s="76" t="s">
        <v>33</v>
      </c>
      <c r="C595" s="76" t="s">
        <v>65</v>
      </c>
      <c r="D595" s="80" t="s">
        <v>457</v>
      </c>
      <c r="E595" s="76" t="s">
        <v>401</v>
      </c>
      <c r="F595" s="68" t="s">
        <v>10</v>
      </c>
      <c r="G595" s="77">
        <v>46237</v>
      </c>
      <c r="H595" s="76" t="s">
        <v>69</v>
      </c>
      <c r="I595" s="78">
        <v>2.0833333333333332E-2</v>
      </c>
      <c r="J595" s="78">
        <v>0.58333333333333337</v>
      </c>
      <c r="K595" s="78">
        <v>0.60416666666666663</v>
      </c>
      <c r="L595" s="76">
        <v>30</v>
      </c>
    </row>
    <row r="596" spans="1:12" ht="24.6" hidden="1" x14ac:dyDescent="0.3">
      <c r="A596" s="76" t="s">
        <v>60</v>
      </c>
      <c r="B596" s="76" t="s">
        <v>33</v>
      </c>
      <c r="C596" s="76" t="s">
        <v>64</v>
      </c>
      <c r="D596" s="80" t="s">
        <v>716</v>
      </c>
      <c r="E596" s="76" t="s">
        <v>42</v>
      </c>
      <c r="F596" s="69" t="s">
        <v>45</v>
      </c>
      <c r="G596" s="77">
        <v>46238</v>
      </c>
      <c r="H596" s="76" t="s">
        <v>69</v>
      </c>
      <c r="I596" s="78">
        <v>0.33333333333333331</v>
      </c>
      <c r="J596" s="78">
        <v>0.5</v>
      </c>
      <c r="K596" s="78">
        <v>6.875</v>
      </c>
      <c r="L596" s="76">
        <v>480</v>
      </c>
    </row>
    <row r="597" spans="1:12" hidden="1" x14ac:dyDescent="0.3">
      <c r="A597" s="76" t="s">
        <v>60</v>
      </c>
      <c r="B597" s="76" t="s">
        <v>33</v>
      </c>
      <c r="C597" s="76" t="s">
        <v>65</v>
      </c>
      <c r="D597" s="80" t="s">
        <v>457</v>
      </c>
      <c r="E597" s="76" t="s">
        <v>401</v>
      </c>
      <c r="F597" s="68" t="s">
        <v>10</v>
      </c>
      <c r="G597" s="77">
        <v>46238</v>
      </c>
      <c r="H597" s="76" t="s">
        <v>69</v>
      </c>
      <c r="I597" s="78">
        <v>2.0833333333333332E-2</v>
      </c>
      <c r="J597" s="78">
        <v>0.58333333333333337</v>
      </c>
      <c r="K597" s="78">
        <v>0.60416666666666663</v>
      </c>
      <c r="L597" s="76">
        <v>30</v>
      </c>
    </row>
    <row r="598" spans="1:12" ht="36.6" hidden="1" x14ac:dyDescent="0.3">
      <c r="A598" s="76" t="s">
        <v>60</v>
      </c>
      <c r="B598" s="76" t="s">
        <v>33</v>
      </c>
      <c r="C598" s="76" t="s">
        <v>64</v>
      </c>
      <c r="D598" s="80" t="s">
        <v>717</v>
      </c>
      <c r="E598" s="76" t="s">
        <v>42</v>
      </c>
      <c r="F598" s="69" t="s">
        <v>45</v>
      </c>
      <c r="G598" s="77">
        <v>46239</v>
      </c>
      <c r="H598" s="76" t="s">
        <v>69</v>
      </c>
      <c r="I598" s="78">
        <v>0.3125</v>
      </c>
      <c r="J598" s="78">
        <v>0.52083333333333337</v>
      </c>
      <c r="K598" s="78">
        <v>0.875</v>
      </c>
      <c r="L598" s="76">
        <v>450</v>
      </c>
    </row>
    <row r="599" spans="1:12" hidden="1" x14ac:dyDescent="0.3">
      <c r="A599" s="76" t="s">
        <v>60</v>
      </c>
      <c r="B599" s="76" t="s">
        <v>33</v>
      </c>
      <c r="C599" s="76" t="s">
        <v>65</v>
      </c>
      <c r="D599" s="80" t="s">
        <v>457</v>
      </c>
      <c r="E599" s="76" t="s">
        <v>401</v>
      </c>
      <c r="F599" s="68" t="s">
        <v>10</v>
      </c>
      <c r="G599" s="77">
        <v>46239</v>
      </c>
      <c r="H599" s="76" t="s">
        <v>69</v>
      </c>
      <c r="I599" s="78">
        <v>2.0833333333333332E-2</v>
      </c>
      <c r="J599" s="78">
        <v>0.58333333333333337</v>
      </c>
      <c r="K599" s="78">
        <v>0.60416666666666663</v>
      </c>
      <c r="L599" s="76">
        <v>30</v>
      </c>
    </row>
    <row r="600" spans="1:12" ht="40.200000000000003" hidden="1" customHeight="1" x14ac:dyDescent="0.3">
      <c r="A600" s="76" t="s">
        <v>60</v>
      </c>
      <c r="B600" s="76" t="s">
        <v>33</v>
      </c>
      <c r="C600" s="76" t="s">
        <v>64</v>
      </c>
      <c r="D600" s="80" t="s">
        <v>718</v>
      </c>
      <c r="E600" s="76" t="s">
        <v>42</v>
      </c>
      <c r="F600" s="69" t="s">
        <v>45</v>
      </c>
      <c r="G600" s="77">
        <v>46240</v>
      </c>
      <c r="H600" s="76" t="s">
        <v>69</v>
      </c>
      <c r="I600" s="78">
        <v>0.33333333333333331</v>
      </c>
      <c r="J600" s="78">
        <v>0.5</v>
      </c>
      <c r="K600" s="78">
        <v>0.875</v>
      </c>
      <c r="L600" s="76">
        <v>480</v>
      </c>
    </row>
    <row r="601" spans="1:12" hidden="1" x14ac:dyDescent="0.3">
      <c r="A601" s="76" t="s">
        <v>60</v>
      </c>
      <c r="B601" s="76" t="s">
        <v>33</v>
      </c>
      <c r="C601" s="76" t="s">
        <v>65</v>
      </c>
      <c r="D601" s="80" t="s">
        <v>457</v>
      </c>
      <c r="E601" s="76" t="s">
        <v>401</v>
      </c>
      <c r="F601" s="68" t="s">
        <v>10</v>
      </c>
      <c r="G601" s="77">
        <v>46240</v>
      </c>
      <c r="H601" s="76" t="s">
        <v>69</v>
      </c>
      <c r="I601" s="78">
        <v>2.0833333333333332E-2</v>
      </c>
      <c r="J601" s="78">
        <v>0.58333333333333337</v>
      </c>
      <c r="K601" s="78">
        <v>0.60416666666666663</v>
      </c>
      <c r="L601" s="76">
        <v>30</v>
      </c>
    </row>
    <row r="602" spans="1:12" ht="36.6" hidden="1" x14ac:dyDescent="0.3">
      <c r="A602" s="76" t="s">
        <v>60</v>
      </c>
      <c r="B602" s="76" t="s">
        <v>33</v>
      </c>
      <c r="C602" s="76" t="s">
        <v>64</v>
      </c>
      <c r="D602" s="80" t="s">
        <v>719</v>
      </c>
      <c r="E602" s="76" t="s">
        <v>42</v>
      </c>
      <c r="F602" s="68" t="s">
        <v>10</v>
      </c>
      <c r="G602" s="77">
        <v>46241</v>
      </c>
      <c r="H602" s="76" t="s">
        <v>69</v>
      </c>
      <c r="I602" s="78">
        <v>0.25</v>
      </c>
      <c r="J602" s="78">
        <v>0.5</v>
      </c>
      <c r="K602" s="78">
        <v>0.70833333333333337</v>
      </c>
      <c r="L602" s="76">
        <v>360</v>
      </c>
    </row>
    <row r="603" spans="1:12" ht="24.6" hidden="1" x14ac:dyDescent="0.3">
      <c r="A603" s="76" t="s">
        <v>60</v>
      </c>
      <c r="B603" s="76" t="s">
        <v>33</v>
      </c>
      <c r="C603" s="76" t="s">
        <v>64</v>
      </c>
      <c r="D603" s="80" t="s">
        <v>720</v>
      </c>
      <c r="E603" s="76" t="s">
        <v>42</v>
      </c>
      <c r="F603" s="69" t="s">
        <v>45</v>
      </c>
      <c r="G603" s="77">
        <v>46241</v>
      </c>
      <c r="H603" s="76" t="s">
        <v>69</v>
      </c>
      <c r="I603" s="78">
        <v>4.1666666666666664E-2</v>
      </c>
      <c r="J603" s="78">
        <v>0.70833333333333337</v>
      </c>
      <c r="K603" s="78">
        <v>0.875</v>
      </c>
      <c r="L603" s="76">
        <v>60</v>
      </c>
    </row>
    <row r="604" spans="1:12" hidden="1" x14ac:dyDescent="0.3">
      <c r="A604" s="76" t="s">
        <v>60</v>
      </c>
      <c r="B604" s="76" t="s">
        <v>33</v>
      </c>
      <c r="C604" s="76" t="s">
        <v>65</v>
      </c>
      <c r="D604" s="80" t="s">
        <v>457</v>
      </c>
      <c r="E604" s="76" t="s">
        <v>401</v>
      </c>
      <c r="F604" s="68" t="s">
        <v>10</v>
      </c>
      <c r="G604" s="77">
        <v>46241</v>
      </c>
      <c r="H604" s="76" t="s">
        <v>69</v>
      </c>
      <c r="I604" s="78">
        <v>2.0833333333333332E-2</v>
      </c>
      <c r="J604" s="78">
        <v>0.58333333333333337</v>
      </c>
      <c r="K604" s="78">
        <v>0.60416666666666663</v>
      </c>
      <c r="L604" s="76">
        <v>30</v>
      </c>
    </row>
    <row r="605" spans="1:12" ht="39" customHeight="1" x14ac:dyDescent="0.3">
      <c r="A605" s="76" t="s">
        <v>60</v>
      </c>
      <c r="B605" s="76" t="s">
        <v>33</v>
      </c>
      <c r="C605" s="76" t="s">
        <v>64</v>
      </c>
      <c r="D605" s="80" t="s">
        <v>726</v>
      </c>
      <c r="E605" s="76" t="s">
        <v>42</v>
      </c>
      <c r="F605" s="69" t="s">
        <v>45</v>
      </c>
      <c r="G605" s="77">
        <v>46244</v>
      </c>
      <c r="H605" s="76" t="s">
        <v>69</v>
      </c>
      <c r="I605" s="78">
        <v>0.33333333333333331</v>
      </c>
      <c r="J605" s="78">
        <v>0.5</v>
      </c>
      <c r="K605" s="78">
        <v>0.875</v>
      </c>
      <c r="L605" s="76">
        <v>480</v>
      </c>
    </row>
    <row r="606" spans="1:12" x14ac:dyDescent="0.3">
      <c r="A606" s="76" t="s">
        <v>60</v>
      </c>
      <c r="B606" s="76" t="s">
        <v>33</v>
      </c>
      <c r="C606" s="76" t="s">
        <v>65</v>
      </c>
      <c r="D606" s="80" t="s">
        <v>457</v>
      </c>
      <c r="E606" s="76" t="s">
        <v>401</v>
      </c>
      <c r="F606" s="68" t="s">
        <v>10</v>
      </c>
      <c r="G606" s="77">
        <v>46244</v>
      </c>
      <c r="H606" s="76" t="s">
        <v>69</v>
      </c>
      <c r="I606" s="78">
        <v>2.0833333333333332E-2</v>
      </c>
      <c r="J606" s="78">
        <v>0.58333333333333337</v>
      </c>
      <c r="K606" s="78">
        <v>0.60416666666666663</v>
      </c>
      <c r="L606" s="76">
        <v>30</v>
      </c>
    </row>
    <row r="607" spans="1:12" ht="43.2" customHeight="1" x14ac:dyDescent="0.3">
      <c r="A607" s="76" t="s">
        <v>60</v>
      </c>
      <c r="B607" s="76" t="s">
        <v>33</v>
      </c>
      <c r="C607" s="76" t="s">
        <v>64</v>
      </c>
      <c r="D607" s="80" t="s">
        <v>729</v>
      </c>
      <c r="E607" s="76" t="s">
        <v>42</v>
      </c>
      <c r="F607" s="68" t="s">
        <v>10</v>
      </c>
      <c r="G607" s="77">
        <v>46245</v>
      </c>
      <c r="H607" s="76" t="s">
        <v>69</v>
      </c>
      <c r="I607" s="78">
        <v>0.33333333333333331</v>
      </c>
      <c r="J607" s="78">
        <v>0.5</v>
      </c>
      <c r="K607" s="78">
        <v>6.875</v>
      </c>
      <c r="L607" s="76">
        <v>480</v>
      </c>
    </row>
    <row r="608" spans="1:12" x14ac:dyDescent="0.3">
      <c r="A608" s="76" t="s">
        <v>60</v>
      </c>
      <c r="B608" s="76" t="s">
        <v>33</v>
      </c>
      <c r="C608" s="76" t="s">
        <v>65</v>
      </c>
      <c r="D608" s="80" t="s">
        <v>457</v>
      </c>
      <c r="E608" s="76" t="s">
        <v>401</v>
      </c>
      <c r="F608" s="68" t="s">
        <v>10</v>
      </c>
      <c r="G608" s="77">
        <v>46245</v>
      </c>
      <c r="H608" s="76" t="s">
        <v>69</v>
      </c>
      <c r="I608" s="78">
        <v>2.0833333333333332E-2</v>
      </c>
      <c r="J608" s="78">
        <v>0.58333333333333337</v>
      </c>
      <c r="K608" s="78">
        <v>0.60416666666666663</v>
      </c>
      <c r="L608" s="76">
        <v>30</v>
      </c>
    </row>
    <row r="609" spans="1:12" ht="42.6" customHeight="1" x14ac:dyDescent="0.3">
      <c r="A609" s="76" t="s">
        <v>60</v>
      </c>
      <c r="B609" s="76" t="s">
        <v>33</v>
      </c>
      <c r="C609" s="76" t="s">
        <v>64</v>
      </c>
      <c r="D609" s="80" t="s">
        <v>735</v>
      </c>
      <c r="E609" s="76" t="s">
        <v>42</v>
      </c>
      <c r="F609" s="69" t="s">
        <v>45</v>
      </c>
      <c r="G609" s="77">
        <v>46247</v>
      </c>
      <c r="H609" s="76" t="s">
        <v>69</v>
      </c>
      <c r="I609" s="78">
        <v>0.3125</v>
      </c>
      <c r="J609" s="78">
        <v>0.52083333333333337</v>
      </c>
      <c r="K609" s="78">
        <v>0.875</v>
      </c>
      <c r="L609" s="76">
        <v>450</v>
      </c>
    </row>
    <row r="610" spans="1:12" x14ac:dyDescent="0.3">
      <c r="A610" s="76" t="s">
        <v>60</v>
      </c>
      <c r="B610" s="76" t="s">
        <v>33</v>
      </c>
      <c r="C610" s="76" t="s">
        <v>65</v>
      </c>
      <c r="D610" s="80" t="s">
        <v>457</v>
      </c>
      <c r="E610" s="76" t="s">
        <v>401</v>
      </c>
      <c r="F610" s="68" t="s">
        <v>10</v>
      </c>
      <c r="G610" s="77">
        <v>46247</v>
      </c>
      <c r="H610" s="76" t="s">
        <v>69</v>
      </c>
      <c r="I610" s="78">
        <v>2.0833333333333332E-2</v>
      </c>
      <c r="J610" s="78">
        <v>0.58333333333333337</v>
      </c>
      <c r="K610" s="78">
        <v>0.60416666666666663</v>
      </c>
      <c r="L610" s="76">
        <v>30</v>
      </c>
    </row>
    <row r="611" spans="1:12" ht="41.4" customHeight="1" x14ac:dyDescent="0.3">
      <c r="A611" s="76" t="s">
        <v>60</v>
      </c>
      <c r="B611" s="76" t="s">
        <v>33</v>
      </c>
      <c r="C611" s="76" t="s">
        <v>64</v>
      </c>
      <c r="D611" s="80" t="s">
        <v>734</v>
      </c>
      <c r="E611" s="76" t="s">
        <v>42</v>
      </c>
      <c r="F611" s="68" t="s">
        <v>10</v>
      </c>
      <c r="G611" s="77">
        <v>46248</v>
      </c>
      <c r="H611" s="76" t="s">
        <v>69</v>
      </c>
      <c r="I611" s="78">
        <v>0.35416666666666669</v>
      </c>
      <c r="J611" s="78">
        <v>0.5</v>
      </c>
      <c r="K611" s="78">
        <v>0.875</v>
      </c>
      <c r="L611" s="76">
        <v>510</v>
      </c>
    </row>
    <row r="612" spans="1:12" x14ac:dyDescent="0.3">
      <c r="A612" s="76" t="s">
        <v>60</v>
      </c>
      <c r="B612" s="76" t="s">
        <v>33</v>
      </c>
      <c r="C612" s="76" t="s">
        <v>65</v>
      </c>
      <c r="D612" s="80" t="s">
        <v>457</v>
      </c>
      <c r="E612" s="76" t="s">
        <v>401</v>
      </c>
      <c r="F612" s="68" t="s">
        <v>10</v>
      </c>
      <c r="G612" s="77">
        <v>46248</v>
      </c>
      <c r="H612" s="76" t="s">
        <v>69</v>
      </c>
      <c r="I612" s="78">
        <v>2.0833333333333332E-2</v>
      </c>
      <c r="J612" s="78">
        <v>0.58333333333333337</v>
      </c>
      <c r="K612" s="78">
        <v>0.60416666666666663</v>
      </c>
      <c r="L612" s="76">
        <v>30</v>
      </c>
    </row>
  </sheetData>
  <autoFilter ref="A1:L612" xr:uid="{00000000-0009-0000-0000-000001000000}">
    <filterColumn colId="6">
      <filters>
        <dateGroupItem year="2026" month="8" day="10" dateTimeGrouping="day"/>
        <dateGroupItem year="2026" month="8" day="11" dateTimeGrouping="day"/>
        <dateGroupItem year="2026" month="8" day="13" dateTimeGrouping="day"/>
        <dateGroupItem year="2026" month="8" day="14" dateTimeGrouping="day"/>
      </filters>
    </filterColumn>
  </autoFilter>
  <dataValidations count="3">
    <dataValidation type="list" allowBlank="1" showInputMessage="1" showErrorMessage="1" sqref="B2:B6 B21:B26 B28:B33 B43:B51 B57:B63 B70:B78 B86:B94 B103:B111 B120:B126 B132:B140 B148:B162 B172:B185 B192:B200 B205:B213 B224:B235 B247:B256 B265:B286 B311:B317 B348:B358 B328:B337 B368:B381 B391:B403 B438:B452 B414:B427 B484:B495 B463:B475 B506:B531 B553:B560 B572:B593" xr:uid="{00000000-0002-0000-0100-000000000000}">
      <formula1>TaskRelatedTo</formula1>
    </dataValidation>
    <dataValidation type="list" allowBlank="1" showInputMessage="1" showErrorMessage="1" sqref="C171 C275:C276 C286 C592 C613:C1048576" xr:uid="{00000000-0002-0000-0100-000001000000}">
      <formula1>#REF!</formula1>
    </dataValidation>
    <dataValidation type="list" allowBlank="1" showInputMessage="1" showErrorMessage="1" sqref="A2:A612" xr:uid="{00000000-0002-0000-0100-000002000000}">
      <formula1>BU</formula1>
    </dataValidation>
  </dataValidations>
  <pageMargins left="0.7" right="0.7" top="0.75" bottom="0.75" header="0.3" footer="0.3"/>
  <pageSetup orientation="portrait" r:id="rId1"/>
  <customProperties>
    <customPr name="ORB_SHEETNAME" r:id="rId2"/>
  </customPropertie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3000000}">
          <x14:formula1>
            <xm:f>Calc!$T$3:$T$7</xm:f>
          </x14:formula1>
          <xm:sqref>C1</xm:sqref>
        </x14:dataValidation>
        <x14:dataValidation type="list" allowBlank="1" showInputMessage="1" showErrorMessage="1" xr:uid="{00000000-0002-0000-0100-000004000000}">
          <x14:formula1>
            <xm:f>Calc!$U$14:$U$21</xm:f>
          </x14:formula1>
          <xm:sqref>C2:C6 C21:C26 C28:C33 C43:C51 C57:C63 C70:C78 C86:C94 C103 C120</xm:sqref>
        </x14:dataValidation>
        <x14:dataValidation type="list" allowBlank="1" showInputMessage="1" showErrorMessage="1" xr:uid="{00000000-0002-0000-0100-000005000000}">
          <x14:formula1>
            <xm:f>'C:\Users\Susmitha.Donthi\AppData\Local\Microsoft\Windows\INetCache\Content.Outlook\5RMR2AEN\[Sky Martech - Consent Management  Cookie Remediation - RU (20th October - 24th October).xlsx]Calc'!#REF!</xm:f>
          </x14:formula1>
          <xm:sqref>C8 C13 C15:C16 C18 C38 C35:C36 C65 C67 C80 C96 C101 C113 C115 C128 C130 C142 C144 C164:C166 C170 C187 C202 C218 C222:C224 C237 C245:C246 C240 C242 C258 C289 C292 C295 C297 C300 C305 C307 C310 C302 C319 C325 C322 C339 C343 C345 C341 C347 C327 C360 C364 C366 C362 C383 C385 C390 C387:C388 C405 C407 C411 C409 C413</xm:sqref>
        </x14:dataValidation>
        <x14:dataValidation type="list" allowBlank="1" showInputMessage="1" showErrorMessage="1" xr:uid="{00000000-0002-0000-0100-000006000000}">
          <x14:formula1>
            <xm:f>'C:\Users\Susmitha.Donthi\AppData\Local\Microsoft\Windows\INetCache\Content.Outlook\5RMR2AEN\[Sky Martech - Consent Management  Cookie Remediation - RU (3rd November - 7th November).xlsx]Calc'!#REF!</xm:f>
          </x14:formula1>
          <xm:sqref>C7 C9:C12 C14 C17 C19:C20 C27 C34 C37 C39:C42 C52:C56 C64 C66 C68:C69 C79 C81:C85 C95 C97:C100 C102 C112 C114:C119 C127 C129:C131 C141 C143:C147 C163 C166:C171 C186 C188:C191 C201 C203:C204 C214:C217 C219:C221 C238:C239 C236 C241 C243:C244 C257 C259:C264 C296 C287:C288 C290:C291 C293:C294 C298:C299 C306:C309 C301 C303:C304 C318 C320:C321 C323:C324 C344:C347 C340 C342 C326:C327 C338 C386 C361 C363 C359 C382 C384 C365:C367 C389:C390 C408 C404 C406 C410:C412</xm:sqref>
        </x14:dataValidation>
        <x14:dataValidation type="list" allowBlank="1" showInputMessage="1" showErrorMessage="1" xr:uid="{00000000-0002-0000-0100-000007000000}">
          <x14:formula1>
            <xm:f>Calc!$U$14:$U$22</xm:f>
          </x14:formula1>
          <xm:sqref>C104:C111 C121:C126 C132:C140 C148:C162 C172:C185 C192:C200 C205:C213 C224:C235 C247:C256 C265:C286 C311:C317 C348:C358 C328:C337 C368:C381 C391:C403 C438:C452 C414:C427 C484:C495 C463:C475 C506:C531 C553:C560 C572:C593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M174"/>
  <sheetViews>
    <sheetView zoomScale="80" zoomScaleNormal="80" workbookViewId="0">
      <pane ySplit="1" topLeftCell="A173" activePane="bottomLeft" state="frozen"/>
      <selection pane="bottomLeft"/>
    </sheetView>
  </sheetViews>
  <sheetFormatPr defaultColWidth="8.77734375" defaultRowHeight="13.8" x14ac:dyDescent="0.3"/>
  <cols>
    <col min="1" max="1" width="6.21875" style="26" bestFit="1" customWidth="1"/>
    <col min="2" max="2" width="11.21875" style="26" customWidth="1"/>
    <col min="3" max="3" width="67.77734375" style="26" bestFit="1" customWidth="1"/>
    <col min="4" max="4" width="23.5546875" style="26" customWidth="1"/>
    <col min="5" max="5" width="16" style="26" customWidth="1"/>
    <col min="6" max="6" width="18.77734375" style="26" customWidth="1"/>
    <col min="7" max="7" width="14.21875" style="26" customWidth="1"/>
    <col min="8" max="9" width="9.77734375" style="26" bestFit="1" customWidth="1"/>
    <col min="10" max="10" width="12.5546875" style="26" bestFit="1" customWidth="1"/>
    <col min="11" max="11" width="12.77734375" style="26" customWidth="1"/>
    <col min="12" max="12" width="51.77734375" style="26" customWidth="1"/>
    <col min="13" max="13" width="9.5546875" style="26" bestFit="1" customWidth="1"/>
    <col min="14" max="16384" width="8.77734375" style="26"/>
  </cols>
  <sheetData>
    <row r="1" spans="1:13" ht="41.4" x14ac:dyDescent="0.3">
      <c r="A1" s="24" t="s">
        <v>34</v>
      </c>
      <c r="B1" s="25" t="s">
        <v>30</v>
      </c>
      <c r="C1" s="25" t="s">
        <v>35</v>
      </c>
      <c r="D1" s="25" t="s">
        <v>31</v>
      </c>
      <c r="E1" s="25" t="s">
        <v>2</v>
      </c>
      <c r="F1" s="25" t="s">
        <v>41</v>
      </c>
      <c r="G1" s="25" t="s">
        <v>3</v>
      </c>
      <c r="H1" s="25" t="s">
        <v>36</v>
      </c>
      <c r="I1" s="25" t="s">
        <v>37</v>
      </c>
      <c r="J1" s="25" t="s">
        <v>38</v>
      </c>
      <c r="K1" s="25" t="s">
        <v>39</v>
      </c>
      <c r="L1" s="25" t="s">
        <v>40</v>
      </c>
      <c r="M1" s="25" t="s">
        <v>17</v>
      </c>
    </row>
    <row r="2" spans="1:13" ht="41.4" hidden="1" x14ac:dyDescent="0.3">
      <c r="A2" s="73">
        <v>1</v>
      </c>
      <c r="B2" s="72" t="s">
        <v>46</v>
      </c>
      <c r="C2" s="74" t="s">
        <v>92</v>
      </c>
      <c r="D2" s="72" t="s">
        <v>71</v>
      </c>
      <c r="E2" s="71" t="s">
        <v>42</v>
      </c>
      <c r="F2" s="71" t="s">
        <v>47</v>
      </c>
      <c r="G2" s="75" t="s">
        <v>45</v>
      </c>
      <c r="H2" s="70">
        <v>46020</v>
      </c>
      <c r="I2" s="70">
        <v>46020</v>
      </c>
      <c r="J2" s="70"/>
      <c r="K2" s="70"/>
      <c r="L2" s="74" t="s">
        <v>93</v>
      </c>
      <c r="M2" s="70">
        <v>46020</v>
      </c>
    </row>
    <row r="3" spans="1:13" ht="27.6" hidden="1" x14ac:dyDescent="0.3">
      <c r="A3" s="79">
        <v>2</v>
      </c>
      <c r="B3" s="81" t="s">
        <v>60</v>
      </c>
      <c r="C3" s="86" t="s">
        <v>76</v>
      </c>
      <c r="D3" s="79" t="s">
        <v>63</v>
      </c>
      <c r="E3" s="79" t="s">
        <v>42</v>
      </c>
      <c r="F3" s="79" t="s">
        <v>69</v>
      </c>
      <c r="G3" s="83" t="s">
        <v>10</v>
      </c>
      <c r="H3" s="84">
        <v>46017</v>
      </c>
      <c r="I3" s="84">
        <v>46017</v>
      </c>
      <c r="J3" s="84">
        <v>46020</v>
      </c>
      <c r="K3" s="84">
        <v>46020</v>
      </c>
      <c r="L3" s="85" t="s">
        <v>73</v>
      </c>
      <c r="M3" s="84">
        <v>46020</v>
      </c>
    </row>
    <row r="4" spans="1:13" ht="27.6" hidden="1" x14ac:dyDescent="0.3">
      <c r="A4" s="79">
        <v>3</v>
      </c>
      <c r="B4" s="81" t="s">
        <v>60</v>
      </c>
      <c r="C4" s="82" t="s">
        <v>80</v>
      </c>
      <c r="D4" s="79" t="s">
        <v>63</v>
      </c>
      <c r="E4" s="79" t="s">
        <v>42</v>
      </c>
      <c r="F4" s="79" t="s">
        <v>69</v>
      </c>
      <c r="G4" s="83" t="s">
        <v>10</v>
      </c>
      <c r="H4" s="84">
        <v>46021</v>
      </c>
      <c r="I4" s="84">
        <v>46021</v>
      </c>
      <c r="J4" s="84">
        <v>46022</v>
      </c>
      <c r="K4" s="84">
        <v>46022</v>
      </c>
      <c r="L4" s="87" t="s">
        <v>74</v>
      </c>
      <c r="M4" s="84">
        <v>46020</v>
      </c>
    </row>
    <row r="5" spans="1:13" ht="27.6" hidden="1" x14ac:dyDescent="0.3">
      <c r="A5" s="79">
        <v>4</v>
      </c>
      <c r="B5" s="81" t="s">
        <v>60</v>
      </c>
      <c r="C5" s="82" t="s">
        <v>81</v>
      </c>
      <c r="D5" s="81" t="s">
        <v>63</v>
      </c>
      <c r="E5" s="79" t="s">
        <v>42</v>
      </c>
      <c r="F5" s="79" t="s">
        <v>69</v>
      </c>
      <c r="G5" s="75" t="s">
        <v>45</v>
      </c>
      <c r="H5" s="84">
        <v>46024</v>
      </c>
      <c r="I5" s="84">
        <v>46024</v>
      </c>
      <c r="J5" s="84"/>
      <c r="K5" s="84"/>
      <c r="L5" s="86" t="s">
        <v>75</v>
      </c>
      <c r="M5" s="84">
        <v>46020</v>
      </c>
    </row>
    <row r="6" spans="1:13" ht="27.6" hidden="1" x14ac:dyDescent="0.3">
      <c r="A6" s="79">
        <v>5</v>
      </c>
      <c r="B6" s="81" t="s">
        <v>60</v>
      </c>
      <c r="C6" s="86" t="s">
        <v>103</v>
      </c>
      <c r="D6" s="79" t="s">
        <v>63</v>
      </c>
      <c r="E6" s="79" t="s">
        <v>42</v>
      </c>
      <c r="F6" s="79" t="s">
        <v>69</v>
      </c>
      <c r="G6" s="83" t="s">
        <v>10</v>
      </c>
      <c r="H6" s="84">
        <v>46027</v>
      </c>
      <c r="I6" s="84">
        <v>46027</v>
      </c>
      <c r="J6" s="84">
        <v>46027</v>
      </c>
      <c r="K6" s="84">
        <v>46027</v>
      </c>
      <c r="L6" s="85" t="s">
        <v>106</v>
      </c>
      <c r="M6" s="84">
        <v>46027</v>
      </c>
    </row>
    <row r="7" spans="1:13" ht="27.6" hidden="1" x14ac:dyDescent="0.3">
      <c r="A7" s="79">
        <v>6</v>
      </c>
      <c r="B7" s="81" t="s">
        <v>60</v>
      </c>
      <c r="C7" s="82" t="s">
        <v>104</v>
      </c>
      <c r="D7" s="79" t="s">
        <v>63</v>
      </c>
      <c r="E7" s="79" t="s">
        <v>42</v>
      </c>
      <c r="F7" s="79" t="s">
        <v>69</v>
      </c>
      <c r="G7" s="83" t="s">
        <v>10</v>
      </c>
      <c r="H7" s="84">
        <v>46028</v>
      </c>
      <c r="I7" s="84">
        <v>46028</v>
      </c>
      <c r="J7" s="84">
        <v>46030</v>
      </c>
      <c r="K7" s="84">
        <v>46030</v>
      </c>
      <c r="L7" s="87" t="s">
        <v>107</v>
      </c>
      <c r="M7" s="84">
        <v>46027</v>
      </c>
    </row>
    <row r="8" spans="1:13" ht="27.6" hidden="1" x14ac:dyDescent="0.3">
      <c r="A8" s="79">
        <v>7</v>
      </c>
      <c r="B8" s="81" t="s">
        <v>60</v>
      </c>
      <c r="C8" s="82" t="s">
        <v>105</v>
      </c>
      <c r="D8" s="81" t="s">
        <v>63</v>
      </c>
      <c r="E8" s="79" t="s">
        <v>42</v>
      </c>
      <c r="F8" s="79" t="s">
        <v>69</v>
      </c>
      <c r="G8" s="75" t="s">
        <v>45</v>
      </c>
      <c r="H8" s="84">
        <v>46031</v>
      </c>
      <c r="I8" s="84">
        <v>46031</v>
      </c>
      <c r="J8" s="84"/>
      <c r="K8" s="84"/>
      <c r="L8" s="86" t="s">
        <v>108</v>
      </c>
      <c r="M8" s="84">
        <v>46027</v>
      </c>
    </row>
    <row r="9" spans="1:13" ht="41.4" hidden="1" x14ac:dyDescent="0.3">
      <c r="A9" s="73">
        <v>8</v>
      </c>
      <c r="B9" s="72" t="s">
        <v>46</v>
      </c>
      <c r="C9" s="74" t="s">
        <v>114</v>
      </c>
      <c r="D9" s="72" t="s">
        <v>71</v>
      </c>
      <c r="E9" s="71" t="s">
        <v>42</v>
      </c>
      <c r="F9" s="71" t="s">
        <v>47</v>
      </c>
      <c r="G9" s="75" t="s">
        <v>45</v>
      </c>
      <c r="H9" s="70">
        <v>46027</v>
      </c>
      <c r="I9" s="70">
        <v>46027</v>
      </c>
      <c r="J9" s="70"/>
      <c r="K9" s="70"/>
      <c r="L9" s="74" t="s">
        <v>115</v>
      </c>
      <c r="M9" s="70">
        <v>46027</v>
      </c>
    </row>
    <row r="10" spans="1:13" ht="27.6" hidden="1" x14ac:dyDescent="0.3">
      <c r="A10" s="79">
        <v>9</v>
      </c>
      <c r="B10" s="81" t="s">
        <v>60</v>
      </c>
      <c r="C10" s="82" t="s">
        <v>119</v>
      </c>
      <c r="D10" s="81" t="s">
        <v>63</v>
      </c>
      <c r="E10" s="79" t="s">
        <v>42</v>
      </c>
      <c r="F10" s="79" t="s">
        <v>69</v>
      </c>
      <c r="G10" s="83" t="s">
        <v>10</v>
      </c>
      <c r="H10" s="84">
        <v>46031</v>
      </c>
      <c r="I10" s="84">
        <v>46031</v>
      </c>
      <c r="J10" s="84">
        <v>46038</v>
      </c>
      <c r="K10" s="84">
        <v>46038</v>
      </c>
      <c r="L10" s="86" t="s">
        <v>120</v>
      </c>
      <c r="M10" s="84">
        <v>46034</v>
      </c>
    </row>
    <row r="11" spans="1:13" ht="41.4" hidden="1" x14ac:dyDescent="0.3">
      <c r="A11" s="73">
        <v>10</v>
      </c>
      <c r="B11" s="72" t="s">
        <v>46</v>
      </c>
      <c r="C11" s="74" t="s">
        <v>126</v>
      </c>
      <c r="D11" s="72" t="s">
        <v>71</v>
      </c>
      <c r="E11" s="71" t="s">
        <v>42</v>
      </c>
      <c r="F11" s="71" t="s">
        <v>47</v>
      </c>
      <c r="G11" s="75" t="s">
        <v>45</v>
      </c>
      <c r="H11" s="70">
        <v>46034</v>
      </c>
      <c r="I11" s="70">
        <v>46034</v>
      </c>
      <c r="J11" s="70"/>
      <c r="K11" s="70"/>
      <c r="L11" s="74" t="s">
        <v>127</v>
      </c>
      <c r="M11" s="70">
        <v>46034</v>
      </c>
    </row>
    <row r="12" spans="1:13" ht="27.6" hidden="1" x14ac:dyDescent="0.3">
      <c r="A12" s="79">
        <v>11</v>
      </c>
      <c r="B12" s="81" t="s">
        <v>60</v>
      </c>
      <c r="C12" s="82" t="s">
        <v>136</v>
      </c>
      <c r="D12" s="81" t="s">
        <v>63</v>
      </c>
      <c r="E12" s="79" t="s">
        <v>42</v>
      </c>
      <c r="F12" s="79" t="s">
        <v>69</v>
      </c>
      <c r="G12" s="83" t="s">
        <v>10</v>
      </c>
      <c r="H12" s="84">
        <v>46041</v>
      </c>
      <c r="I12" s="84">
        <v>46041</v>
      </c>
      <c r="J12" s="84">
        <v>46043</v>
      </c>
      <c r="K12" s="84">
        <v>46043</v>
      </c>
      <c r="L12" s="86" t="s">
        <v>138</v>
      </c>
      <c r="M12" s="84">
        <v>46041</v>
      </c>
    </row>
    <row r="13" spans="1:13" ht="27.6" hidden="1" x14ac:dyDescent="0.3">
      <c r="A13" s="79">
        <v>12</v>
      </c>
      <c r="B13" s="81" t="s">
        <v>60</v>
      </c>
      <c r="C13" s="82" t="s">
        <v>137</v>
      </c>
      <c r="D13" s="81" t="s">
        <v>63</v>
      </c>
      <c r="E13" s="79" t="s">
        <v>42</v>
      </c>
      <c r="F13" s="79" t="s">
        <v>69</v>
      </c>
      <c r="G13" s="83" t="s">
        <v>10</v>
      </c>
      <c r="H13" s="84">
        <v>46044</v>
      </c>
      <c r="I13" s="84">
        <v>46044</v>
      </c>
      <c r="J13" s="84">
        <v>46045</v>
      </c>
      <c r="K13" s="84">
        <v>46045</v>
      </c>
      <c r="L13" s="86" t="s">
        <v>139</v>
      </c>
      <c r="M13" s="84">
        <v>46041</v>
      </c>
    </row>
    <row r="14" spans="1:13" ht="27.6" hidden="1" x14ac:dyDescent="0.3">
      <c r="A14" s="79">
        <v>13</v>
      </c>
      <c r="B14" s="81" t="s">
        <v>60</v>
      </c>
      <c r="C14" s="82" t="s">
        <v>141</v>
      </c>
      <c r="D14" s="81" t="s">
        <v>63</v>
      </c>
      <c r="E14" s="79" t="s">
        <v>42</v>
      </c>
      <c r="F14" s="79" t="s">
        <v>69</v>
      </c>
      <c r="G14" s="90" t="s">
        <v>45</v>
      </c>
      <c r="H14" s="84">
        <v>46045</v>
      </c>
      <c r="I14" s="84">
        <v>46045</v>
      </c>
      <c r="J14" s="84"/>
      <c r="K14" s="84"/>
      <c r="L14" s="86" t="s">
        <v>142</v>
      </c>
      <c r="M14" s="84">
        <v>46041</v>
      </c>
    </row>
    <row r="15" spans="1:13" ht="41.4" hidden="1" x14ac:dyDescent="0.3">
      <c r="A15" s="73">
        <v>14</v>
      </c>
      <c r="B15" s="72" t="s">
        <v>46</v>
      </c>
      <c r="C15" s="74" t="s">
        <v>150</v>
      </c>
      <c r="D15" s="72" t="s">
        <v>57</v>
      </c>
      <c r="E15" s="71" t="s">
        <v>42</v>
      </c>
      <c r="F15" s="71" t="s">
        <v>47</v>
      </c>
      <c r="G15" s="90" t="s">
        <v>45</v>
      </c>
      <c r="H15" s="70">
        <v>46043</v>
      </c>
      <c r="I15" s="70">
        <v>46043</v>
      </c>
      <c r="J15" s="70">
        <v>46045</v>
      </c>
      <c r="K15" s="70">
        <v>46045</v>
      </c>
      <c r="L15" s="74" t="s">
        <v>151</v>
      </c>
      <c r="M15" s="70">
        <v>46041</v>
      </c>
    </row>
    <row r="16" spans="1:13" ht="41.4" hidden="1" x14ac:dyDescent="0.3">
      <c r="A16" s="73">
        <v>15</v>
      </c>
      <c r="B16" s="72" t="s">
        <v>46</v>
      </c>
      <c r="C16" s="74" t="s">
        <v>152</v>
      </c>
      <c r="D16" s="72" t="s">
        <v>57</v>
      </c>
      <c r="E16" s="71" t="s">
        <v>124</v>
      </c>
      <c r="F16" s="71" t="s">
        <v>47</v>
      </c>
      <c r="G16" s="83" t="s">
        <v>10</v>
      </c>
      <c r="H16" s="70">
        <v>46042</v>
      </c>
      <c r="I16" s="70">
        <v>46042</v>
      </c>
      <c r="J16" s="70">
        <v>46043</v>
      </c>
      <c r="K16" s="70">
        <v>46043</v>
      </c>
      <c r="L16" s="74" t="s">
        <v>153</v>
      </c>
      <c r="M16" s="70">
        <v>46041</v>
      </c>
    </row>
    <row r="17" spans="1:13" ht="41.4" hidden="1" x14ac:dyDescent="0.3">
      <c r="A17" s="73">
        <v>16</v>
      </c>
      <c r="B17" s="72" t="s">
        <v>46</v>
      </c>
      <c r="C17" s="74" t="s">
        <v>154</v>
      </c>
      <c r="D17" s="72" t="s">
        <v>57</v>
      </c>
      <c r="E17" s="71" t="s">
        <v>42</v>
      </c>
      <c r="F17" s="71" t="s">
        <v>47</v>
      </c>
      <c r="G17" s="90" t="s">
        <v>45</v>
      </c>
      <c r="H17" s="70">
        <v>46045</v>
      </c>
      <c r="I17" s="70">
        <v>46045</v>
      </c>
      <c r="J17" s="70"/>
      <c r="K17" s="70"/>
      <c r="L17" s="74" t="s">
        <v>155</v>
      </c>
      <c r="M17" s="70">
        <v>46041</v>
      </c>
    </row>
    <row r="18" spans="1:13" ht="41.4" hidden="1" x14ac:dyDescent="0.3">
      <c r="A18" s="79">
        <v>17</v>
      </c>
      <c r="B18" s="81" t="s">
        <v>60</v>
      </c>
      <c r="C18" s="82" t="s">
        <v>161</v>
      </c>
      <c r="D18" s="81" t="s">
        <v>63</v>
      </c>
      <c r="E18" s="79" t="s">
        <v>42</v>
      </c>
      <c r="F18" s="79" t="s">
        <v>69</v>
      </c>
      <c r="G18" s="83" t="s">
        <v>10</v>
      </c>
      <c r="H18" s="84">
        <v>46045</v>
      </c>
      <c r="I18" s="84">
        <v>46045</v>
      </c>
      <c r="J18" s="84">
        <v>46049</v>
      </c>
      <c r="K18" s="84">
        <v>46049</v>
      </c>
      <c r="L18" s="86" t="s">
        <v>164</v>
      </c>
      <c r="M18" s="84">
        <v>46048</v>
      </c>
    </row>
    <row r="19" spans="1:13" ht="27.6" hidden="1" x14ac:dyDescent="0.3">
      <c r="A19" s="79">
        <v>18</v>
      </c>
      <c r="B19" s="81" t="s">
        <v>60</v>
      </c>
      <c r="C19" s="82" t="s">
        <v>162</v>
      </c>
      <c r="D19" s="81" t="s">
        <v>63</v>
      </c>
      <c r="E19" s="79" t="s">
        <v>42</v>
      </c>
      <c r="F19" s="79" t="s">
        <v>69</v>
      </c>
      <c r="G19" s="83" t="s">
        <v>10</v>
      </c>
      <c r="H19" s="84">
        <v>46050</v>
      </c>
      <c r="I19" s="84">
        <v>46050</v>
      </c>
      <c r="J19" s="84">
        <v>46051</v>
      </c>
      <c r="K19" s="84">
        <v>46051</v>
      </c>
      <c r="L19" s="86" t="s">
        <v>165</v>
      </c>
      <c r="M19" s="84">
        <v>46048</v>
      </c>
    </row>
    <row r="20" spans="1:13" ht="27.6" hidden="1" x14ac:dyDescent="0.3">
      <c r="A20" s="79">
        <v>19</v>
      </c>
      <c r="B20" s="81" t="s">
        <v>60</v>
      </c>
      <c r="C20" s="82" t="s">
        <v>163</v>
      </c>
      <c r="D20" s="81" t="s">
        <v>63</v>
      </c>
      <c r="E20" s="79" t="s">
        <v>42</v>
      </c>
      <c r="F20" s="79" t="s">
        <v>69</v>
      </c>
      <c r="G20" s="90" t="s">
        <v>45</v>
      </c>
      <c r="H20" s="84">
        <v>46052</v>
      </c>
      <c r="I20" s="84">
        <v>46052</v>
      </c>
      <c r="J20" s="84"/>
      <c r="K20" s="84"/>
      <c r="L20" s="86" t="s">
        <v>166</v>
      </c>
      <c r="M20" s="84">
        <v>46048</v>
      </c>
    </row>
    <row r="21" spans="1:13" ht="41.4" hidden="1" x14ac:dyDescent="0.3">
      <c r="A21" s="73">
        <v>20</v>
      </c>
      <c r="B21" s="72" t="s">
        <v>46</v>
      </c>
      <c r="C21" s="74" t="s">
        <v>176</v>
      </c>
      <c r="D21" s="72" t="s">
        <v>57</v>
      </c>
      <c r="E21" s="71" t="s">
        <v>42</v>
      </c>
      <c r="F21" s="71" t="s">
        <v>47</v>
      </c>
      <c r="G21" s="83" t="s">
        <v>10</v>
      </c>
      <c r="H21" s="70">
        <v>46045</v>
      </c>
      <c r="I21" s="70">
        <v>46045</v>
      </c>
      <c r="J21" s="70">
        <v>46052</v>
      </c>
      <c r="K21" s="70">
        <v>46052</v>
      </c>
      <c r="L21" s="74" t="s">
        <v>176</v>
      </c>
      <c r="M21" s="70">
        <v>46048</v>
      </c>
    </row>
    <row r="22" spans="1:13" ht="41.4" hidden="1" x14ac:dyDescent="0.3">
      <c r="A22" s="73">
        <v>21</v>
      </c>
      <c r="B22" s="72" t="s">
        <v>46</v>
      </c>
      <c r="C22" s="74" t="s">
        <v>152</v>
      </c>
      <c r="D22" s="72" t="s">
        <v>57</v>
      </c>
      <c r="E22" s="71" t="s">
        <v>124</v>
      </c>
      <c r="F22" s="71" t="s">
        <v>47</v>
      </c>
      <c r="G22" s="83" t="s">
        <v>10</v>
      </c>
      <c r="H22" s="70">
        <v>46049</v>
      </c>
      <c r="I22" s="70">
        <v>46049</v>
      </c>
      <c r="J22" s="70">
        <v>46050</v>
      </c>
      <c r="K22" s="70">
        <v>46050</v>
      </c>
      <c r="L22" s="74" t="s">
        <v>153</v>
      </c>
      <c r="M22" s="70">
        <v>46048</v>
      </c>
    </row>
    <row r="23" spans="1:13" ht="55.2" hidden="1" x14ac:dyDescent="0.3">
      <c r="A23" s="73">
        <v>22</v>
      </c>
      <c r="B23" s="72" t="s">
        <v>46</v>
      </c>
      <c r="C23" s="74" t="s">
        <v>174</v>
      </c>
      <c r="D23" s="72" t="s">
        <v>57</v>
      </c>
      <c r="E23" s="71" t="s">
        <v>42</v>
      </c>
      <c r="F23" s="71" t="s">
        <v>47</v>
      </c>
      <c r="G23" s="83" t="s">
        <v>10</v>
      </c>
      <c r="H23" s="70">
        <v>46045</v>
      </c>
      <c r="I23" s="70">
        <v>46045</v>
      </c>
      <c r="J23" s="70">
        <v>46052</v>
      </c>
      <c r="K23" s="70">
        <v>46052</v>
      </c>
      <c r="L23" s="74" t="s">
        <v>175</v>
      </c>
      <c r="M23" s="70">
        <v>46048</v>
      </c>
    </row>
    <row r="24" spans="1:13" ht="27.6" hidden="1" x14ac:dyDescent="0.3">
      <c r="A24" s="79">
        <v>23</v>
      </c>
      <c r="B24" s="81" t="s">
        <v>60</v>
      </c>
      <c r="C24" s="82" t="s">
        <v>183</v>
      </c>
      <c r="D24" s="81" t="s">
        <v>63</v>
      </c>
      <c r="E24" s="79" t="s">
        <v>42</v>
      </c>
      <c r="F24" s="79" t="s">
        <v>69</v>
      </c>
      <c r="G24" s="83" t="s">
        <v>10</v>
      </c>
      <c r="H24" s="84">
        <v>46052</v>
      </c>
      <c r="I24" s="84">
        <v>46052</v>
      </c>
      <c r="J24" s="84">
        <v>46055</v>
      </c>
      <c r="K24" s="84">
        <v>46055</v>
      </c>
      <c r="L24" s="86" t="s">
        <v>184</v>
      </c>
      <c r="M24" s="84">
        <v>46055</v>
      </c>
    </row>
    <row r="25" spans="1:13" ht="27.6" hidden="1" x14ac:dyDescent="0.3">
      <c r="A25" s="79">
        <v>24</v>
      </c>
      <c r="B25" s="81" t="s">
        <v>60</v>
      </c>
      <c r="C25" s="82" t="s">
        <v>185</v>
      </c>
      <c r="D25" s="81" t="s">
        <v>63</v>
      </c>
      <c r="E25" s="79" t="s">
        <v>42</v>
      </c>
      <c r="F25" s="79" t="s">
        <v>69</v>
      </c>
      <c r="G25" s="83" t="s">
        <v>10</v>
      </c>
      <c r="H25" s="84">
        <v>46056</v>
      </c>
      <c r="I25" s="84">
        <v>46056</v>
      </c>
      <c r="J25" s="84">
        <v>46057</v>
      </c>
      <c r="K25" s="84">
        <v>46057</v>
      </c>
      <c r="L25" s="86" t="s">
        <v>165</v>
      </c>
      <c r="M25" s="84">
        <v>46055</v>
      </c>
    </row>
    <row r="26" spans="1:13" ht="27.6" hidden="1" x14ac:dyDescent="0.3">
      <c r="A26" s="79">
        <v>25</v>
      </c>
      <c r="B26" s="81" t="s">
        <v>60</v>
      </c>
      <c r="C26" s="82" t="s">
        <v>186</v>
      </c>
      <c r="D26" s="81" t="s">
        <v>63</v>
      </c>
      <c r="E26" s="79" t="s">
        <v>42</v>
      </c>
      <c r="F26" s="79" t="s">
        <v>69</v>
      </c>
      <c r="G26" s="83" t="s">
        <v>10</v>
      </c>
      <c r="H26" s="84">
        <v>46059</v>
      </c>
      <c r="I26" s="84">
        <v>46059</v>
      </c>
      <c r="J26" s="84"/>
      <c r="K26" s="84"/>
      <c r="L26" s="86" t="s">
        <v>166</v>
      </c>
      <c r="M26" s="84">
        <v>46055</v>
      </c>
    </row>
    <row r="27" spans="1:13" ht="41.4" hidden="1" x14ac:dyDescent="0.3">
      <c r="A27" s="73">
        <v>26</v>
      </c>
      <c r="B27" s="72" t="s">
        <v>46</v>
      </c>
      <c r="C27" s="74" t="s">
        <v>197</v>
      </c>
      <c r="D27" s="72" t="s">
        <v>57</v>
      </c>
      <c r="E27" s="71" t="s">
        <v>124</v>
      </c>
      <c r="F27" s="71" t="s">
        <v>47</v>
      </c>
      <c r="G27" s="83" t="s">
        <v>10</v>
      </c>
      <c r="H27" s="70">
        <v>46057</v>
      </c>
      <c r="I27" s="70">
        <v>46057</v>
      </c>
      <c r="J27" s="70">
        <v>46058</v>
      </c>
      <c r="K27" s="70">
        <v>46058</v>
      </c>
      <c r="L27" s="74" t="s">
        <v>192</v>
      </c>
      <c r="M27" s="70">
        <v>46055</v>
      </c>
    </row>
    <row r="28" spans="1:13" ht="41.4" hidden="1" x14ac:dyDescent="0.3">
      <c r="A28" s="73">
        <v>27</v>
      </c>
      <c r="B28" s="72" t="s">
        <v>46</v>
      </c>
      <c r="C28" s="74" t="s">
        <v>191</v>
      </c>
      <c r="D28" s="72" t="s">
        <v>57</v>
      </c>
      <c r="E28" s="71" t="s">
        <v>124</v>
      </c>
      <c r="F28" s="71" t="s">
        <v>47</v>
      </c>
      <c r="G28" s="90" t="s">
        <v>45</v>
      </c>
      <c r="H28" s="70">
        <v>46056</v>
      </c>
      <c r="I28" s="70">
        <v>46056</v>
      </c>
      <c r="J28" s="70"/>
      <c r="K28" s="70"/>
      <c r="L28" s="74" t="s">
        <v>191</v>
      </c>
      <c r="M28" s="70">
        <v>46055</v>
      </c>
    </row>
    <row r="29" spans="1:13" ht="27.6" hidden="1" x14ac:dyDescent="0.3">
      <c r="A29" s="79">
        <v>28</v>
      </c>
      <c r="B29" s="81" t="s">
        <v>60</v>
      </c>
      <c r="C29" s="82" t="s">
        <v>204</v>
      </c>
      <c r="D29" s="81" t="s">
        <v>63</v>
      </c>
      <c r="E29" s="79" t="s">
        <v>42</v>
      </c>
      <c r="F29" s="79" t="s">
        <v>69</v>
      </c>
      <c r="G29" s="83" t="s">
        <v>10</v>
      </c>
      <c r="H29" s="84">
        <v>46059</v>
      </c>
      <c r="I29" s="84">
        <v>46059</v>
      </c>
      <c r="J29" s="84">
        <v>46062</v>
      </c>
      <c r="K29" s="84">
        <v>46062</v>
      </c>
      <c r="L29" s="86" t="s">
        <v>207</v>
      </c>
      <c r="M29" s="84">
        <v>46062</v>
      </c>
    </row>
    <row r="30" spans="1:13" ht="27.6" hidden="1" x14ac:dyDescent="0.3">
      <c r="A30" s="79">
        <v>29</v>
      </c>
      <c r="B30" s="81" t="s">
        <v>60</v>
      </c>
      <c r="C30" s="82" t="s">
        <v>205</v>
      </c>
      <c r="D30" s="81" t="s">
        <v>63</v>
      </c>
      <c r="E30" s="79" t="s">
        <v>42</v>
      </c>
      <c r="F30" s="79" t="s">
        <v>69</v>
      </c>
      <c r="G30" s="83" t="s">
        <v>10</v>
      </c>
      <c r="H30" s="84">
        <v>46063</v>
      </c>
      <c r="I30" s="84">
        <v>46063</v>
      </c>
      <c r="J30" s="84">
        <v>46064</v>
      </c>
      <c r="K30" s="84">
        <v>46064</v>
      </c>
      <c r="L30" s="86" t="s">
        <v>208</v>
      </c>
      <c r="M30" s="84">
        <v>46062</v>
      </c>
    </row>
    <row r="31" spans="1:13" ht="27.6" hidden="1" x14ac:dyDescent="0.3">
      <c r="A31" s="79">
        <v>30</v>
      </c>
      <c r="B31" s="81" t="s">
        <v>60</v>
      </c>
      <c r="C31" s="82" t="s">
        <v>206</v>
      </c>
      <c r="D31" s="81" t="s">
        <v>63</v>
      </c>
      <c r="E31" s="79" t="s">
        <v>42</v>
      </c>
      <c r="F31" s="79" t="s">
        <v>69</v>
      </c>
      <c r="G31" s="83" t="s">
        <v>10</v>
      </c>
      <c r="H31" s="84">
        <v>46065</v>
      </c>
      <c r="I31" s="84">
        <v>46065</v>
      </c>
      <c r="J31" s="84">
        <v>46066</v>
      </c>
      <c r="K31" s="84">
        <v>46066</v>
      </c>
      <c r="L31" s="86" t="s">
        <v>209</v>
      </c>
      <c r="M31" s="84">
        <v>46062</v>
      </c>
    </row>
    <row r="32" spans="1:13" ht="27.6" hidden="1" x14ac:dyDescent="0.3">
      <c r="A32" s="79">
        <v>31</v>
      </c>
      <c r="B32" s="81" t="s">
        <v>60</v>
      </c>
      <c r="C32" s="82" t="s">
        <v>211</v>
      </c>
      <c r="D32" s="81" t="s">
        <v>63</v>
      </c>
      <c r="E32" s="79" t="s">
        <v>42</v>
      </c>
      <c r="F32" s="79" t="s">
        <v>69</v>
      </c>
      <c r="G32" s="90" t="s">
        <v>45</v>
      </c>
      <c r="H32" s="84">
        <v>46066</v>
      </c>
      <c r="I32" s="84">
        <v>46066</v>
      </c>
      <c r="J32" s="84"/>
      <c r="K32" s="84"/>
      <c r="L32" s="86" t="s">
        <v>210</v>
      </c>
      <c r="M32" s="84">
        <v>46062</v>
      </c>
    </row>
    <row r="33" spans="1:13" ht="55.2" hidden="1" x14ac:dyDescent="0.3">
      <c r="A33" s="73">
        <v>32</v>
      </c>
      <c r="B33" s="72" t="s">
        <v>46</v>
      </c>
      <c r="C33" s="74" t="s">
        <v>218</v>
      </c>
      <c r="D33" s="72" t="s">
        <v>57</v>
      </c>
      <c r="E33" s="71" t="s">
        <v>124</v>
      </c>
      <c r="F33" s="71" t="s">
        <v>47</v>
      </c>
      <c r="G33" s="83" t="s">
        <v>10</v>
      </c>
      <c r="H33" s="70">
        <v>46062</v>
      </c>
      <c r="I33" s="70">
        <v>46062</v>
      </c>
      <c r="J33" s="70">
        <v>46063</v>
      </c>
      <c r="K33" s="70">
        <v>46063</v>
      </c>
      <c r="L33" s="74" t="s">
        <v>218</v>
      </c>
      <c r="M33" s="70">
        <v>46062</v>
      </c>
    </row>
    <row r="34" spans="1:13" ht="41.4" hidden="1" x14ac:dyDescent="0.3">
      <c r="A34" s="73">
        <v>33</v>
      </c>
      <c r="B34" s="72" t="s">
        <v>46</v>
      </c>
      <c r="C34" s="74" t="s">
        <v>191</v>
      </c>
      <c r="D34" s="72" t="s">
        <v>57</v>
      </c>
      <c r="E34" s="71" t="s">
        <v>124</v>
      </c>
      <c r="F34" s="71" t="s">
        <v>47</v>
      </c>
      <c r="G34" s="83" t="s">
        <v>10</v>
      </c>
      <c r="H34" s="70">
        <v>46063</v>
      </c>
      <c r="I34" s="70">
        <v>46063</v>
      </c>
      <c r="J34" s="70">
        <v>46065</v>
      </c>
      <c r="K34" s="70">
        <v>46065</v>
      </c>
      <c r="L34" s="74" t="s">
        <v>191</v>
      </c>
      <c r="M34" s="70">
        <v>46062</v>
      </c>
    </row>
    <row r="35" spans="1:13" ht="27.6" hidden="1" x14ac:dyDescent="0.3">
      <c r="A35" s="79">
        <v>34</v>
      </c>
      <c r="B35" s="81" t="s">
        <v>60</v>
      </c>
      <c r="C35" s="82" t="s">
        <v>226</v>
      </c>
      <c r="D35" s="81" t="s">
        <v>63</v>
      </c>
      <c r="E35" s="79" t="s">
        <v>42</v>
      </c>
      <c r="F35" s="79" t="s">
        <v>69</v>
      </c>
      <c r="G35" s="83" t="s">
        <v>10</v>
      </c>
      <c r="H35" s="84">
        <v>46066</v>
      </c>
      <c r="I35" s="84">
        <v>46066</v>
      </c>
      <c r="J35" s="84">
        <v>46070</v>
      </c>
      <c r="K35" s="84">
        <v>46070</v>
      </c>
      <c r="L35" s="86" t="s">
        <v>227</v>
      </c>
      <c r="M35" s="84">
        <v>46069</v>
      </c>
    </row>
    <row r="36" spans="1:13" ht="27.6" hidden="1" x14ac:dyDescent="0.3">
      <c r="A36" s="79">
        <v>35</v>
      </c>
      <c r="B36" s="81" t="s">
        <v>60</v>
      </c>
      <c r="C36" s="82" t="s">
        <v>230</v>
      </c>
      <c r="D36" s="81" t="s">
        <v>63</v>
      </c>
      <c r="E36" s="79" t="s">
        <v>42</v>
      </c>
      <c r="F36" s="79" t="s">
        <v>69</v>
      </c>
      <c r="G36" s="83" t="s">
        <v>10</v>
      </c>
      <c r="H36" s="84">
        <v>46071</v>
      </c>
      <c r="I36" s="84">
        <v>46071</v>
      </c>
      <c r="J36" s="84">
        <v>46071</v>
      </c>
      <c r="K36" s="84">
        <v>46071</v>
      </c>
      <c r="L36" s="86" t="s">
        <v>231</v>
      </c>
      <c r="M36" s="84">
        <v>46069</v>
      </c>
    </row>
    <row r="37" spans="1:13" ht="27.6" hidden="1" x14ac:dyDescent="0.3">
      <c r="A37" s="79">
        <v>36</v>
      </c>
      <c r="B37" s="81" t="s">
        <v>60</v>
      </c>
      <c r="C37" s="82" t="s">
        <v>229</v>
      </c>
      <c r="D37" s="81" t="s">
        <v>63</v>
      </c>
      <c r="E37" s="79" t="s">
        <v>42</v>
      </c>
      <c r="F37" s="79" t="s">
        <v>69</v>
      </c>
      <c r="G37" s="83" t="s">
        <v>10</v>
      </c>
      <c r="H37" s="84">
        <v>46072</v>
      </c>
      <c r="I37" s="84">
        <v>46072</v>
      </c>
      <c r="J37" s="84">
        <v>46072</v>
      </c>
      <c r="K37" s="84">
        <v>46072</v>
      </c>
      <c r="L37" s="86" t="s">
        <v>232</v>
      </c>
      <c r="M37" s="84">
        <v>46069</v>
      </c>
    </row>
    <row r="38" spans="1:13" ht="27.6" hidden="1" x14ac:dyDescent="0.3">
      <c r="A38" s="79">
        <v>37</v>
      </c>
      <c r="B38" s="81" t="s">
        <v>60</v>
      </c>
      <c r="C38" s="82" t="s">
        <v>228</v>
      </c>
      <c r="D38" s="81" t="s">
        <v>63</v>
      </c>
      <c r="E38" s="79" t="s">
        <v>42</v>
      </c>
      <c r="F38" s="79" t="s">
        <v>69</v>
      </c>
      <c r="G38" s="90" t="s">
        <v>45</v>
      </c>
      <c r="H38" s="84">
        <v>46073</v>
      </c>
      <c r="I38" s="84">
        <v>46073</v>
      </c>
      <c r="J38" s="84"/>
      <c r="K38" s="84"/>
      <c r="L38" s="86" t="s">
        <v>233</v>
      </c>
      <c r="M38" s="84">
        <v>46069</v>
      </c>
    </row>
    <row r="39" spans="1:13" ht="41.4" hidden="1" x14ac:dyDescent="0.3">
      <c r="A39" s="73">
        <v>38</v>
      </c>
      <c r="B39" s="72" t="s">
        <v>46</v>
      </c>
      <c r="C39" s="74" t="s">
        <v>241</v>
      </c>
      <c r="D39" s="72" t="s">
        <v>57</v>
      </c>
      <c r="E39" s="71" t="s">
        <v>42</v>
      </c>
      <c r="F39" s="71" t="s">
        <v>47</v>
      </c>
      <c r="G39" s="83" t="s">
        <v>10</v>
      </c>
      <c r="H39" s="70">
        <v>46069</v>
      </c>
      <c r="I39" s="70">
        <v>46069</v>
      </c>
      <c r="J39" s="70">
        <v>46073</v>
      </c>
      <c r="K39" s="70">
        <v>46073</v>
      </c>
      <c r="L39" s="74" t="s">
        <v>244</v>
      </c>
      <c r="M39" s="70">
        <v>46069</v>
      </c>
    </row>
    <row r="40" spans="1:13" ht="41.4" hidden="1" x14ac:dyDescent="0.3">
      <c r="A40" s="73">
        <v>39</v>
      </c>
      <c r="B40" s="72" t="s">
        <v>46</v>
      </c>
      <c r="C40" s="74" t="s">
        <v>242</v>
      </c>
      <c r="D40" s="72" t="s">
        <v>57</v>
      </c>
      <c r="E40" s="71" t="s">
        <v>42</v>
      </c>
      <c r="F40" s="71" t="s">
        <v>47</v>
      </c>
      <c r="G40" s="83" t="s">
        <v>10</v>
      </c>
      <c r="H40" s="70">
        <v>46069</v>
      </c>
      <c r="I40" s="70">
        <v>46069</v>
      </c>
      <c r="J40" s="70">
        <v>46073</v>
      </c>
      <c r="K40" s="70">
        <v>46073</v>
      </c>
      <c r="L40" s="74" t="s">
        <v>244</v>
      </c>
      <c r="M40" s="70">
        <v>46069</v>
      </c>
    </row>
    <row r="41" spans="1:13" ht="41.4" hidden="1" x14ac:dyDescent="0.3">
      <c r="A41" s="73">
        <v>40</v>
      </c>
      <c r="B41" s="72" t="s">
        <v>46</v>
      </c>
      <c r="C41" s="74" t="s">
        <v>243</v>
      </c>
      <c r="D41" s="72" t="s">
        <v>57</v>
      </c>
      <c r="E41" s="71" t="s">
        <v>42</v>
      </c>
      <c r="F41" s="71" t="s">
        <v>47</v>
      </c>
      <c r="G41" s="83" t="s">
        <v>10</v>
      </c>
      <c r="H41" s="70">
        <v>46069</v>
      </c>
      <c r="I41" s="70">
        <v>46070</v>
      </c>
      <c r="J41" s="70">
        <v>46073</v>
      </c>
      <c r="K41" s="70">
        <v>46073</v>
      </c>
      <c r="L41" s="74" t="s">
        <v>245</v>
      </c>
      <c r="M41" s="70">
        <v>46069</v>
      </c>
    </row>
    <row r="42" spans="1:13" ht="41.4" hidden="1" x14ac:dyDescent="0.3">
      <c r="A42" s="73">
        <v>41</v>
      </c>
      <c r="B42" s="72" t="s">
        <v>46</v>
      </c>
      <c r="C42" s="74" t="s">
        <v>191</v>
      </c>
      <c r="D42" s="72" t="s">
        <v>57</v>
      </c>
      <c r="E42" s="71" t="s">
        <v>124</v>
      </c>
      <c r="F42" s="71" t="s">
        <v>47</v>
      </c>
      <c r="G42" s="83" t="s">
        <v>10</v>
      </c>
      <c r="H42" s="70">
        <v>46070</v>
      </c>
      <c r="I42" s="70">
        <v>46070</v>
      </c>
      <c r="J42" s="70">
        <v>46072</v>
      </c>
      <c r="K42" s="70">
        <v>46072</v>
      </c>
      <c r="L42" s="74" t="s">
        <v>191</v>
      </c>
      <c r="M42" s="70">
        <v>46069</v>
      </c>
    </row>
    <row r="43" spans="1:13" ht="41.4" hidden="1" x14ac:dyDescent="0.3">
      <c r="A43" s="79">
        <v>42</v>
      </c>
      <c r="B43" s="81" t="s">
        <v>60</v>
      </c>
      <c r="C43" s="82" t="s">
        <v>253</v>
      </c>
      <c r="D43" s="81" t="s">
        <v>63</v>
      </c>
      <c r="E43" s="79" t="s">
        <v>42</v>
      </c>
      <c r="F43" s="79" t="s">
        <v>69</v>
      </c>
      <c r="G43" s="83" t="s">
        <v>10</v>
      </c>
      <c r="H43" s="84">
        <v>46073</v>
      </c>
      <c r="I43" s="84">
        <v>46073</v>
      </c>
      <c r="J43" s="84">
        <v>46077</v>
      </c>
      <c r="K43" s="84">
        <v>46077</v>
      </c>
      <c r="L43" s="86" t="s">
        <v>256</v>
      </c>
      <c r="M43" s="84">
        <v>46076</v>
      </c>
    </row>
    <row r="44" spans="1:13" ht="27.6" hidden="1" x14ac:dyDescent="0.3">
      <c r="A44" s="79">
        <v>43</v>
      </c>
      <c r="B44" s="81" t="s">
        <v>60</v>
      </c>
      <c r="C44" s="82" t="s">
        <v>254</v>
      </c>
      <c r="D44" s="81" t="s">
        <v>63</v>
      </c>
      <c r="E44" s="79" t="s">
        <v>42</v>
      </c>
      <c r="F44" s="79" t="s">
        <v>69</v>
      </c>
      <c r="G44" s="83" t="s">
        <v>10</v>
      </c>
      <c r="H44" s="84">
        <v>46078</v>
      </c>
      <c r="I44" s="84">
        <v>46078</v>
      </c>
      <c r="J44" s="84">
        <v>46079</v>
      </c>
      <c r="K44" s="84">
        <v>46079</v>
      </c>
      <c r="L44" s="86" t="s">
        <v>257</v>
      </c>
      <c r="M44" s="84">
        <v>46076</v>
      </c>
    </row>
    <row r="45" spans="1:13" ht="27.6" hidden="1" x14ac:dyDescent="0.3">
      <c r="A45" s="79">
        <v>44</v>
      </c>
      <c r="B45" s="81" t="s">
        <v>60</v>
      </c>
      <c r="C45" s="82" t="s">
        <v>255</v>
      </c>
      <c r="D45" s="81" t="s">
        <v>63</v>
      </c>
      <c r="E45" s="79" t="s">
        <v>42</v>
      </c>
      <c r="F45" s="79" t="s">
        <v>69</v>
      </c>
      <c r="G45" s="90" t="s">
        <v>45</v>
      </c>
      <c r="H45" s="84">
        <v>46080</v>
      </c>
      <c r="I45" s="84">
        <v>46080</v>
      </c>
      <c r="J45" s="84"/>
      <c r="K45" s="84"/>
      <c r="L45" s="86" t="s">
        <v>258</v>
      </c>
      <c r="M45" s="84">
        <v>46076</v>
      </c>
    </row>
    <row r="46" spans="1:13" ht="41.4" hidden="1" x14ac:dyDescent="0.3">
      <c r="A46" s="73">
        <v>45</v>
      </c>
      <c r="B46" s="72" t="s">
        <v>46</v>
      </c>
      <c r="C46" s="74" t="s">
        <v>261</v>
      </c>
      <c r="D46" s="72" t="s">
        <v>57</v>
      </c>
      <c r="E46" s="71" t="s">
        <v>42</v>
      </c>
      <c r="F46" s="71" t="s">
        <v>47</v>
      </c>
      <c r="G46" s="90" t="s">
        <v>45</v>
      </c>
      <c r="H46" s="70">
        <v>46076</v>
      </c>
      <c r="I46" s="70">
        <v>46076</v>
      </c>
      <c r="J46" s="70">
        <v>46080</v>
      </c>
      <c r="K46" s="70">
        <v>46078</v>
      </c>
      <c r="L46" s="74" t="s">
        <v>263</v>
      </c>
      <c r="M46" s="70">
        <v>46076</v>
      </c>
    </row>
    <row r="47" spans="1:13" ht="41.4" hidden="1" x14ac:dyDescent="0.3">
      <c r="A47" s="73">
        <v>46</v>
      </c>
      <c r="B47" s="72" t="s">
        <v>46</v>
      </c>
      <c r="C47" s="74" t="s">
        <v>262</v>
      </c>
      <c r="D47" s="72" t="s">
        <v>57</v>
      </c>
      <c r="E47" s="71" t="s">
        <v>42</v>
      </c>
      <c r="F47" s="71" t="s">
        <v>47</v>
      </c>
      <c r="G47" s="83" t="s">
        <v>10</v>
      </c>
      <c r="H47" s="70">
        <v>46078</v>
      </c>
      <c r="I47" s="70">
        <v>46078</v>
      </c>
      <c r="J47" s="70">
        <v>46080</v>
      </c>
      <c r="K47" s="70">
        <v>46080</v>
      </c>
      <c r="L47" s="74" t="s">
        <v>263</v>
      </c>
      <c r="M47" s="70">
        <v>46076</v>
      </c>
    </row>
    <row r="48" spans="1:13" ht="41.4" hidden="1" x14ac:dyDescent="0.3">
      <c r="A48" s="73">
        <v>47</v>
      </c>
      <c r="B48" s="72" t="s">
        <v>46</v>
      </c>
      <c r="C48" s="74" t="s">
        <v>191</v>
      </c>
      <c r="D48" s="72" t="s">
        <v>57</v>
      </c>
      <c r="E48" s="71" t="s">
        <v>124</v>
      </c>
      <c r="F48" s="71" t="s">
        <v>47</v>
      </c>
      <c r="G48" s="83" t="s">
        <v>10</v>
      </c>
      <c r="H48" s="70">
        <v>46077</v>
      </c>
      <c r="I48" s="70">
        <v>46077</v>
      </c>
      <c r="J48" s="70">
        <v>46078</v>
      </c>
      <c r="K48" s="70">
        <v>46078</v>
      </c>
      <c r="L48" s="74" t="s">
        <v>191</v>
      </c>
      <c r="M48" s="70">
        <v>46076</v>
      </c>
    </row>
    <row r="49" spans="1:13" ht="27.6" hidden="1" x14ac:dyDescent="0.3">
      <c r="A49" s="79">
        <v>48</v>
      </c>
      <c r="B49" s="81" t="s">
        <v>60</v>
      </c>
      <c r="C49" s="82" t="s">
        <v>269</v>
      </c>
      <c r="D49" s="81" t="s">
        <v>63</v>
      </c>
      <c r="E49" s="79" t="s">
        <v>42</v>
      </c>
      <c r="F49" s="79" t="s">
        <v>69</v>
      </c>
      <c r="G49" s="83" t="s">
        <v>10</v>
      </c>
      <c r="H49" s="84">
        <v>46080</v>
      </c>
      <c r="I49" s="84">
        <v>46080</v>
      </c>
      <c r="J49" s="84">
        <v>46085</v>
      </c>
      <c r="K49" s="84">
        <v>46085</v>
      </c>
      <c r="L49" s="86" t="s">
        <v>272</v>
      </c>
      <c r="M49" s="84">
        <v>46083</v>
      </c>
    </row>
    <row r="50" spans="1:13" ht="27.6" hidden="1" x14ac:dyDescent="0.3">
      <c r="A50" s="79">
        <v>49</v>
      </c>
      <c r="B50" s="81" t="s">
        <v>60</v>
      </c>
      <c r="C50" s="82" t="s">
        <v>270</v>
      </c>
      <c r="D50" s="81" t="s">
        <v>63</v>
      </c>
      <c r="E50" s="79" t="s">
        <v>42</v>
      </c>
      <c r="F50" s="79" t="s">
        <v>69</v>
      </c>
      <c r="G50" s="83" t="s">
        <v>10</v>
      </c>
      <c r="H50" s="84">
        <v>46086</v>
      </c>
      <c r="I50" s="84">
        <v>46086</v>
      </c>
      <c r="J50" s="84">
        <v>46086</v>
      </c>
      <c r="K50" s="84">
        <v>46086</v>
      </c>
      <c r="L50" s="86" t="s">
        <v>273</v>
      </c>
      <c r="M50" s="84">
        <v>46083</v>
      </c>
    </row>
    <row r="51" spans="1:13" ht="27.6" hidden="1" x14ac:dyDescent="0.3">
      <c r="A51" s="79">
        <v>50</v>
      </c>
      <c r="B51" s="81" t="s">
        <v>60</v>
      </c>
      <c r="C51" s="82" t="s">
        <v>271</v>
      </c>
      <c r="D51" s="81" t="s">
        <v>63</v>
      </c>
      <c r="E51" s="79" t="s">
        <v>42</v>
      </c>
      <c r="F51" s="79" t="s">
        <v>69</v>
      </c>
      <c r="G51" s="90" t="s">
        <v>45</v>
      </c>
      <c r="H51" s="84">
        <v>46087</v>
      </c>
      <c r="I51" s="84">
        <v>46087</v>
      </c>
      <c r="J51" s="84"/>
      <c r="K51" s="84"/>
      <c r="L51" s="86" t="s">
        <v>274</v>
      </c>
      <c r="M51" s="84">
        <v>46083</v>
      </c>
    </row>
    <row r="52" spans="1:13" ht="41.4" hidden="1" x14ac:dyDescent="0.3">
      <c r="A52" s="73">
        <v>51</v>
      </c>
      <c r="B52" s="72" t="s">
        <v>46</v>
      </c>
      <c r="C52" s="74" t="s">
        <v>280</v>
      </c>
      <c r="D52" s="72" t="s">
        <v>57</v>
      </c>
      <c r="E52" s="71" t="s">
        <v>42</v>
      </c>
      <c r="F52" s="71" t="s">
        <v>47</v>
      </c>
      <c r="G52" s="83" t="s">
        <v>10</v>
      </c>
      <c r="H52" s="70">
        <v>46076</v>
      </c>
      <c r="I52" s="70">
        <v>46076</v>
      </c>
      <c r="J52" s="70">
        <v>46083</v>
      </c>
      <c r="K52" s="70">
        <v>46083</v>
      </c>
      <c r="L52" s="74" t="s">
        <v>282</v>
      </c>
      <c r="M52" s="70">
        <v>46083</v>
      </c>
    </row>
    <row r="53" spans="1:13" ht="41.4" hidden="1" x14ac:dyDescent="0.3">
      <c r="A53" s="73">
        <v>52</v>
      </c>
      <c r="B53" s="72" t="s">
        <v>46</v>
      </c>
      <c r="C53" s="74" t="s">
        <v>281</v>
      </c>
      <c r="D53" s="72" t="s">
        <v>57</v>
      </c>
      <c r="E53" s="71" t="s">
        <v>124</v>
      </c>
      <c r="F53" s="71" t="s">
        <v>47</v>
      </c>
      <c r="G53" s="83" t="s">
        <v>10</v>
      </c>
      <c r="H53" s="70">
        <v>46085</v>
      </c>
      <c r="I53" s="70">
        <v>46085</v>
      </c>
      <c r="J53" s="70">
        <v>46087</v>
      </c>
      <c r="K53" s="70">
        <v>46087</v>
      </c>
      <c r="L53" s="74" t="s">
        <v>283</v>
      </c>
      <c r="M53" s="70">
        <v>46083</v>
      </c>
    </row>
    <row r="54" spans="1:13" ht="41.4" hidden="1" x14ac:dyDescent="0.3">
      <c r="A54" s="73">
        <v>53</v>
      </c>
      <c r="B54" s="72" t="s">
        <v>46</v>
      </c>
      <c r="C54" s="74" t="s">
        <v>191</v>
      </c>
      <c r="D54" s="72" t="s">
        <v>57</v>
      </c>
      <c r="E54" s="71" t="s">
        <v>124</v>
      </c>
      <c r="F54" s="71" t="s">
        <v>47</v>
      </c>
      <c r="G54" s="83" t="s">
        <v>10</v>
      </c>
      <c r="H54" s="70">
        <v>46085</v>
      </c>
      <c r="I54" s="70">
        <v>46085</v>
      </c>
      <c r="J54" s="70">
        <v>46087</v>
      </c>
      <c r="K54" s="70">
        <v>46087</v>
      </c>
      <c r="L54" s="74" t="s">
        <v>191</v>
      </c>
      <c r="M54" s="70">
        <v>46083</v>
      </c>
    </row>
    <row r="55" spans="1:13" ht="27.6" hidden="1" x14ac:dyDescent="0.3">
      <c r="A55" s="79">
        <v>54</v>
      </c>
      <c r="B55" s="81" t="s">
        <v>60</v>
      </c>
      <c r="C55" s="82" t="s">
        <v>290</v>
      </c>
      <c r="D55" s="81" t="s">
        <v>63</v>
      </c>
      <c r="E55" s="79" t="s">
        <v>42</v>
      </c>
      <c r="F55" s="79" t="s">
        <v>69</v>
      </c>
      <c r="G55" s="83" t="s">
        <v>10</v>
      </c>
      <c r="H55" s="84">
        <v>46087</v>
      </c>
      <c r="I55" s="84">
        <v>46087</v>
      </c>
      <c r="J55" s="84">
        <v>46091</v>
      </c>
      <c r="K55" s="84">
        <v>46091</v>
      </c>
      <c r="L55" s="86" t="s">
        <v>293</v>
      </c>
      <c r="M55" s="84">
        <v>46090</v>
      </c>
    </row>
    <row r="56" spans="1:13" ht="27.6" hidden="1" x14ac:dyDescent="0.3">
      <c r="A56" s="79">
        <v>55</v>
      </c>
      <c r="B56" s="81" t="s">
        <v>60</v>
      </c>
      <c r="C56" s="82" t="s">
        <v>291</v>
      </c>
      <c r="D56" s="81" t="s">
        <v>63</v>
      </c>
      <c r="E56" s="79" t="s">
        <v>42</v>
      </c>
      <c r="F56" s="79" t="s">
        <v>69</v>
      </c>
      <c r="G56" s="83" t="s">
        <v>10</v>
      </c>
      <c r="H56" s="84">
        <v>46092</v>
      </c>
      <c r="I56" s="84">
        <v>46092</v>
      </c>
      <c r="J56" s="84">
        <v>46093</v>
      </c>
      <c r="K56" s="84">
        <v>46093</v>
      </c>
      <c r="L56" s="86" t="s">
        <v>294</v>
      </c>
      <c r="M56" s="84">
        <v>46090</v>
      </c>
    </row>
    <row r="57" spans="1:13" ht="27.6" hidden="1" x14ac:dyDescent="0.3">
      <c r="A57" s="79">
        <v>56</v>
      </c>
      <c r="B57" s="81" t="s">
        <v>60</v>
      </c>
      <c r="C57" s="82" t="s">
        <v>292</v>
      </c>
      <c r="D57" s="81" t="s">
        <v>63</v>
      </c>
      <c r="E57" s="79" t="s">
        <v>42</v>
      </c>
      <c r="F57" s="79" t="s">
        <v>69</v>
      </c>
      <c r="G57" s="90" t="s">
        <v>45</v>
      </c>
      <c r="H57" s="84">
        <v>46094</v>
      </c>
      <c r="I57" s="84">
        <v>46094</v>
      </c>
      <c r="J57" s="84"/>
      <c r="K57" s="84"/>
      <c r="L57" s="86" t="s">
        <v>295</v>
      </c>
      <c r="M57" s="84">
        <v>46090</v>
      </c>
    </row>
    <row r="58" spans="1:13" ht="41.4" hidden="1" x14ac:dyDescent="0.3">
      <c r="A58" s="73">
        <v>57</v>
      </c>
      <c r="B58" s="72" t="s">
        <v>46</v>
      </c>
      <c r="C58" s="74" t="s">
        <v>319</v>
      </c>
      <c r="D58" s="72" t="s">
        <v>72</v>
      </c>
      <c r="E58" s="71" t="s">
        <v>42</v>
      </c>
      <c r="F58" s="71" t="s">
        <v>47</v>
      </c>
      <c r="G58" s="83" t="s">
        <v>10</v>
      </c>
      <c r="H58" s="70">
        <v>46092</v>
      </c>
      <c r="I58" s="70">
        <v>46092</v>
      </c>
      <c r="J58" s="70">
        <v>46094</v>
      </c>
      <c r="K58" s="70">
        <v>46094</v>
      </c>
      <c r="L58" s="74" t="s">
        <v>319</v>
      </c>
      <c r="M58" s="70">
        <v>46090</v>
      </c>
    </row>
    <row r="59" spans="1:13" ht="41.4" hidden="1" x14ac:dyDescent="0.3">
      <c r="A59" s="73">
        <v>58</v>
      </c>
      <c r="B59" s="72" t="s">
        <v>46</v>
      </c>
      <c r="C59" s="74" t="s">
        <v>320</v>
      </c>
      <c r="D59" s="72" t="s">
        <v>57</v>
      </c>
      <c r="E59" s="71" t="s">
        <v>42</v>
      </c>
      <c r="F59" s="71" t="s">
        <v>47</v>
      </c>
      <c r="G59" s="83" t="s">
        <v>10</v>
      </c>
      <c r="H59" s="70">
        <v>46092</v>
      </c>
      <c r="I59" s="70">
        <v>46092</v>
      </c>
      <c r="J59" s="70">
        <v>46094</v>
      </c>
      <c r="K59" s="70">
        <v>46094</v>
      </c>
      <c r="L59" s="74" t="s">
        <v>320</v>
      </c>
      <c r="M59" s="70">
        <v>46090</v>
      </c>
    </row>
    <row r="60" spans="1:13" ht="41.4" hidden="1" x14ac:dyDescent="0.3">
      <c r="A60" s="73">
        <v>59</v>
      </c>
      <c r="B60" s="72" t="s">
        <v>46</v>
      </c>
      <c r="C60" s="74" t="s">
        <v>321</v>
      </c>
      <c r="D60" s="72" t="s">
        <v>57</v>
      </c>
      <c r="E60" s="71" t="s">
        <v>124</v>
      </c>
      <c r="F60" s="71" t="s">
        <v>47</v>
      </c>
      <c r="G60" s="83" t="s">
        <v>10</v>
      </c>
      <c r="H60" s="70">
        <v>46092</v>
      </c>
      <c r="I60" s="70">
        <v>46092</v>
      </c>
      <c r="J60" s="70">
        <v>46094</v>
      </c>
      <c r="K60" s="70">
        <v>46094</v>
      </c>
      <c r="L60" s="74" t="s">
        <v>322</v>
      </c>
      <c r="M60" s="70">
        <v>46090</v>
      </c>
    </row>
    <row r="61" spans="1:13" ht="27.6" hidden="1" x14ac:dyDescent="0.3">
      <c r="A61" s="79">
        <v>60</v>
      </c>
      <c r="B61" s="81" t="s">
        <v>60</v>
      </c>
      <c r="C61" s="82" t="s">
        <v>334</v>
      </c>
      <c r="D61" s="81" t="s">
        <v>63</v>
      </c>
      <c r="E61" s="79" t="s">
        <v>42</v>
      </c>
      <c r="F61" s="79" t="s">
        <v>69</v>
      </c>
      <c r="G61" s="83" t="s">
        <v>10</v>
      </c>
      <c r="H61" s="84">
        <v>46094</v>
      </c>
      <c r="I61" s="84">
        <v>46094</v>
      </c>
      <c r="J61" s="84">
        <v>46098</v>
      </c>
      <c r="K61" s="84">
        <v>46098</v>
      </c>
      <c r="L61" s="86" t="s">
        <v>335</v>
      </c>
      <c r="M61" s="84">
        <v>46097</v>
      </c>
    </row>
    <row r="62" spans="1:13" ht="27.6" hidden="1" x14ac:dyDescent="0.3">
      <c r="A62" s="79">
        <v>61</v>
      </c>
      <c r="B62" s="81" t="s">
        <v>60</v>
      </c>
      <c r="C62" s="82" t="s">
        <v>336</v>
      </c>
      <c r="D62" s="81" t="s">
        <v>63</v>
      </c>
      <c r="E62" s="79" t="s">
        <v>42</v>
      </c>
      <c r="F62" s="79" t="s">
        <v>69</v>
      </c>
      <c r="G62" s="83" t="s">
        <v>10</v>
      </c>
      <c r="H62" s="84">
        <v>46098</v>
      </c>
      <c r="I62" s="84">
        <v>46098</v>
      </c>
      <c r="J62" s="84">
        <v>46099</v>
      </c>
      <c r="K62" s="84">
        <v>46099</v>
      </c>
      <c r="L62" s="86" t="s">
        <v>337</v>
      </c>
      <c r="M62" s="84">
        <v>46097</v>
      </c>
    </row>
    <row r="63" spans="1:13" ht="27.6" hidden="1" x14ac:dyDescent="0.3">
      <c r="A63" s="79">
        <v>62</v>
      </c>
      <c r="B63" s="81" t="s">
        <v>60</v>
      </c>
      <c r="C63" s="82" t="s">
        <v>338</v>
      </c>
      <c r="D63" s="81" t="s">
        <v>63</v>
      </c>
      <c r="E63" s="79" t="s">
        <v>42</v>
      </c>
      <c r="F63" s="79" t="s">
        <v>69</v>
      </c>
      <c r="G63" s="90" t="s">
        <v>45</v>
      </c>
      <c r="H63" s="84">
        <v>46100</v>
      </c>
      <c r="I63" s="84">
        <v>46100</v>
      </c>
      <c r="J63" s="84">
        <v>46100</v>
      </c>
      <c r="K63" s="84">
        <v>46100</v>
      </c>
      <c r="L63" s="86" t="s">
        <v>339</v>
      </c>
      <c r="M63" s="84">
        <v>46097</v>
      </c>
    </row>
    <row r="64" spans="1:13" ht="41.4" hidden="1" x14ac:dyDescent="0.3">
      <c r="A64" s="73">
        <v>63</v>
      </c>
      <c r="B64" s="72" t="s">
        <v>46</v>
      </c>
      <c r="C64" s="74" t="s">
        <v>323</v>
      </c>
      <c r="D64" s="72" t="s">
        <v>72</v>
      </c>
      <c r="E64" s="71" t="s">
        <v>124</v>
      </c>
      <c r="F64" s="71" t="s">
        <v>47</v>
      </c>
      <c r="G64" s="83" t="s">
        <v>10</v>
      </c>
      <c r="H64" s="70">
        <v>46098</v>
      </c>
      <c r="I64" s="70">
        <v>46098</v>
      </c>
      <c r="J64" s="70">
        <v>46100</v>
      </c>
      <c r="K64" s="70">
        <v>46100</v>
      </c>
      <c r="L64" s="74" t="s">
        <v>323</v>
      </c>
      <c r="M64" s="70">
        <v>46097</v>
      </c>
    </row>
    <row r="65" spans="1:13" ht="41.4" hidden="1" x14ac:dyDescent="0.3">
      <c r="A65" s="73">
        <v>64</v>
      </c>
      <c r="B65" s="72" t="s">
        <v>46</v>
      </c>
      <c r="C65" s="74" t="s">
        <v>324</v>
      </c>
      <c r="D65" s="72" t="s">
        <v>57</v>
      </c>
      <c r="E65" s="71" t="s">
        <v>124</v>
      </c>
      <c r="F65" s="71" t="s">
        <v>47</v>
      </c>
      <c r="G65" s="90" t="s">
        <v>45</v>
      </c>
      <c r="H65" s="70">
        <v>46092</v>
      </c>
      <c r="I65" s="70">
        <v>46092</v>
      </c>
      <c r="J65" s="70"/>
      <c r="K65" s="70"/>
      <c r="L65" s="74" t="s">
        <v>325</v>
      </c>
      <c r="M65" s="70">
        <v>46097</v>
      </c>
    </row>
    <row r="66" spans="1:13" ht="41.4" hidden="1" x14ac:dyDescent="0.3">
      <c r="A66" s="73">
        <v>65</v>
      </c>
      <c r="B66" s="72" t="s">
        <v>46</v>
      </c>
      <c r="C66" s="74" t="s">
        <v>326</v>
      </c>
      <c r="D66" s="72" t="s">
        <v>57</v>
      </c>
      <c r="E66" s="71" t="s">
        <v>124</v>
      </c>
      <c r="F66" s="71" t="s">
        <v>47</v>
      </c>
      <c r="G66" s="90" t="s">
        <v>45</v>
      </c>
      <c r="H66" s="70">
        <v>46099</v>
      </c>
      <c r="I66" s="70">
        <v>46099</v>
      </c>
      <c r="J66" s="70"/>
      <c r="K66" s="70"/>
      <c r="L66" s="74" t="s">
        <v>326</v>
      </c>
      <c r="M66" s="70">
        <v>46097</v>
      </c>
    </row>
    <row r="67" spans="1:13" ht="27.6" hidden="1" x14ac:dyDescent="0.3">
      <c r="A67" s="79">
        <v>66</v>
      </c>
      <c r="B67" s="81" t="s">
        <v>60</v>
      </c>
      <c r="C67" s="82" t="s">
        <v>348</v>
      </c>
      <c r="D67" s="81" t="s">
        <v>63</v>
      </c>
      <c r="E67" s="79" t="s">
        <v>42</v>
      </c>
      <c r="F67" s="79" t="s">
        <v>69</v>
      </c>
      <c r="G67" s="83" t="s">
        <v>10</v>
      </c>
      <c r="H67" s="84">
        <v>46104</v>
      </c>
      <c r="I67" s="84">
        <v>46104</v>
      </c>
      <c r="J67" s="84">
        <v>46105</v>
      </c>
      <c r="K67" s="84">
        <v>46105</v>
      </c>
      <c r="L67" s="82" t="s">
        <v>340</v>
      </c>
      <c r="M67" s="84">
        <v>46104</v>
      </c>
    </row>
    <row r="68" spans="1:13" ht="27.6" hidden="1" x14ac:dyDescent="0.3">
      <c r="A68" s="79">
        <v>67</v>
      </c>
      <c r="B68" s="81" t="s">
        <v>60</v>
      </c>
      <c r="C68" s="82" t="s">
        <v>349</v>
      </c>
      <c r="D68" s="81" t="s">
        <v>63</v>
      </c>
      <c r="E68" s="79" t="s">
        <v>42</v>
      </c>
      <c r="F68" s="79" t="s">
        <v>69</v>
      </c>
      <c r="G68" s="83" t="s">
        <v>10</v>
      </c>
      <c r="H68" s="84">
        <v>46105</v>
      </c>
      <c r="I68" s="84">
        <v>46105</v>
      </c>
      <c r="J68" s="84">
        <v>46107</v>
      </c>
      <c r="K68" s="84">
        <v>46107</v>
      </c>
      <c r="L68" s="82" t="s">
        <v>341</v>
      </c>
      <c r="M68" s="84">
        <v>46104</v>
      </c>
    </row>
    <row r="69" spans="1:13" ht="27.6" hidden="1" x14ac:dyDescent="0.3">
      <c r="A69" s="79">
        <v>68</v>
      </c>
      <c r="B69" s="81" t="s">
        <v>60</v>
      </c>
      <c r="C69" s="82" t="s">
        <v>342</v>
      </c>
      <c r="D69" s="81" t="s">
        <v>63</v>
      </c>
      <c r="E69" s="79" t="s">
        <v>42</v>
      </c>
      <c r="F69" s="79" t="s">
        <v>69</v>
      </c>
      <c r="G69" s="83" t="s">
        <v>10</v>
      </c>
      <c r="H69" s="84">
        <v>46107</v>
      </c>
      <c r="I69" s="84">
        <v>46107</v>
      </c>
      <c r="J69" s="84">
        <v>46107</v>
      </c>
      <c r="K69" s="84">
        <v>46107</v>
      </c>
      <c r="L69" s="82" t="s">
        <v>342</v>
      </c>
      <c r="M69" s="84">
        <v>46104</v>
      </c>
    </row>
    <row r="70" spans="1:13" ht="41.4" hidden="1" x14ac:dyDescent="0.3">
      <c r="A70" s="73">
        <v>69</v>
      </c>
      <c r="B70" s="72" t="s">
        <v>46</v>
      </c>
      <c r="C70" s="74" t="s">
        <v>350</v>
      </c>
      <c r="D70" s="72" t="s">
        <v>72</v>
      </c>
      <c r="E70" s="71" t="s">
        <v>124</v>
      </c>
      <c r="F70" s="71" t="s">
        <v>47</v>
      </c>
      <c r="G70" s="90" t="s">
        <v>45</v>
      </c>
      <c r="H70" s="70">
        <v>46104</v>
      </c>
      <c r="I70" s="70">
        <v>46104</v>
      </c>
      <c r="J70" s="70"/>
      <c r="K70" s="70"/>
      <c r="L70" s="74" t="s">
        <v>360</v>
      </c>
      <c r="M70" s="70">
        <v>46104</v>
      </c>
    </row>
    <row r="71" spans="1:13" ht="41.4" hidden="1" x14ac:dyDescent="0.3">
      <c r="A71" s="73">
        <v>70</v>
      </c>
      <c r="B71" s="72" t="s">
        <v>46</v>
      </c>
      <c r="C71" s="74" t="s">
        <v>358</v>
      </c>
      <c r="D71" s="72" t="s">
        <v>72</v>
      </c>
      <c r="E71" s="71" t="s">
        <v>124</v>
      </c>
      <c r="F71" s="71" t="s">
        <v>47</v>
      </c>
      <c r="G71" s="90" t="s">
        <v>45</v>
      </c>
      <c r="H71" s="70">
        <v>46104</v>
      </c>
      <c r="I71" s="70">
        <v>46105</v>
      </c>
      <c r="J71" s="70"/>
      <c r="K71" s="70"/>
      <c r="L71" s="74" t="s">
        <v>361</v>
      </c>
      <c r="M71" s="70">
        <v>46104</v>
      </c>
    </row>
    <row r="72" spans="1:13" ht="41.4" hidden="1" x14ac:dyDescent="0.3">
      <c r="A72" s="73">
        <v>71</v>
      </c>
      <c r="B72" s="72" t="s">
        <v>46</v>
      </c>
      <c r="C72" s="74" t="s">
        <v>359</v>
      </c>
      <c r="D72" s="72" t="s">
        <v>72</v>
      </c>
      <c r="E72" s="71" t="s">
        <v>124</v>
      </c>
      <c r="F72" s="71" t="s">
        <v>47</v>
      </c>
      <c r="G72" s="90" t="s">
        <v>45</v>
      </c>
      <c r="H72" s="70">
        <v>46104</v>
      </c>
      <c r="I72" s="70">
        <v>46107</v>
      </c>
      <c r="J72" s="70"/>
      <c r="K72" s="70"/>
      <c r="L72" s="74" t="s">
        <v>362</v>
      </c>
      <c r="M72" s="70">
        <v>46104</v>
      </c>
    </row>
    <row r="73" spans="1:13" ht="27.6" hidden="1" x14ac:dyDescent="0.3">
      <c r="A73" s="79">
        <v>72</v>
      </c>
      <c r="B73" s="81" t="s">
        <v>60</v>
      </c>
      <c r="C73" s="82" t="s">
        <v>367</v>
      </c>
      <c r="D73" s="81" t="s">
        <v>63</v>
      </c>
      <c r="E73" s="79" t="s">
        <v>42</v>
      </c>
      <c r="F73" s="79" t="s">
        <v>69</v>
      </c>
      <c r="G73" s="83" t="s">
        <v>10</v>
      </c>
      <c r="H73" s="84">
        <v>46111</v>
      </c>
      <c r="I73" s="84">
        <v>46111</v>
      </c>
      <c r="J73" s="84">
        <v>46112</v>
      </c>
      <c r="K73" s="84">
        <v>46112</v>
      </c>
      <c r="L73" s="82" t="s">
        <v>369</v>
      </c>
      <c r="M73" s="84">
        <v>46111</v>
      </c>
    </row>
    <row r="74" spans="1:13" ht="27.6" hidden="1" x14ac:dyDescent="0.3">
      <c r="A74" s="79">
        <v>73</v>
      </c>
      <c r="B74" s="81" t="s">
        <v>60</v>
      </c>
      <c r="C74" s="82" t="s">
        <v>368</v>
      </c>
      <c r="D74" s="81" t="s">
        <v>63</v>
      </c>
      <c r="E74" s="79" t="s">
        <v>42</v>
      </c>
      <c r="F74" s="79" t="s">
        <v>69</v>
      </c>
      <c r="G74" s="83" t="s">
        <v>10</v>
      </c>
      <c r="H74" s="84">
        <v>46113</v>
      </c>
      <c r="I74" s="84">
        <v>46113</v>
      </c>
      <c r="J74" s="84">
        <v>46113</v>
      </c>
      <c r="K74" s="84">
        <v>46113</v>
      </c>
      <c r="L74" s="82" t="s">
        <v>370</v>
      </c>
      <c r="M74" s="84">
        <v>46111</v>
      </c>
    </row>
    <row r="75" spans="1:13" ht="41.4" hidden="1" x14ac:dyDescent="0.3">
      <c r="A75" s="73">
        <v>74</v>
      </c>
      <c r="B75" s="72" t="s">
        <v>46</v>
      </c>
      <c r="C75" s="74" t="s">
        <v>378</v>
      </c>
      <c r="D75" s="72" t="s">
        <v>72</v>
      </c>
      <c r="E75" s="71" t="s">
        <v>124</v>
      </c>
      <c r="F75" s="71" t="s">
        <v>47</v>
      </c>
      <c r="G75" s="90" t="s">
        <v>45</v>
      </c>
      <c r="H75" s="70">
        <v>46112</v>
      </c>
      <c r="I75" s="70">
        <v>46112</v>
      </c>
      <c r="J75" s="70"/>
      <c r="K75" s="70"/>
      <c r="L75" s="74" t="s">
        <v>380</v>
      </c>
      <c r="M75" s="70">
        <v>46111</v>
      </c>
    </row>
    <row r="76" spans="1:13" ht="41.4" hidden="1" x14ac:dyDescent="0.3">
      <c r="A76" s="73">
        <v>75</v>
      </c>
      <c r="B76" s="72" t="s">
        <v>46</v>
      </c>
      <c r="C76" s="74" t="s">
        <v>379</v>
      </c>
      <c r="D76" s="72" t="s">
        <v>72</v>
      </c>
      <c r="E76" s="71" t="s">
        <v>124</v>
      </c>
      <c r="F76" s="71" t="s">
        <v>47</v>
      </c>
      <c r="G76" s="90" t="s">
        <v>45</v>
      </c>
      <c r="H76" s="70">
        <v>46112</v>
      </c>
      <c r="I76" s="70">
        <v>46112</v>
      </c>
      <c r="J76" s="70"/>
      <c r="K76" s="70"/>
      <c r="L76" s="74" t="s">
        <v>381</v>
      </c>
      <c r="M76" s="70">
        <v>46111</v>
      </c>
    </row>
    <row r="77" spans="1:13" ht="27.6" hidden="1" x14ac:dyDescent="0.3">
      <c r="A77" s="79">
        <v>76</v>
      </c>
      <c r="B77" s="81" t="s">
        <v>60</v>
      </c>
      <c r="C77" s="82" t="s">
        <v>392</v>
      </c>
      <c r="D77" s="81" t="s">
        <v>63</v>
      </c>
      <c r="E77" s="79" t="s">
        <v>42</v>
      </c>
      <c r="F77" s="79" t="s">
        <v>69</v>
      </c>
      <c r="G77" s="83" t="s">
        <v>10</v>
      </c>
      <c r="H77" s="84">
        <v>46118</v>
      </c>
      <c r="I77" s="84">
        <v>46118</v>
      </c>
      <c r="J77" s="84">
        <v>46119</v>
      </c>
      <c r="K77" s="84">
        <v>46119</v>
      </c>
      <c r="L77" s="82" t="s">
        <v>395</v>
      </c>
      <c r="M77" s="84">
        <v>46118</v>
      </c>
    </row>
    <row r="78" spans="1:13" ht="27.6" hidden="1" x14ac:dyDescent="0.3">
      <c r="A78" s="79">
        <v>77</v>
      </c>
      <c r="B78" s="81" t="s">
        <v>60</v>
      </c>
      <c r="C78" s="82" t="s">
        <v>393</v>
      </c>
      <c r="D78" s="81" t="s">
        <v>63</v>
      </c>
      <c r="E78" s="79" t="s">
        <v>42</v>
      </c>
      <c r="F78" s="79" t="s">
        <v>69</v>
      </c>
      <c r="G78" s="91" t="s">
        <v>45</v>
      </c>
      <c r="H78" s="84">
        <v>46119</v>
      </c>
      <c r="I78" s="84">
        <v>46119</v>
      </c>
      <c r="J78" s="84"/>
      <c r="K78" s="84"/>
      <c r="L78" s="82" t="s">
        <v>397</v>
      </c>
      <c r="M78" s="84">
        <v>46118</v>
      </c>
    </row>
    <row r="79" spans="1:13" ht="27.6" hidden="1" x14ac:dyDescent="0.3">
      <c r="A79" s="79">
        <v>78</v>
      </c>
      <c r="B79" s="81" t="s">
        <v>60</v>
      </c>
      <c r="C79" s="82" t="s">
        <v>394</v>
      </c>
      <c r="D79" s="81" t="s">
        <v>63</v>
      </c>
      <c r="E79" s="79" t="s">
        <v>42</v>
      </c>
      <c r="F79" s="79" t="s">
        <v>69</v>
      </c>
      <c r="G79" s="91" t="s">
        <v>45</v>
      </c>
      <c r="H79" s="84">
        <v>46121</v>
      </c>
      <c r="I79" s="84">
        <v>46121</v>
      </c>
      <c r="J79" s="84"/>
      <c r="K79" s="84"/>
      <c r="L79" s="82" t="s">
        <v>396</v>
      </c>
      <c r="M79" s="84">
        <v>46118</v>
      </c>
    </row>
    <row r="80" spans="1:13" ht="41.4" hidden="1" x14ac:dyDescent="0.3">
      <c r="A80" s="73">
        <v>79</v>
      </c>
      <c r="B80" s="72" t="s">
        <v>46</v>
      </c>
      <c r="C80" s="74" t="s">
        <v>409</v>
      </c>
      <c r="D80" s="72" t="s">
        <v>72</v>
      </c>
      <c r="E80" s="71" t="s">
        <v>124</v>
      </c>
      <c r="F80" s="71" t="s">
        <v>47</v>
      </c>
      <c r="G80" s="83" t="s">
        <v>10</v>
      </c>
      <c r="H80" s="70">
        <v>46120</v>
      </c>
      <c r="I80" s="70">
        <v>46120</v>
      </c>
      <c r="J80" s="70">
        <v>46122</v>
      </c>
      <c r="K80" s="70">
        <v>46121</v>
      </c>
      <c r="L80" s="74" t="s">
        <v>411</v>
      </c>
      <c r="M80" s="70">
        <v>46118</v>
      </c>
    </row>
    <row r="81" spans="1:13" ht="41.4" hidden="1" x14ac:dyDescent="0.3">
      <c r="A81" s="73">
        <v>80</v>
      </c>
      <c r="B81" s="72" t="s">
        <v>46</v>
      </c>
      <c r="C81" s="74" t="s">
        <v>410</v>
      </c>
      <c r="D81" s="72" t="s">
        <v>72</v>
      </c>
      <c r="E81" s="71" t="s">
        <v>124</v>
      </c>
      <c r="F81" s="71" t="s">
        <v>47</v>
      </c>
      <c r="G81" s="83" t="s">
        <v>10</v>
      </c>
      <c r="H81" s="70">
        <v>46120</v>
      </c>
      <c r="I81" s="70">
        <v>46120</v>
      </c>
      <c r="J81" s="70">
        <v>46122</v>
      </c>
      <c r="K81" s="70">
        <v>46121</v>
      </c>
      <c r="L81" s="74" t="s">
        <v>412</v>
      </c>
      <c r="M81" s="70">
        <v>46118</v>
      </c>
    </row>
    <row r="82" spans="1:13" ht="41.4" hidden="1" x14ac:dyDescent="0.3">
      <c r="A82" s="73">
        <v>80</v>
      </c>
      <c r="B82" s="72" t="s">
        <v>46</v>
      </c>
      <c r="C82" s="74" t="s">
        <v>413</v>
      </c>
      <c r="D82" s="72" t="s">
        <v>72</v>
      </c>
      <c r="E82" s="71" t="s">
        <v>124</v>
      </c>
      <c r="F82" s="71" t="s">
        <v>47</v>
      </c>
      <c r="G82" s="83" t="s">
        <v>10</v>
      </c>
      <c r="H82" s="70">
        <v>46121</v>
      </c>
      <c r="I82" s="70">
        <v>46121</v>
      </c>
      <c r="J82" s="70">
        <v>46122</v>
      </c>
      <c r="K82" s="70">
        <v>46122</v>
      </c>
      <c r="L82" s="74" t="s">
        <v>414</v>
      </c>
      <c r="M82" s="70">
        <v>46118</v>
      </c>
    </row>
    <row r="83" spans="1:13" ht="27.6" hidden="1" x14ac:dyDescent="0.3">
      <c r="A83" s="96">
        <v>81</v>
      </c>
      <c r="B83" s="97" t="s">
        <v>60</v>
      </c>
      <c r="C83" s="82" t="s">
        <v>420</v>
      </c>
      <c r="D83" s="97" t="s">
        <v>63</v>
      </c>
      <c r="E83" s="96" t="s">
        <v>42</v>
      </c>
      <c r="F83" s="96" t="s">
        <v>69</v>
      </c>
      <c r="G83" s="103" t="s">
        <v>10</v>
      </c>
      <c r="H83" s="98">
        <v>46125</v>
      </c>
      <c r="I83" s="98">
        <v>46125</v>
      </c>
      <c r="J83" s="98">
        <v>46126</v>
      </c>
      <c r="K83" s="98">
        <v>46126</v>
      </c>
      <c r="L83" s="82" t="s">
        <v>422</v>
      </c>
      <c r="M83" s="102">
        <v>46125</v>
      </c>
    </row>
    <row r="84" spans="1:13" ht="41.4" hidden="1" x14ac:dyDescent="0.3">
      <c r="A84" s="99">
        <v>82</v>
      </c>
      <c r="B84" s="100" t="s">
        <v>60</v>
      </c>
      <c r="C84" s="82" t="s">
        <v>421</v>
      </c>
      <c r="D84" s="100" t="s">
        <v>63</v>
      </c>
      <c r="E84" s="99" t="s">
        <v>42</v>
      </c>
      <c r="F84" s="99" t="s">
        <v>69</v>
      </c>
      <c r="G84" s="103" t="s">
        <v>10</v>
      </c>
      <c r="H84" s="102">
        <v>46127</v>
      </c>
      <c r="I84" s="102">
        <v>46127</v>
      </c>
      <c r="J84" s="102">
        <v>46128</v>
      </c>
      <c r="K84" s="102">
        <v>46128</v>
      </c>
      <c r="L84" s="101" t="s">
        <v>423</v>
      </c>
      <c r="M84" s="102">
        <v>46125</v>
      </c>
    </row>
    <row r="85" spans="1:13" ht="41.4" hidden="1" x14ac:dyDescent="0.3">
      <c r="A85" s="73">
        <v>83</v>
      </c>
      <c r="B85" s="72" t="s">
        <v>46</v>
      </c>
      <c r="C85" s="74" t="s">
        <v>430</v>
      </c>
      <c r="D85" s="72" t="s">
        <v>72</v>
      </c>
      <c r="E85" s="71" t="s">
        <v>124</v>
      </c>
      <c r="F85" s="71" t="s">
        <v>47</v>
      </c>
      <c r="G85" s="91" t="s">
        <v>45</v>
      </c>
      <c r="H85" s="70">
        <v>46125</v>
      </c>
      <c r="I85" s="70">
        <v>46125</v>
      </c>
      <c r="J85" s="70"/>
      <c r="K85" s="70"/>
      <c r="L85" s="74" t="s">
        <v>430</v>
      </c>
      <c r="M85" s="70">
        <v>46125</v>
      </c>
    </row>
    <row r="86" spans="1:13" ht="41.4" hidden="1" x14ac:dyDescent="0.3">
      <c r="A86" s="73">
        <v>84</v>
      </c>
      <c r="B86" s="72" t="s">
        <v>46</v>
      </c>
      <c r="C86" s="74" t="s">
        <v>431</v>
      </c>
      <c r="D86" s="72" t="s">
        <v>72</v>
      </c>
      <c r="E86" s="71" t="s">
        <v>124</v>
      </c>
      <c r="F86" s="71" t="s">
        <v>47</v>
      </c>
      <c r="G86" s="91" t="s">
        <v>45</v>
      </c>
      <c r="H86" s="70">
        <v>46126</v>
      </c>
      <c r="I86" s="70">
        <v>46126</v>
      </c>
      <c r="J86" s="70"/>
      <c r="K86" s="70"/>
      <c r="L86" s="74" t="s">
        <v>431</v>
      </c>
      <c r="M86" s="70">
        <v>46125</v>
      </c>
    </row>
    <row r="87" spans="1:13" ht="41.4" hidden="1" x14ac:dyDescent="0.3">
      <c r="A87" s="73">
        <v>85</v>
      </c>
      <c r="B87" s="72" t="s">
        <v>46</v>
      </c>
      <c r="C87" s="74" t="s">
        <v>432</v>
      </c>
      <c r="D87" s="72" t="s">
        <v>72</v>
      </c>
      <c r="E87" s="71" t="s">
        <v>124</v>
      </c>
      <c r="F87" s="71" t="s">
        <v>47</v>
      </c>
      <c r="G87" s="91" t="s">
        <v>45</v>
      </c>
      <c r="H87" s="70">
        <v>46129</v>
      </c>
      <c r="I87" s="70">
        <v>46129</v>
      </c>
      <c r="J87" s="70"/>
      <c r="K87" s="70"/>
      <c r="L87" s="74" t="s">
        <v>432</v>
      </c>
      <c r="M87" s="70">
        <v>46125</v>
      </c>
    </row>
    <row r="88" spans="1:13" ht="27.6" hidden="1" x14ac:dyDescent="0.3">
      <c r="A88" s="79">
        <v>86</v>
      </c>
      <c r="B88" s="81" t="s">
        <v>60</v>
      </c>
      <c r="C88" s="82" t="s">
        <v>440</v>
      </c>
      <c r="D88" s="81" t="s">
        <v>63</v>
      </c>
      <c r="E88" s="79" t="s">
        <v>42</v>
      </c>
      <c r="F88" s="79" t="s">
        <v>69</v>
      </c>
      <c r="G88" s="83" t="s">
        <v>10</v>
      </c>
      <c r="H88" s="84">
        <v>46132</v>
      </c>
      <c r="I88" s="84">
        <v>46132</v>
      </c>
      <c r="J88" s="84">
        <v>46133</v>
      </c>
      <c r="K88" s="84">
        <v>46133</v>
      </c>
      <c r="L88" s="82" t="s">
        <v>443</v>
      </c>
      <c r="M88" s="84">
        <v>46132</v>
      </c>
    </row>
    <row r="89" spans="1:13" ht="27.6" hidden="1" x14ac:dyDescent="0.3">
      <c r="A89" s="79">
        <v>87</v>
      </c>
      <c r="B89" s="81" t="s">
        <v>60</v>
      </c>
      <c r="C89" s="82" t="s">
        <v>441</v>
      </c>
      <c r="D89" s="81" t="s">
        <v>63</v>
      </c>
      <c r="E89" s="79" t="s">
        <v>42</v>
      </c>
      <c r="F89" s="79" t="s">
        <v>69</v>
      </c>
      <c r="G89" s="83" t="s">
        <v>10</v>
      </c>
      <c r="H89" s="84">
        <v>46133</v>
      </c>
      <c r="I89" s="84">
        <v>46133</v>
      </c>
      <c r="J89" s="84">
        <v>46135</v>
      </c>
      <c r="K89" s="84">
        <v>46135</v>
      </c>
      <c r="L89" s="82" t="s">
        <v>444</v>
      </c>
      <c r="M89" s="84">
        <v>46132</v>
      </c>
    </row>
    <row r="90" spans="1:13" ht="27.6" hidden="1" x14ac:dyDescent="0.3">
      <c r="A90" s="79">
        <v>88</v>
      </c>
      <c r="B90" s="81" t="s">
        <v>60</v>
      </c>
      <c r="C90" s="82" t="s">
        <v>442</v>
      </c>
      <c r="D90" s="81" t="s">
        <v>63</v>
      </c>
      <c r="E90" s="79" t="s">
        <v>42</v>
      </c>
      <c r="F90" s="79" t="s">
        <v>69</v>
      </c>
      <c r="G90" s="83" t="s">
        <v>10</v>
      </c>
      <c r="H90" s="84">
        <v>46135</v>
      </c>
      <c r="I90" s="84">
        <v>46135</v>
      </c>
      <c r="J90" s="84">
        <v>46136</v>
      </c>
      <c r="K90" s="84">
        <v>46136</v>
      </c>
      <c r="L90" s="82" t="s">
        <v>445</v>
      </c>
      <c r="M90" s="84">
        <v>46132</v>
      </c>
    </row>
    <row r="91" spans="1:13" ht="41.4" hidden="1" x14ac:dyDescent="0.3">
      <c r="A91" s="73">
        <v>89</v>
      </c>
      <c r="B91" s="72" t="s">
        <v>46</v>
      </c>
      <c r="C91" s="74" t="s">
        <v>465</v>
      </c>
      <c r="D91" s="72" t="s">
        <v>72</v>
      </c>
      <c r="E91" s="71" t="s">
        <v>124</v>
      </c>
      <c r="F91" s="71" t="s">
        <v>47</v>
      </c>
      <c r="G91" s="83" t="s">
        <v>10</v>
      </c>
      <c r="H91" s="70">
        <v>46132</v>
      </c>
      <c r="I91" s="70">
        <v>46132</v>
      </c>
      <c r="J91" s="70">
        <v>46139</v>
      </c>
      <c r="K91" s="70">
        <v>46139</v>
      </c>
      <c r="L91" s="74" t="s">
        <v>465</v>
      </c>
      <c r="M91" s="70">
        <v>46132</v>
      </c>
    </row>
    <row r="92" spans="1:13" ht="41.4" hidden="1" x14ac:dyDescent="0.3">
      <c r="A92" s="73">
        <v>90</v>
      </c>
      <c r="B92" s="72" t="s">
        <v>46</v>
      </c>
      <c r="C92" s="74" t="s">
        <v>461</v>
      </c>
      <c r="D92" s="72" t="s">
        <v>72</v>
      </c>
      <c r="E92" s="71" t="s">
        <v>124</v>
      </c>
      <c r="F92" s="71" t="s">
        <v>47</v>
      </c>
      <c r="G92" s="83" t="s">
        <v>10</v>
      </c>
      <c r="H92" s="70">
        <v>46142</v>
      </c>
      <c r="I92" s="70">
        <v>46142</v>
      </c>
      <c r="J92" s="70">
        <v>46142</v>
      </c>
      <c r="K92" s="70">
        <v>46142</v>
      </c>
      <c r="L92" s="74" t="s">
        <v>463</v>
      </c>
      <c r="M92" s="70">
        <v>46139</v>
      </c>
    </row>
    <row r="93" spans="1:13" ht="41.4" hidden="1" x14ac:dyDescent="0.3">
      <c r="A93" s="73">
        <v>91</v>
      </c>
      <c r="B93" s="72" t="s">
        <v>46</v>
      </c>
      <c r="C93" s="74" t="s">
        <v>462</v>
      </c>
      <c r="D93" s="72" t="s">
        <v>72</v>
      </c>
      <c r="E93" s="71" t="s">
        <v>124</v>
      </c>
      <c r="F93" s="71" t="s">
        <v>47</v>
      </c>
      <c r="G93" s="91" t="s">
        <v>45</v>
      </c>
      <c r="H93" s="70">
        <v>46126</v>
      </c>
      <c r="I93" s="70">
        <v>46126</v>
      </c>
      <c r="J93" s="70"/>
      <c r="K93" s="70"/>
      <c r="L93" s="74" t="s">
        <v>464</v>
      </c>
      <c r="M93" s="70">
        <v>46139</v>
      </c>
    </row>
    <row r="94" spans="1:13" ht="41.4" hidden="1" x14ac:dyDescent="0.3">
      <c r="A94" s="73">
        <v>92</v>
      </c>
      <c r="B94" s="72" t="s">
        <v>46</v>
      </c>
      <c r="C94" s="74" t="s">
        <v>432</v>
      </c>
      <c r="D94" s="72" t="s">
        <v>72</v>
      </c>
      <c r="E94" s="71" t="s">
        <v>124</v>
      </c>
      <c r="F94" s="71" t="s">
        <v>47</v>
      </c>
      <c r="G94" s="91" t="s">
        <v>45</v>
      </c>
      <c r="H94" s="70">
        <v>46129</v>
      </c>
      <c r="I94" s="70">
        <v>46129</v>
      </c>
      <c r="J94" s="70"/>
      <c r="K94" s="70"/>
      <c r="L94" s="74" t="s">
        <v>432</v>
      </c>
      <c r="M94" s="70">
        <v>46139</v>
      </c>
    </row>
    <row r="95" spans="1:13" ht="27.6" hidden="1" x14ac:dyDescent="0.3">
      <c r="A95" s="79">
        <v>93</v>
      </c>
      <c r="B95" s="81" t="s">
        <v>60</v>
      </c>
      <c r="C95" s="82" t="s">
        <v>473</v>
      </c>
      <c r="D95" s="81" t="s">
        <v>63</v>
      </c>
      <c r="E95" s="79" t="s">
        <v>42</v>
      </c>
      <c r="F95" s="79" t="s">
        <v>69</v>
      </c>
      <c r="G95" s="83" t="s">
        <v>10</v>
      </c>
      <c r="H95" s="84">
        <v>46139</v>
      </c>
      <c r="I95" s="84">
        <v>46139</v>
      </c>
      <c r="J95" s="84">
        <v>46139</v>
      </c>
      <c r="K95" s="84">
        <v>46139</v>
      </c>
      <c r="L95" s="82" t="s">
        <v>477</v>
      </c>
      <c r="M95" s="84">
        <v>46139</v>
      </c>
    </row>
    <row r="96" spans="1:13" ht="27.6" hidden="1" x14ac:dyDescent="0.3">
      <c r="A96" s="79">
        <v>94</v>
      </c>
      <c r="B96" s="81" t="s">
        <v>60</v>
      </c>
      <c r="C96" s="82" t="s">
        <v>474</v>
      </c>
      <c r="D96" s="81" t="s">
        <v>63</v>
      </c>
      <c r="E96" s="79" t="s">
        <v>42</v>
      </c>
      <c r="F96" s="79" t="s">
        <v>69</v>
      </c>
      <c r="G96" s="83" t="s">
        <v>10</v>
      </c>
      <c r="H96" s="84">
        <v>46140</v>
      </c>
      <c r="I96" s="84">
        <v>46140</v>
      </c>
      <c r="J96" s="84">
        <v>46141</v>
      </c>
      <c r="K96" s="84">
        <v>46141</v>
      </c>
      <c r="L96" s="82" t="s">
        <v>475</v>
      </c>
      <c r="M96" s="84">
        <v>46139</v>
      </c>
    </row>
    <row r="97" spans="1:13" ht="27.6" hidden="1" x14ac:dyDescent="0.3">
      <c r="A97" s="79">
        <v>95</v>
      </c>
      <c r="B97" s="81" t="s">
        <v>60</v>
      </c>
      <c r="C97" s="82" t="s">
        <v>484</v>
      </c>
      <c r="D97" s="81" t="s">
        <v>63</v>
      </c>
      <c r="E97" s="79" t="s">
        <v>42</v>
      </c>
      <c r="F97" s="79" t="s">
        <v>69</v>
      </c>
      <c r="G97" s="83" t="s">
        <v>10</v>
      </c>
      <c r="H97" s="84">
        <v>46141</v>
      </c>
      <c r="I97" s="84">
        <v>46141</v>
      </c>
      <c r="J97" s="84">
        <v>46142</v>
      </c>
      <c r="K97" s="84">
        <v>46142</v>
      </c>
      <c r="L97" s="82" t="s">
        <v>476</v>
      </c>
      <c r="M97" s="84">
        <v>46139</v>
      </c>
    </row>
    <row r="98" spans="1:13" ht="27.6" hidden="1" x14ac:dyDescent="0.3">
      <c r="A98" s="79">
        <v>96</v>
      </c>
      <c r="B98" s="81" t="s">
        <v>60</v>
      </c>
      <c r="C98" s="82" t="s">
        <v>483</v>
      </c>
      <c r="D98" s="81" t="s">
        <v>63</v>
      </c>
      <c r="E98" s="79" t="s">
        <v>42</v>
      </c>
      <c r="F98" s="79" t="s">
        <v>69</v>
      </c>
      <c r="G98" s="83" t="s">
        <v>10</v>
      </c>
      <c r="H98" s="84">
        <v>46146</v>
      </c>
      <c r="I98" s="84">
        <v>46146</v>
      </c>
      <c r="J98" s="84">
        <v>46146</v>
      </c>
      <c r="K98" s="84">
        <v>46146</v>
      </c>
      <c r="L98" s="82" t="s">
        <v>490</v>
      </c>
      <c r="M98" s="84">
        <v>46146</v>
      </c>
    </row>
    <row r="99" spans="1:13" ht="27.6" hidden="1" x14ac:dyDescent="0.3">
      <c r="A99" s="79">
        <v>97</v>
      </c>
      <c r="B99" s="81" t="s">
        <v>60</v>
      </c>
      <c r="C99" s="82" t="s">
        <v>491</v>
      </c>
      <c r="D99" s="81" t="s">
        <v>63</v>
      </c>
      <c r="E99" s="79" t="s">
        <v>42</v>
      </c>
      <c r="F99" s="79" t="s">
        <v>69</v>
      </c>
      <c r="G99" s="83" t="s">
        <v>10</v>
      </c>
      <c r="H99" s="84">
        <v>46146</v>
      </c>
      <c r="I99" s="84">
        <v>46146</v>
      </c>
      <c r="J99" s="84">
        <v>46148</v>
      </c>
      <c r="K99" s="84">
        <v>46148</v>
      </c>
      <c r="L99" s="82" t="s">
        <v>476</v>
      </c>
      <c r="M99" s="84">
        <v>46146</v>
      </c>
    </row>
    <row r="100" spans="1:13" ht="27.6" hidden="1" x14ac:dyDescent="0.3">
      <c r="A100" s="79">
        <v>98</v>
      </c>
      <c r="B100" s="81" t="s">
        <v>60</v>
      </c>
      <c r="C100" s="82" t="s">
        <v>488</v>
      </c>
      <c r="D100" s="81" t="s">
        <v>63</v>
      </c>
      <c r="E100" s="79" t="s">
        <v>42</v>
      </c>
      <c r="F100" s="79" t="s">
        <v>69</v>
      </c>
      <c r="G100" s="83" t="s">
        <v>10</v>
      </c>
      <c r="H100" s="84">
        <v>46148</v>
      </c>
      <c r="I100" s="84">
        <v>46148</v>
      </c>
      <c r="J100" s="84">
        <v>46149</v>
      </c>
      <c r="K100" s="84">
        <v>46149</v>
      </c>
      <c r="L100" s="82" t="s">
        <v>475</v>
      </c>
      <c r="M100" s="84">
        <v>46146</v>
      </c>
    </row>
    <row r="101" spans="1:13" ht="27.6" hidden="1" x14ac:dyDescent="0.3">
      <c r="A101" s="79">
        <v>99</v>
      </c>
      <c r="B101" s="81" t="s">
        <v>60</v>
      </c>
      <c r="C101" s="82" t="s">
        <v>489</v>
      </c>
      <c r="D101" s="81" t="s">
        <v>63</v>
      </c>
      <c r="E101" s="79" t="s">
        <v>42</v>
      </c>
      <c r="F101" s="79" t="s">
        <v>69</v>
      </c>
      <c r="G101" s="91" t="s">
        <v>45</v>
      </c>
      <c r="H101" s="84">
        <v>46150</v>
      </c>
      <c r="I101" s="84">
        <v>46150</v>
      </c>
      <c r="J101" s="84"/>
      <c r="K101" s="84"/>
      <c r="L101" s="82" t="s">
        <v>476</v>
      </c>
      <c r="M101" s="84">
        <v>46146</v>
      </c>
    </row>
    <row r="102" spans="1:13" ht="41.4" hidden="1" x14ac:dyDescent="0.3">
      <c r="A102" s="73">
        <v>100</v>
      </c>
      <c r="B102" s="72" t="s">
        <v>46</v>
      </c>
      <c r="C102" s="74" t="s">
        <v>492</v>
      </c>
      <c r="D102" s="72" t="s">
        <v>72</v>
      </c>
      <c r="E102" s="71" t="s">
        <v>124</v>
      </c>
      <c r="F102" s="71" t="s">
        <v>47</v>
      </c>
      <c r="G102" s="83" t="s">
        <v>10</v>
      </c>
      <c r="H102" s="70">
        <v>46146</v>
      </c>
      <c r="I102" s="70">
        <v>46146</v>
      </c>
      <c r="J102" s="70">
        <v>46146</v>
      </c>
      <c r="K102" s="70">
        <v>46146</v>
      </c>
      <c r="L102" s="74" t="s">
        <v>492</v>
      </c>
      <c r="M102" s="70">
        <v>46146</v>
      </c>
    </row>
    <row r="103" spans="1:13" ht="55.2" hidden="1" x14ac:dyDescent="0.3">
      <c r="A103" s="73">
        <v>101</v>
      </c>
      <c r="B103" s="72" t="s">
        <v>46</v>
      </c>
      <c r="C103" s="74" t="s">
        <v>498</v>
      </c>
      <c r="D103" s="72" t="s">
        <v>72</v>
      </c>
      <c r="E103" s="71" t="s">
        <v>124</v>
      </c>
      <c r="F103" s="71" t="s">
        <v>47</v>
      </c>
      <c r="G103" s="83" t="s">
        <v>10</v>
      </c>
      <c r="H103" s="70">
        <v>46147</v>
      </c>
      <c r="I103" s="70">
        <v>46146</v>
      </c>
      <c r="J103" s="70">
        <v>46147</v>
      </c>
      <c r="K103" s="70">
        <v>46147</v>
      </c>
      <c r="L103" s="74" t="s">
        <v>499</v>
      </c>
      <c r="M103" s="70">
        <v>46146</v>
      </c>
    </row>
    <row r="104" spans="1:13" ht="55.2" hidden="1" x14ac:dyDescent="0.3">
      <c r="A104" s="73">
        <v>102</v>
      </c>
      <c r="B104" s="72" t="s">
        <v>46</v>
      </c>
      <c r="C104" s="74" t="s">
        <v>496</v>
      </c>
      <c r="D104" s="72" t="s">
        <v>72</v>
      </c>
      <c r="E104" s="71" t="s">
        <v>124</v>
      </c>
      <c r="F104" s="71" t="s">
        <v>47</v>
      </c>
      <c r="G104" s="83" t="s">
        <v>10</v>
      </c>
      <c r="H104" s="70">
        <v>46147</v>
      </c>
      <c r="I104" s="70">
        <v>46147</v>
      </c>
      <c r="J104" s="70">
        <v>46148</v>
      </c>
      <c r="K104" s="70">
        <v>46148</v>
      </c>
      <c r="L104" s="74" t="s">
        <v>497</v>
      </c>
      <c r="M104" s="70">
        <v>46146</v>
      </c>
    </row>
    <row r="105" spans="1:13" ht="27.6" hidden="1" x14ac:dyDescent="0.3">
      <c r="A105" s="79">
        <v>103</v>
      </c>
      <c r="B105" s="81" t="s">
        <v>60</v>
      </c>
      <c r="C105" s="82" t="s">
        <v>506</v>
      </c>
      <c r="D105" s="81" t="s">
        <v>63</v>
      </c>
      <c r="E105" s="79" t="s">
        <v>42</v>
      </c>
      <c r="F105" s="79" t="s">
        <v>69</v>
      </c>
      <c r="G105" s="83" t="s">
        <v>10</v>
      </c>
      <c r="H105" s="84">
        <v>46149</v>
      </c>
      <c r="I105" s="84">
        <v>46149</v>
      </c>
      <c r="J105" s="84">
        <v>46155</v>
      </c>
      <c r="K105" s="84">
        <v>46155</v>
      </c>
      <c r="L105" s="82" t="s">
        <v>509</v>
      </c>
      <c r="M105" s="84">
        <v>46153</v>
      </c>
    </row>
    <row r="106" spans="1:13" ht="27.6" hidden="1" x14ac:dyDescent="0.3">
      <c r="A106" s="79">
        <v>104</v>
      </c>
      <c r="B106" s="81" t="s">
        <v>60</v>
      </c>
      <c r="C106" s="82" t="s">
        <v>507</v>
      </c>
      <c r="D106" s="81" t="s">
        <v>63</v>
      </c>
      <c r="E106" s="79" t="s">
        <v>42</v>
      </c>
      <c r="F106" s="79" t="s">
        <v>69</v>
      </c>
      <c r="G106" s="83" t="s">
        <v>10</v>
      </c>
      <c r="H106" s="84">
        <v>46155</v>
      </c>
      <c r="I106" s="84">
        <v>46155</v>
      </c>
      <c r="J106" s="84">
        <v>46156</v>
      </c>
      <c r="K106" s="84">
        <v>46156</v>
      </c>
      <c r="L106" s="82" t="s">
        <v>510</v>
      </c>
      <c r="M106" s="84">
        <v>46153</v>
      </c>
    </row>
    <row r="107" spans="1:13" ht="27.6" hidden="1" x14ac:dyDescent="0.3">
      <c r="A107" s="79">
        <v>105</v>
      </c>
      <c r="B107" s="81" t="s">
        <v>60</v>
      </c>
      <c r="C107" s="82" t="s">
        <v>508</v>
      </c>
      <c r="D107" s="81" t="s">
        <v>63</v>
      </c>
      <c r="E107" s="79" t="s">
        <v>42</v>
      </c>
      <c r="F107" s="79" t="s">
        <v>69</v>
      </c>
      <c r="G107" s="83" t="s">
        <v>10</v>
      </c>
      <c r="H107" s="84">
        <v>46156</v>
      </c>
      <c r="I107" s="84">
        <v>46156</v>
      </c>
      <c r="J107" s="84">
        <v>46157</v>
      </c>
      <c r="K107" s="84">
        <v>46157</v>
      </c>
      <c r="L107" s="82" t="s">
        <v>511</v>
      </c>
      <c r="M107" s="84">
        <v>46153</v>
      </c>
    </row>
    <row r="108" spans="1:13" ht="41.4" hidden="1" x14ac:dyDescent="0.3">
      <c r="A108" s="73">
        <v>106</v>
      </c>
      <c r="B108" s="72" t="s">
        <v>46</v>
      </c>
      <c r="C108" s="74" t="s">
        <v>531</v>
      </c>
      <c r="D108" s="72" t="s">
        <v>72</v>
      </c>
      <c r="E108" s="71" t="s">
        <v>124</v>
      </c>
      <c r="F108" s="71" t="s">
        <v>47</v>
      </c>
      <c r="G108" s="83" t="s">
        <v>10</v>
      </c>
      <c r="H108" s="70">
        <v>46153</v>
      </c>
      <c r="I108" s="70">
        <v>46153</v>
      </c>
      <c r="J108" s="70">
        <v>46157</v>
      </c>
      <c r="K108" s="70">
        <v>46157</v>
      </c>
      <c r="L108" s="74" t="s">
        <v>532</v>
      </c>
      <c r="M108" s="70">
        <v>46153</v>
      </c>
    </row>
    <row r="109" spans="1:13" ht="41.4" hidden="1" x14ac:dyDescent="0.3">
      <c r="A109" s="73">
        <v>107</v>
      </c>
      <c r="B109" s="72" t="s">
        <v>46</v>
      </c>
      <c r="C109" s="74" t="s">
        <v>533</v>
      </c>
      <c r="D109" s="72" t="s">
        <v>72</v>
      </c>
      <c r="E109" s="71" t="s">
        <v>124</v>
      </c>
      <c r="F109" s="71" t="s">
        <v>47</v>
      </c>
      <c r="G109" s="83" t="s">
        <v>10</v>
      </c>
      <c r="H109" s="70">
        <v>46154</v>
      </c>
      <c r="I109" s="70">
        <v>46154</v>
      </c>
      <c r="J109" s="70">
        <v>46157</v>
      </c>
      <c r="K109" s="70">
        <v>46157</v>
      </c>
      <c r="L109" s="74" t="s">
        <v>534</v>
      </c>
      <c r="M109" s="70">
        <v>46153</v>
      </c>
    </row>
    <row r="110" spans="1:13" ht="27.6" hidden="1" x14ac:dyDescent="0.3">
      <c r="A110" s="79">
        <v>108</v>
      </c>
      <c r="B110" s="81" t="s">
        <v>60</v>
      </c>
      <c r="C110" s="82" t="s">
        <v>517</v>
      </c>
      <c r="D110" s="81" t="s">
        <v>63</v>
      </c>
      <c r="E110" s="79" t="s">
        <v>42</v>
      </c>
      <c r="F110" s="79" t="s">
        <v>69</v>
      </c>
      <c r="G110" s="83" t="s">
        <v>10</v>
      </c>
      <c r="H110" s="84">
        <v>46160</v>
      </c>
      <c r="I110" s="84">
        <v>46160</v>
      </c>
      <c r="J110" s="84">
        <v>46160</v>
      </c>
      <c r="K110" s="84">
        <v>46160</v>
      </c>
      <c r="L110" s="82" t="s">
        <v>520</v>
      </c>
      <c r="M110" s="84">
        <v>46160</v>
      </c>
    </row>
    <row r="111" spans="1:13" ht="27.6" hidden="1" x14ac:dyDescent="0.3">
      <c r="A111" s="79">
        <v>109</v>
      </c>
      <c r="B111" s="81" t="s">
        <v>60</v>
      </c>
      <c r="C111" s="82" t="s">
        <v>518</v>
      </c>
      <c r="D111" s="81" t="s">
        <v>63</v>
      </c>
      <c r="E111" s="79" t="s">
        <v>42</v>
      </c>
      <c r="F111" s="79" t="s">
        <v>69</v>
      </c>
      <c r="G111" s="83" t="s">
        <v>10</v>
      </c>
      <c r="H111" s="84">
        <v>46161</v>
      </c>
      <c r="I111" s="84">
        <v>46161</v>
      </c>
      <c r="J111" s="84">
        <v>46162</v>
      </c>
      <c r="K111" s="84">
        <v>46162</v>
      </c>
      <c r="L111" s="82" t="s">
        <v>521</v>
      </c>
      <c r="M111" s="84">
        <v>46160</v>
      </c>
    </row>
    <row r="112" spans="1:13" ht="27.6" hidden="1" x14ac:dyDescent="0.3">
      <c r="A112" s="79">
        <v>110</v>
      </c>
      <c r="B112" s="81" t="s">
        <v>60</v>
      </c>
      <c r="C112" s="82" t="s">
        <v>519</v>
      </c>
      <c r="D112" s="81" t="s">
        <v>63</v>
      </c>
      <c r="E112" s="79" t="s">
        <v>42</v>
      </c>
      <c r="F112" s="79" t="s">
        <v>69</v>
      </c>
      <c r="G112" s="83" t="s">
        <v>10</v>
      </c>
      <c r="H112" s="84">
        <v>46163</v>
      </c>
      <c r="I112" s="84">
        <v>46163</v>
      </c>
      <c r="J112" s="84">
        <v>46164</v>
      </c>
      <c r="K112" s="84">
        <v>46164</v>
      </c>
      <c r="L112" s="82" t="s">
        <v>522</v>
      </c>
      <c r="M112" s="84">
        <v>46160</v>
      </c>
    </row>
    <row r="113" spans="1:13" ht="41.4" hidden="1" x14ac:dyDescent="0.3">
      <c r="A113" s="73">
        <v>111</v>
      </c>
      <c r="B113" s="72" t="s">
        <v>46</v>
      </c>
      <c r="C113" s="74" t="s">
        <v>535</v>
      </c>
      <c r="D113" s="72" t="s">
        <v>72</v>
      </c>
      <c r="E113" s="71" t="s">
        <v>124</v>
      </c>
      <c r="F113" s="71" t="s">
        <v>47</v>
      </c>
      <c r="G113" s="83" t="s">
        <v>10</v>
      </c>
      <c r="H113" s="70">
        <v>46160</v>
      </c>
      <c r="I113" s="70">
        <v>46160</v>
      </c>
      <c r="J113" s="70">
        <v>46162</v>
      </c>
      <c r="K113" s="70">
        <v>46162</v>
      </c>
      <c r="L113" s="74" t="s">
        <v>535</v>
      </c>
      <c r="M113" s="70">
        <v>46160</v>
      </c>
    </row>
    <row r="114" spans="1:13" ht="55.2" hidden="1" x14ac:dyDescent="0.3">
      <c r="A114" s="73">
        <v>112</v>
      </c>
      <c r="B114" s="72" t="s">
        <v>46</v>
      </c>
      <c r="C114" s="74" t="s">
        <v>527</v>
      </c>
      <c r="D114" s="72" t="s">
        <v>72</v>
      </c>
      <c r="E114" s="71" t="s">
        <v>124</v>
      </c>
      <c r="F114" s="71" t="s">
        <v>47</v>
      </c>
      <c r="G114" s="83" t="s">
        <v>10</v>
      </c>
      <c r="H114" s="70">
        <v>46161</v>
      </c>
      <c r="I114" s="70">
        <v>46162</v>
      </c>
      <c r="J114" s="70">
        <v>46164</v>
      </c>
      <c r="K114" s="70">
        <v>46164</v>
      </c>
      <c r="L114" s="74" t="s">
        <v>527</v>
      </c>
      <c r="M114" s="70">
        <v>46160</v>
      </c>
    </row>
    <row r="115" spans="1:13" ht="27.6" hidden="1" x14ac:dyDescent="0.3">
      <c r="A115" s="79">
        <v>113</v>
      </c>
      <c r="B115" s="81" t="s">
        <v>60</v>
      </c>
      <c r="C115" s="82" t="s">
        <v>541</v>
      </c>
      <c r="D115" s="81" t="s">
        <v>63</v>
      </c>
      <c r="E115" s="79" t="s">
        <v>42</v>
      </c>
      <c r="F115" s="79" t="s">
        <v>69</v>
      </c>
      <c r="G115" s="83" t="s">
        <v>10</v>
      </c>
      <c r="H115" s="84">
        <v>46167</v>
      </c>
      <c r="I115" s="84">
        <v>46167</v>
      </c>
      <c r="J115" s="84">
        <v>46168</v>
      </c>
      <c r="K115" s="84">
        <v>46168</v>
      </c>
      <c r="L115" s="82" t="s">
        <v>544</v>
      </c>
      <c r="M115" s="84">
        <v>46167</v>
      </c>
    </row>
    <row r="116" spans="1:13" ht="27.6" hidden="1" x14ac:dyDescent="0.3">
      <c r="A116" s="79">
        <v>114</v>
      </c>
      <c r="B116" s="81" t="s">
        <v>60</v>
      </c>
      <c r="C116" s="82" t="s">
        <v>542</v>
      </c>
      <c r="D116" s="81" t="s">
        <v>63</v>
      </c>
      <c r="E116" s="79" t="s">
        <v>42</v>
      </c>
      <c r="F116" s="79" t="s">
        <v>69</v>
      </c>
      <c r="G116" s="83" t="s">
        <v>10</v>
      </c>
      <c r="H116" s="84">
        <v>46169</v>
      </c>
      <c r="I116" s="84">
        <v>46169</v>
      </c>
      <c r="J116" s="84">
        <v>46170</v>
      </c>
      <c r="K116" s="84">
        <v>46170</v>
      </c>
      <c r="L116" s="82" t="s">
        <v>545</v>
      </c>
      <c r="M116" s="84">
        <v>46167</v>
      </c>
    </row>
    <row r="117" spans="1:13" ht="27.6" hidden="1" x14ac:dyDescent="0.3">
      <c r="A117" s="79">
        <v>115</v>
      </c>
      <c r="B117" s="81" t="s">
        <v>60</v>
      </c>
      <c r="C117" s="82" t="s">
        <v>543</v>
      </c>
      <c r="D117" s="81" t="s">
        <v>63</v>
      </c>
      <c r="E117" s="79" t="s">
        <v>42</v>
      </c>
      <c r="F117" s="79" t="s">
        <v>69</v>
      </c>
      <c r="G117" s="90" t="s">
        <v>45</v>
      </c>
      <c r="H117" s="84">
        <v>46170</v>
      </c>
      <c r="I117" s="84">
        <v>46170</v>
      </c>
      <c r="J117" s="84"/>
      <c r="K117" s="84"/>
      <c r="L117" s="82" t="s">
        <v>546</v>
      </c>
      <c r="M117" s="84">
        <v>46167</v>
      </c>
    </row>
    <row r="118" spans="1:13" ht="41.4" hidden="1" x14ac:dyDescent="0.3">
      <c r="A118" s="73">
        <v>116</v>
      </c>
      <c r="B118" s="72" t="s">
        <v>46</v>
      </c>
      <c r="C118" s="74" t="s">
        <v>568</v>
      </c>
      <c r="D118" s="72" t="s">
        <v>72</v>
      </c>
      <c r="E118" s="71" t="s">
        <v>124</v>
      </c>
      <c r="F118" s="71" t="s">
        <v>47</v>
      </c>
      <c r="G118" s="83" t="s">
        <v>10</v>
      </c>
      <c r="H118" s="70">
        <v>46167</v>
      </c>
      <c r="I118" s="70">
        <v>46167</v>
      </c>
      <c r="J118" s="70">
        <v>46171</v>
      </c>
      <c r="K118" s="70">
        <v>46171</v>
      </c>
      <c r="L118" s="74" t="s">
        <v>568</v>
      </c>
      <c r="M118" s="70">
        <v>46167</v>
      </c>
    </row>
    <row r="119" spans="1:13" ht="41.4" hidden="1" x14ac:dyDescent="0.3">
      <c r="A119" s="73">
        <v>117</v>
      </c>
      <c r="B119" s="72" t="s">
        <v>46</v>
      </c>
      <c r="C119" s="74" t="s">
        <v>567</v>
      </c>
      <c r="D119" s="72" t="s">
        <v>72</v>
      </c>
      <c r="E119" s="71" t="s">
        <v>124</v>
      </c>
      <c r="F119" s="71" t="s">
        <v>47</v>
      </c>
      <c r="G119" s="83" t="s">
        <v>10</v>
      </c>
      <c r="H119" s="70">
        <v>46167</v>
      </c>
      <c r="I119" s="70">
        <v>46167</v>
      </c>
      <c r="J119" s="70">
        <v>46171</v>
      </c>
      <c r="K119" s="70">
        <v>46171</v>
      </c>
      <c r="L119" s="74" t="s">
        <v>567</v>
      </c>
      <c r="M119" s="70">
        <v>46167</v>
      </c>
    </row>
    <row r="120" spans="1:13" ht="41.4" hidden="1" x14ac:dyDescent="0.3">
      <c r="A120" s="73">
        <v>118</v>
      </c>
      <c r="B120" s="72" t="s">
        <v>46</v>
      </c>
      <c r="C120" s="74" t="s">
        <v>569</v>
      </c>
      <c r="D120" s="72" t="s">
        <v>72</v>
      </c>
      <c r="E120" s="71" t="s">
        <v>124</v>
      </c>
      <c r="F120" s="71" t="s">
        <v>47</v>
      </c>
      <c r="G120" s="83" t="s">
        <v>10</v>
      </c>
      <c r="H120" s="70">
        <v>46167</v>
      </c>
      <c r="I120" s="70">
        <v>46167</v>
      </c>
      <c r="J120" s="70">
        <v>46171</v>
      </c>
      <c r="K120" s="70">
        <v>46171</v>
      </c>
      <c r="L120" s="74" t="s">
        <v>569</v>
      </c>
      <c r="M120" s="70">
        <v>46167</v>
      </c>
    </row>
    <row r="121" spans="1:13" ht="27.6" hidden="1" x14ac:dyDescent="0.3">
      <c r="A121" s="79">
        <v>119</v>
      </c>
      <c r="B121" s="81" t="s">
        <v>60</v>
      </c>
      <c r="C121" s="82" t="s">
        <v>543</v>
      </c>
      <c r="D121" s="81" t="s">
        <v>63</v>
      </c>
      <c r="E121" s="79" t="s">
        <v>42</v>
      </c>
      <c r="F121" s="79" t="s">
        <v>69</v>
      </c>
      <c r="G121" s="83" t="s">
        <v>10</v>
      </c>
      <c r="H121" s="84">
        <v>46170</v>
      </c>
      <c r="I121" s="84">
        <v>46170</v>
      </c>
      <c r="J121" s="84">
        <v>46174</v>
      </c>
      <c r="K121" s="84">
        <v>46174</v>
      </c>
      <c r="L121" s="82" t="s">
        <v>546</v>
      </c>
      <c r="M121" s="84">
        <v>46174</v>
      </c>
    </row>
    <row r="122" spans="1:13" ht="27.6" hidden="1" x14ac:dyDescent="0.3">
      <c r="A122" s="79">
        <v>120</v>
      </c>
      <c r="B122" s="81" t="s">
        <v>60</v>
      </c>
      <c r="C122" s="82" t="s">
        <v>552</v>
      </c>
      <c r="D122" s="81" t="s">
        <v>63</v>
      </c>
      <c r="E122" s="79" t="s">
        <v>42</v>
      </c>
      <c r="F122" s="79" t="s">
        <v>69</v>
      </c>
      <c r="G122" s="90" t="s">
        <v>45</v>
      </c>
      <c r="H122" s="84">
        <v>46175</v>
      </c>
      <c r="I122" s="84">
        <v>46175</v>
      </c>
      <c r="J122" s="84"/>
      <c r="K122" s="84"/>
      <c r="L122" s="82" t="s">
        <v>553</v>
      </c>
      <c r="M122" s="84">
        <v>46174</v>
      </c>
    </row>
    <row r="123" spans="1:13" ht="41.4" hidden="1" x14ac:dyDescent="0.3">
      <c r="A123" s="73">
        <v>121</v>
      </c>
      <c r="B123" s="72" t="s">
        <v>46</v>
      </c>
      <c r="C123" s="74" t="s">
        <v>570</v>
      </c>
      <c r="D123" s="72" t="s">
        <v>72</v>
      </c>
      <c r="E123" s="71" t="s">
        <v>124</v>
      </c>
      <c r="F123" s="71" t="s">
        <v>47</v>
      </c>
      <c r="G123" s="83" t="s">
        <v>10</v>
      </c>
      <c r="H123" s="70">
        <v>46174</v>
      </c>
      <c r="I123" s="70">
        <v>46174</v>
      </c>
      <c r="J123" s="70">
        <v>46174</v>
      </c>
      <c r="K123" s="70">
        <v>46174</v>
      </c>
      <c r="L123" s="74" t="s">
        <v>572</v>
      </c>
      <c r="M123" s="70">
        <v>46174</v>
      </c>
    </row>
    <row r="124" spans="1:13" ht="41.4" hidden="1" x14ac:dyDescent="0.3">
      <c r="A124" s="73">
        <v>122</v>
      </c>
      <c r="B124" s="72" t="s">
        <v>46</v>
      </c>
      <c r="C124" s="74" t="s">
        <v>571</v>
      </c>
      <c r="D124" s="72" t="s">
        <v>72</v>
      </c>
      <c r="E124" s="71" t="s">
        <v>124</v>
      </c>
      <c r="F124" s="71" t="s">
        <v>47</v>
      </c>
      <c r="G124" s="90" t="s">
        <v>45</v>
      </c>
      <c r="H124" s="70">
        <v>46176</v>
      </c>
      <c r="I124" s="70">
        <v>46176</v>
      </c>
      <c r="J124" s="70"/>
      <c r="K124" s="70"/>
      <c r="L124" s="74" t="s">
        <v>571</v>
      </c>
      <c r="M124" s="70">
        <v>46174</v>
      </c>
    </row>
    <row r="125" spans="1:13" ht="41.4" hidden="1" x14ac:dyDescent="0.3">
      <c r="A125" s="73">
        <v>123</v>
      </c>
      <c r="B125" s="72" t="s">
        <v>46</v>
      </c>
      <c r="C125" s="74" t="s">
        <v>573</v>
      </c>
      <c r="D125" s="72" t="s">
        <v>72</v>
      </c>
      <c r="E125" s="71" t="s">
        <v>124</v>
      </c>
      <c r="F125" s="71" t="s">
        <v>47</v>
      </c>
      <c r="G125" s="90" t="s">
        <v>45</v>
      </c>
      <c r="H125" s="70">
        <v>46175</v>
      </c>
      <c r="I125" s="70">
        <v>46175</v>
      </c>
      <c r="J125" s="70"/>
      <c r="K125" s="70"/>
      <c r="L125" s="74" t="s">
        <v>573</v>
      </c>
      <c r="M125" s="70">
        <v>46174</v>
      </c>
    </row>
    <row r="126" spans="1:13" ht="27.6" hidden="1" x14ac:dyDescent="0.3">
      <c r="A126" s="79">
        <v>125</v>
      </c>
      <c r="B126" s="81" t="s">
        <v>60</v>
      </c>
      <c r="C126" s="82" t="s">
        <v>552</v>
      </c>
      <c r="D126" s="81" t="s">
        <v>63</v>
      </c>
      <c r="E126" s="79" t="s">
        <v>42</v>
      </c>
      <c r="F126" s="79" t="s">
        <v>69</v>
      </c>
      <c r="G126" s="83" t="s">
        <v>10</v>
      </c>
      <c r="H126" s="84">
        <v>46175</v>
      </c>
      <c r="I126" s="84">
        <v>46175</v>
      </c>
      <c r="J126" s="84">
        <v>46183</v>
      </c>
      <c r="K126" s="84">
        <v>46183</v>
      </c>
      <c r="L126" s="82" t="s">
        <v>553</v>
      </c>
      <c r="M126" s="84">
        <v>46181</v>
      </c>
    </row>
    <row r="127" spans="1:13" ht="27.6" hidden="1" x14ac:dyDescent="0.3">
      <c r="A127" s="79">
        <v>124</v>
      </c>
      <c r="B127" s="81" t="s">
        <v>60</v>
      </c>
      <c r="C127" s="82" t="s">
        <v>579</v>
      </c>
      <c r="D127" s="81" t="s">
        <v>63</v>
      </c>
      <c r="E127" s="79" t="s">
        <v>42</v>
      </c>
      <c r="F127" s="79" t="s">
        <v>69</v>
      </c>
      <c r="G127" s="83" t="s">
        <v>10</v>
      </c>
      <c r="H127" s="84">
        <v>46184</v>
      </c>
      <c r="I127" s="84">
        <v>46184</v>
      </c>
      <c r="J127" s="84">
        <v>46184</v>
      </c>
      <c r="K127" s="84">
        <v>46184</v>
      </c>
      <c r="L127" s="82" t="s">
        <v>581</v>
      </c>
      <c r="M127" s="84">
        <v>46181</v>
      </c>
    </row>
    <row r="128" spans="1:13" ht="27.6" hidden="1" x14ac:dyDescent="0.3">
      <c r="A128" s="79">
        <v>126</v>
      </c>
      <c r="B128" s="81" t="s">
        <v>60</v>
      </c>
      <c r="C128" s="82" t="s">
        <v>580</v>
      </c>
      <c r="D128" s="81" t="s">
        <v>63</v>
      </c>
      <c r="E128" s="79" t="s">
        <v>42</v>
      </c>
      <c r="F128" s="79" t="s">
        <v>69</v>
      </c>
      <c r="G128" s="83" t="s">
        <v>10</v>
      </c>
      <c r="H128" s="84">
        <v>46185</v>
      </c>
      <c r="I128" s="84">
        <v>46185</v>
      </c>
      <c r="J128" s="84">
        <v>46185</v>
      </c>
      <c r="K128" s="84">
        <v>46185</v>
      </c>
      <c r="L128" s="82" t="s">
        <v>582</v>
      </c>
      <c r="M128" s="84">
        <v>46181</v>
      </c>
    </row>
    <row r="129" spans="1:13" ht="41.4" hidden="1" x14ac:dyDescent="0.3">
      <c r="A129" s="73">
        <v>127</v>
      </c>
      <c r="B129" s="72" t="s">
        <v>46</v>
      </c>
      <c r="C129" s="74" t="s">
        <v>586</v>
      </c>
      <c r="D129" s="72" t="s">
        <v>72</v>
      </c>
      <c r="E129" s="71" t="s">
        <v>124</v>
      </c>
      <c r="F129" s="71" t="s">
        <v>47</v>
      </c>
      <c r="G129" s="83" t="s">
        <v>10</v>
      </c>
      <c r="H129" s="70">
        <v>46182</v>
      </c>
      <c r="I129" s="70">
        <v>46182</v>
      </c>
      <c r="J129" s="70">
        <v>46183</v>
      </c>
      <c r="K129" s="70">
        <v>46183</v>
      </c>
      <c r="L129" s="74" t="s">
        <v>586</v>
      </c>
      <c r="M129" s="70">
        <v>46181</v>
      </c>
    </row>
    <row r="130" spans="1:13" ht="41.4" hidden="1" x14ac:dyDescent="0.3">
      <c r="A130" s="73">
        <v>128</v>
      </c>
      <c r="B130" s="72" t="s">
        <v>46</v>
      </c>
      <c r="C130" s="74" t="s">
        <v>573</v>
      </c>
      <c r="D130" s="72" t="s">
        <v>72</v>
      </c>
      <c r="E130" s="71" t="s">
        <v>124</v>
      </c>
      <c r="F130" s="71" t="s">
        <v>47</v>
      </c>
      <c r="G130" s="90" t="s">
        <v>45</v>
      </c>
      <c r="H130" s="70">
        <v>46176</v>
      </c>
      <c r="I130" s="70">
        <v>46176</v>
      </c>
      <c r="J130" s="70"/>
      <c r="K130" s="70"/>
      <c r="L130" s="74" t="s">
        <v>573</v>
      </c>
      <c r="M130" s="70">
        <v>46181</v>
      </c>
    </row>
    <row r="131" spans="1:13" ht="27.6" hidden="1" x14ac:dyDescent="0.3">
      <c r="A131" s="79">
        <v>129</v>
      </c>
      <c r="B131" s="81" t="s">
        <v>60</v>
      </c>
      <c r="C131" s="82" t="s">
        <v>600</v>
      </c>
      <c r="D131" s="81" t="s">
        <v>63</v>
      </c>
      <c r="E131" s="79" t="s">
        <v>42</v>
      </c>
      <c r="F131" s="79" t="s">
        <v>69</v>
      </c>
      <c r="G131" s="83" t="s">
        <v>10</v>
      </c>
      <c r="H131" s="84">
        <v>46189</v>
      </c>
      <c r="I131" s="84">
        <v>46189</v>
      </c>
      <c r="J131" s="84">
        <v>46190</v>
      </c>
      <c r="K131" s="84">
        <v>46190</v>
      </c>
      <c r="L131" s="82" t="s">
        <v>601</v>
      </c>
      <c r="M131" s="84">
        <v>46188</v>
      </c>
    </row>
    <row r="132" spans="1:13" ht="27.6" hidden="1" x14ac:dyDescent="0.3">
      <c r="A132" s="79">
        <v>130</v>
      </c>
      <c r="B132" s="81" t="s">
        <v>60</v>
      </c>
      <c r="C132" s="82" t="s">
        <v>602</v>
      </c>
      <c r="D132" s="81" t="s">
        <v>63</v>
      </c>
      <c r="E132" s="79" t="s">
        <v>42</v>
      </c>
      <c r="F132" s="79" t="s">
        <v>69</v>
      </c>
      <c r="G132" s="83" t="s">
        <v>10</v>
      </c>
      <c r="H132" s="84">
        <v>46191</v>
      </c>
      <c r="I132" s="84">
        <v>46191</v>
      </c>
      <c r="J132" s="84">
        <v>46192</v>
      </c>
      <c r="K132" s="84">
        <v>46192</v>
      </c>
      <c r="L132" s="82" t="s">
        <v>603</v>
      </c>
      <c r="M132" s="84">
        <v>46188</v>
      </c>
    </row>
    <row r="133" spans="1:13" ht="41.4" hidden="1" x14ac:dyDescent="0.3">
      <c r="A133" s="73">
        <v>131</v>
      </c>
      <c r="B133" s="72" t="s">
        <v>46</v>
      </c>
      <c r="C133" s="74" t="s">
        <v>586</v>
      </c>
      <c r="D133" s="72" t="s">
        <v>72</v>
      </c>
      <c r="E133" s="71" t="s">
        <v>124</v>
      </c>
      <c r="F133" s="71" t="s">
        <v>47</v>
      </c>
      <c r="G133" s="83" t="s">
        <v>10</v>
      </c>
      <c r="H133" s="70">
        <v>46189</v>
      </c>
      <c r="I133" s="70">
        <v>46189</v>
      </c>
      <c r="J133" s="70">
        <v>46190</v>
      </c>
      <c r="K133" s="70">
        <v>46190</v>
      </c>
      <c r="L133" s="74" t="s">
        <v>586</v>
      </c>
      <c r="M133" s="70">
        <v>46188</v>
      </c>
    </row>
    <row r="134" spans="1:13" ht="41.4" hidden="1" x14ac:dyDescent="0.3">
      <c r="A134" s="73">
        <v>132</v>
      </c>
      <c r="B134" s="72" t="s">
        <v>46</v>
      </c>
      <c r="C134" s="74" t="s">
        <v>604</v>
      </c>
      <c r="D134" s="72" t="s">
        <v>72</v>
      </c>
      <c r="E134" s="71" t="s">
        <v>124</v>
      </c>
      <c r="F134" s="71" t="s">
        <v>47</v>
      </c>
      <c r="G134" s="90" t="s">
        <v>45</v>
      </c>
      <c r="H134" s="70">
        <v>46188</v>
      </c>
      <c r="I134" s="70">
        <v>46188</v>
      </c>
      <c r="J134" s="70"/>
      <c r="K134" s="70"/>
      <c r="L134" s="74" t="s">
        <v>605</v>
      </c>
      <c r="M134" s="70">
        <v>46188</v>
      </c>
    </row>
    <row r="135" spans="1:13" ht="41.4" hidden="1" x14ac:dyDescent="0.3">
      <c r="A135" s="73">
        <v>133</v>
      </c>
      <c r="B135" s="72" t="s">
        <v>46</v>
      </c>
      <c r="C135" s="74" t="s">
        <v>606</v>
      </c>
      <c r="D135" s="72" t="s">
        <v>72</v>
      </c>
      <c r="E135" s="71" t="s">
        <v>124</v>
      </c>
      <c r="F135" s="71" t="s">
        <v>47</v>
      </c>
      <c r="G135" s="90" t="s">
        <v>45</v>
      </c>
      <c r="H135" s="70">
        <v>46191</v>
      </c>
      <c r="I135" s="70">
        <v>46191</v>
      </c>
      <c r="J135" s="70"/>
      <c r="K135" s="70"/>
      <c r="L135" s="74" t="s">
        <v>606</v>
      </c>
      <c r="M135" s="70">
        <v>46188</v>
      </c>
    </row>
    <row r="136" spans="1:13" ht="27.6" hidden="1" x14ac:dyDescent="0.3">
      <c r="A136" s="79">
        <v>134</v>
      </c>
      <c r="B136" s="81" t="s">
        <v>60</v>
      </c>
      <c r="C136" s="82" t="s">
        <v>612</v>
      </c>
      <c r="D136" s="81" t="s">
        <v>63</v>
      </c>
      <c r="E136" s="79" t="s">
        <v>42</v>
      </c>
      <c r="F136" s="79" t="s">
        <v>69</v>
      </c>
      <c r="G136" s="83" t="s">
        <v>10</v>
      </c>
      <c r="H136" s="84">
        <v>46195</v>
      </c>
      <c r="I136" s="84">
        <v>46195</v>
      </c>
      <c r="J136" s="84">
        <v>46197</v>
      </c>
      <c r="K136" s="84">
        <v>46197</v>
      </c>
      <c r="L136" s="82" t="s">
        <v>615</v>
      </c>
      <c r="M136" s="84">
        <v>46195</v>
      </c>
    </row>
    <row r="137" spans="1:13" ht="27.6" hidden="1" x14ac:dyDescent="0.3">
      <c r="A137" s="79">
        <v>135</v>
      </c>
      <c r="B137" s="81" t="s">
        <v>60</v>
      </c>
      <c r="C137" s="82" t="s">
        <v>613</v>
      </c>
      <c r="D137" s="81" t="s">
        <v>63</v>
      </c>
      <c r="E137" s="79" t="s">
        <v>42</v>
      </c>
      <c r="F137" s="79" t="s">
        <v>69</v>
      </c>
      <c r="G137" s="83" t="s">
        <v>10</v>
      </c>
      <c r="H137" s="84">
        <v>46198</v>
      </c>
      <c r="I137" s="84">
        <v>46198</v>
      </c>
      <c r="J137" s="84">
        <v>46199</v>
      </c>
      <c r="K137" s="84">
        <v>46199</v>
      </c>
      <c r="L137" s="82" t="s">
        <v>614</v>
      </c>
      <c r="M137" s="84">
        <v>46195</v>
      </c>
    </row>
    <row r="138" spans="1:13" ht="41.4" hidden="1" x14ac:dyDescent="0.3">
      <c r="A138" s="73">
        <v>136</v>
      </c>
      <c r="B138" s="72" t="s">
        <v>46</v>
      </c>
      <c r="C138" s="74" t="s">
        <v>586</v>
      </c>
      <c r="D138" s="72" t="s">
        <v>72</v>
      </c>
      <c r="E138" s="71" t="s">
        <v>124</v>
      </c>
      <c r="F138" s="71" t="s">
        <v>47</v>
      </c>
      <c r="G138" s="83" t="s">
        <v>10</v>
      </c>
      <c r="H138" s="70">
        <v>46195</v>
      </c>
      <c r="I138" s="70">
        <v>46197</v>
      </c>
      <c r="J138" s="70">
        <v>46198</v>
      </c>
      <c r="K138" s="70">
        <v>46198</v>
      </c>
      <c r="L138" s="74" t="s">
        <v>586</v>
      </c>
      <c r="M138" s="70">
        <v>46195</v>
      </c>
    </row>
    <row r="139" spans="1:13" ht="41.4" hidden="1" x14ac:dyDescent="0.3">
      <c r="A139" s="73">
        <v>137</v>
      </c>
      <c r="B139" s="72" t="s">
        <v>46</v>
      </c>
      <c r="C139" s="74" t="s">
        <v>606</v>
      </c>
      <c r="D139" s="72" t="s">
        <v>72</v>
      </c>
      <c r="E139" s="71" t="s">
        <v>124</v>
      </c>
      <c r="F139" s="71" t="s">
        <v>47</v>
      </c>
      <c r="G139" s="83" t="s">
        <v>10</v>
      </c>
      <c r="H139" s="70">
        <v>46191</v>
      </c>
      <c r="I139" s="70">
        <v>46191</v>
      </c>
      <c r="J139" s="70">
        <v>46199</v>
      </c>
      <c r="K139" s="70">
        <v>46199</v>
      </c>
      <c r="L139" s="74" t="s">
        <v>606</v>
      </c>
      <c r="M139" s="70">
        <v>46195</v>
      </c>
    </row>
    <row r="140" spans="1:13" ht="27.6" hidden="1" x14ac:dyDescent="0.3">
      <c r="A140" s="79">
        <v>138</v>
      </c>
      <c r="B140" s="81" t="s">
        <v>60</v>
      </c>
      <c r="C140" s="82" t="s">
        <v>621</v>
      </c>
      <c r="D140" s="81" t="s">
        <v>63</v>
      </c>
      <c r="E140" s="79" t="s">
        <v>42</v>
      </c>
      <c r="F140" s="79" t="s">
        <v>69</v>
      </c>
      <c r="G140" s="83" t="s">
        <v>10</v>
      </c>
      <c r="H140" s="84">
        <v>46202</v>
      </c>
      <c r="I140" s="84">
        <v>46202</v>
      </c>
      <c r="J140" s="84">
        <v>46203</v>
      </c>
      <c r="K140" s="84">
        <v>46203</v>
      </c>
      <c r="L140" s="82" t="s">
        <v>623</v>
      </c>
      <c r="M140" s="84">
        <v>46202</v>
      </c>
    </row>
    <row r="141" spans="1:13" ht="27.6" hidden="1" x14ac:dyDescent="0.3">
      <c r="A141" s="79">
        <v>139</v>
      </c>
      <c r="B141" s="81" t="s">
        <v>60</v>
      </c>
      <c r="C141" s="82" t="s">
        <v>622</v>
      </c>
      <c r="D141" s="81" t="s">
        <v>63</v>
      </c>
      <c r="E141" s="79" t="s">
        <v>42</v>
      </c>
      <c r="F141" s="79" t="s">
        <v>69</v>
      </c>
      <c r="G141" s="83" t="s">
        <v>10</v>
      </c>
      <c r="H141" s="84">
        <v>46204</v>
      </c>
      <c r="I141" s="84">
        <v>46204</v>
      </c>
      <c r="J141" s="84">
        <v>46206</v>
      </c>
      <c r="K141" s="84">
        <v>46206</v>
      </c>
      <c r="L141" s="82" t="s">
        <v>624</v>
      </c>
      <c r="M141" s="84">
        <v>46202</v>
      </c>
    </row>
    <row r="142" spans="1:13" ht="41.4" hidden="1" x14ac:dyDescent="0.3">
      <c r="A142" s="73">
        <v>140</v>
      </c>
      <c r="B142" s="72" t="s">
        <v>46</v>
      </c>
      <c r="C142" s="74" t="s">
        <v>586</v>
      </c>
      <c r="D142" s="72" t="s">
        <v>72</v>
      </c>
      <c r="E142" s="71" t="s">
        <v>124</v>
      </c>
      <c r="F142" s="71" t="s">
        <v>47</v>
      </c>
      <c r="G142" s="83" t="s">
        <v>10</v>
      </c>
      <c r="H142" s="70">
        <v>46203</v>
      </c>
      <c r="I142" s="70">
        <v>46203</v>
      </c>
      <c r="J142" s="70">
        <v>46205</v>
      </c>
      <c r="K142" s="70">
        <v>46205</v>
      </c>
      <c r="L142" s="74" t="s">
        <v>586</v>
      </c>
      <c r="M142" s="70">
        <v>46202</v>
      </c>
    </row>
    <row r="143" spans="1:13" ht="138" hidden="1" x14ac:dyDescent="0.3">
      <c r="A143" s="73">
        <v>141</v>
      </c>
      <c r="B143" s="72" t="s">
        <v>46</v>
      </c>
      <c r="C143" s="74" t="s">
        <v>637</v>
      </c>
      <c r="D143" s="72" t="s">
        <v>72</v>
      </c>
      <c r="E143" s="71" t="s">
        <v>42</v>
      </c>
      <c r="F143" s="71" t="s">
        <v>47</v>
      </c>
      <c r="G143" s="83" t="s">
        <v>10</v>
      </c>
      <c r="H143" s="70">
        <v>46202</v>
      </c>
      <c r="I143" s="70">
        <v>46202</v>
      </c>
      <c r="J143" s="70">
        <v>46206</v>
      </c>
      <c r="K143" s="70">
        <v>46206</v>
      </c>
      <c r="L143" s="74" t="s">
        <v>637</v>
      </c>
      <c r="M143" s="70">
        <v>46202</v>
      </c>
    </row>
    <row r="144" spans="1:13" ht="27.6" hidden="1" x14ac:dyDescent="0.3">
      <c r="A144" s="79">
        <v>142</v>
      </c>
      <c r="B144" s="81" t="s">
        <v>60</v>
      </c>
      <c r="C144" s="82" t="s">
        <v>643</v>
      </c>
      <c r="D144" s="81" t="s">
        <v>63</v>
      </c>
      <c r="E144" s="79" t="s">
        <v>42</v>
      </c>
      <c r="F144" s="79" t="s">
        <v>69</v>
      </c>
      <c r="G144" s="83" t="s">
        <v>10</v>
      </c>
      <c r="H144" s="84">
        <v>46209</v>
      </c>
      <c r="I144" s="84">
        <v>46209</v>
      </c>
      <c r="J144" s="84">
        <v>46210</v>
      </c>
      <c r="K144" s="84">
        <v>46210</v>
      </c>
      <c r="L144" s="82" t="s">
        <v>646</v>
      </c>
      <c r="M144" s="84">
        <v>46209</v>
      </c>
    </row>
    <row r="145" spans="1:13" ht="27.6" hidden="1" x14ac:dyDescent="0.3">
      <c r="A145" s="79">
        <v>143</v>
      </c>
      <c r="B145" s="81" t="s">
        <v>60</v>
      </c>
      <c r="C145" s="82" t="s">
        <v>644</v>
      </c>
      <c r="D145" s="81" t="s">
        <v>63</v>
      </c>
      <c r="E145" s="79" t="s">
        <v>42</v>
      </c>
      <c r="F145" s="79" t="s">
        <v>69</v>
      </c>
      <c r="G145" s="83" t="s">
        <v>10</v>
      </c>
      <c r="H145" s="84">
        <v>46211</v>
      </c>
      <c r="I145" s="84">
        <v>46211</v>
      </c>
      <c r="J145" s="84">
        <v>46212</v>
      </c>
      <c r="K145" s="84">
        <v>46212</v>
      </c>
      <c r="L145" s="82" t="s">
        <v>647</v>
      </c>
      <c r="M145" s="84">
        <v>46209</v>
      </c>
    </row>
    <row r="146" spans="1:13" ht="27.6" hidden="1" x14ac:dyDescent="0.3">
      <c r="A146" s="79">
        <v>144</v>
      </c>
      <c r="B146" s="81" t="s">
        <v>60</v>
      </c>
      <c r="C146" s="82" t="s">
        <v>645</v>
      </c>
      <c r="D146" s="81" t="s">
        <v>63</v>
      </c>
      <c r="E146" s="79" t="s">
        <v>42</v>
      </c>
      <c r="F146" s="79" t="s">
        <v>69</v>
      </c>
      <c r="G146" s="90" t="s">
        <v>45</v>
      </c>
      <c r="H146" s="84">
        <v>46213</v>
      </c>
      <c r="I146" s="84">
        <v>46213</v>
      </c>
      <c r="J146" s="84"/>
      <c r="K146" s="84"/>
      <c r="L146" s="82" t="s">
        <v>648</v>
      </c>
      <c r="M146" s="84">
        <v>46209</v>
      </c>
    </row>
    <row r="147" spans="1:13" ht="41.4" hidden="1" x14ac:dyDescent="0.3">
      <c r="A147" s="73">
        <v>145</v>
      </c>
      <c r="B147" s="72" t="s">
        <v>46</v>
      </c>
      <c r="C147" s="74" t="s">
        <v>655</v>
      </c>
      <c r="D147" s="72" t="s">
        <v>72</v>
      </c>
      <c r="E147" s="71" t="s">
        <v>42</v>
      </c>
      <c r="F147" s="71" t="s">
        <v>47</v>
      </c>
      <c r="G147" s="90" t="s">
        <v>45</v>
      </c>
      <c r="H147" s="70">
        <v>46209</v>
      </c>
      <c r="I147" s="70">
        <v>46209</v>
      </c>
      <c r="J147" s="70"/>
      <c r="K147" s="70"/>
      <c r="L147" s="74" t="s">
        <v>655</v>
      </c>
      <c r="M147" s="70">
        <v>46209</v>
      </c>
    </row>
    <row r="148" spans="1:13" ht="41.4" hidden="1" x14ac:dyDescent="0.3">
      <c r="A148" s="73">
        <v>146</v>
      </c>
      <c r="B148" s="72" t="s">
        <v>46</v>
      </c>
      <c r="C148" s="74" t="s">
        <v>650</v>
      </c>
      <c r="D148" s="72" t="s">
        <v>72</v>
      </c>
      <c r="E148" s="71" t="s">
        <v>124</v>
      </c>
      <c r="F148" s="71" t="s">
        <v>47</v>
      </c>
      <c r="G148" s="90" t="s">
        <v>45</v>
      </c>
      <c r="H148" s="70">
        <v>46209</v>
      </c>
      <c r="I148" s="70">
        <v>46209</v>
      </c>
      <c r="J148" s="70"/>
      <c r="K148" s="70"/>
      <c r="L148" s="74" t="s">
        <v>650</v>
      </c>
      <c r="M148" s="70">
        <v>46209</v>
      </c>
    </row>
    <row r="149" spans="1:13" ht="41.4" hidden="1" x14ac:dyDescent="0.3">
      <c r="A149" s="73">
        <v>147</v>
      </c>
      <c r="B149" s="72" t="s">
        <v>46</v>
      </c>
      <c r="C149" s="74" t="s">
        <v>655</v>
      </c>
      <c r="D149" s="72" t="s">
        <v>72</v>
      </c>
      <c r="E149" s="71" t="s">
        <v>42</v>
      </c>
      <c r="F149" s="71" t="s">
        <v>47</v>
      </c>
      <c r="G149" s="90" t="s">
        <v>45</v>
      </c>
      <c r="H149" s="70">
        <v>46209</v>
      </c>
      <c r="I149" s="70">
        <v>46209</v>
      </c>
      <c r="J149" s="70"/>
      <c r="K149" s="70"/>
      <c r="L149" s="74" t="s">
        <v>655</v>
      </c>
      <c r="M149" s="70">
        <v>46216</v>
      </c>
    </row>
    <row r="150" spans="1:13" ht="41.4" hidden="1" x14ac:dyDescent="0.3">
      <c r="A150" s="73">
        <v>148</v>
      </c>
      <c r="B150" s="72" t="s">
        <v>46</v>
      </c>
      <c r="C150" s="74" t="s">
        <v>656</v>
      </c>
      <c r="D150" s="72" t="s">
        <v>72</v>
      </c>
      <c r="E150" s="71" t="s">
        <v>124</v>
      </c>
      <c r="F150" s="71" t="s">
        <v>47</v>
      </c>
      <c r="G150" s="83" t="s">
        <v>10</v>
      </c>
      <c r="H150" s="70">
        <v>46216</v>
      </c>
      <c r="I150" s="70">
        <v>46216</v>
      </c>
      <c r="J150" s="70">
        <v>46218</v>
      </c>
      <c r="K150" s="70">
        <v>46218</v>
      </c>
      <c r="L150" s="74" t="s">
        <v>656</v>
      </c>
      <c r="M150" s="70">
        <v>46216</v>
      </c>
    </row>
    <row r="151" spans="1:13" ht="41.4" hidden="1" x14ac:dyDescent="0.3">
      <c r="A151" s="73">
        <v>149</v>
      </c>
      <c r="B151" s="72" t="s">
        <v>46</v>
      </c>
      <c r="C151" s="74" t="s">
        <v>657</v>
      </c>
      <c r="D151" s="72" t="s">
        <v>72</v>
      </c>
      <c r="E151" s="71" t="s">
        <v>42</v>
      </c>
      <c r="F151" s="71" t="s">
        <v>47</v>
      </c>
      <c r="G151" s="83" t="s">
        <v>10</v>
      </c>
      <c r="H151" s="70">
        <v>46216</v>
      </c>
      <c r="I151" s="70">
        <v>46216</v>
      </c>
      <c r="J151" s="70">
        <v>46218</v>
      </c>
      <c r="K151" s="70">
        <v>46218</v>
      </c>
      <c r="L151" s="74" t="s">
        <v>669</v>
      </c>
      <c r="M151" s="70">
        <v>46216</v>
      </c>
    </row>
    <row r="152" spans="1:13" ht="27.6" hidden="1" x14ac:dyDescent="0.3">
      <c r="A152" s="79">
        <v>150</v>
      </c>
      <c r="B152" s="81" t="s">
        <v>60</v>
      </c>
      <c r="C152" s="82" t="s">
        <v>645</v>
      </c>
      <c r="D152" s="81" t="s">
        <v>63</v>
      </c>
      <c r="E152" s="79" t="s">
        <v>42</v>
      </c>
      <c r="F152" s="79" t="s">
        <v>69</v>
      </c>
      <c r="G152" s="83" t="s">
        <v>10</v>
      </c>
      <c r="H152" s="84">
        <v>46213</v>
      </c>
      <c r="I152" s="84">
        <v>46213</v>
      </c>
      <c r="J152" s="84">
        <v>46216</v>
      </c>
      <c r="K152" s="84">
        <v>46216</v>
      </c>
      <c r="L152" s="82" t="s">
        <v>666</v>
      </c>
      <c r="M152" s="84">
        <v>46216</v>
      </c>
    </row>
    <row r="153" spans="1:13" ht="27.6" hidden="1" x14ac:dyDescent="0.3">
      <c r="A153" s="79">
        <v>151</v>
      </c>
      <c r="B153" s="81" t="s">
        <v>60</v>
      </c>
      <c r="C153" s="82" t="s">
        <v>664</v>
      </c>
      <c r="D153" s="81" t="s">
        <v>63</v>
      </c>
      <c r="E153" s="79" t="s">
        <v>42</v>
      </c>
      <c r="F153" s="79" t="s">
        <v>69</v>
      </c>
      <c r="G153" s="83" t="s">
        <v>10</v>
      </c>
      <c r="H153" s="84">
        <v>46217</v>
      </c>
      <c r="I153" s="84">
        <v>46217</v>
      </c>
      <c r="J153" s="84">
        <v>46218</v>
      </c>
      <c r="K153" s="84">
        <v>46218</v>
      </c>
      <c r="L153" s="82" t="s">
        <v>667</v>
      </c>
      <c r="M153" s="84">
        <v>46216</v>
      </c>
    </row>
    <row r="154" spans="1:13" ht="27.6" hidden="1" x14ac:dyDescent="0.3">
      <c r="A154" s="79">
        <v>152</v>
      </c>
      <c r="B154" s="81" t="s">
        <v>60</v>
      </c>
      <c r="C154" s="82" t="s">
        <v>665</v>
      </c>
      <c r="D154" s="81" t="s">
        <v>63</v>
      </c>
      <c r="E154" s="79" t="s">
        <v>42</v>
      </c>
      <c r="F154" s="79" t="s">
        <v>69</v>
      </c>
      <c r="G154" s="83" t="s">
        <v>10</v>
      </c>
      <c r="H154" s="84">
        <v>46219</v>
      </c>
      <c r="I154" s="84">
        <v>46219</v>
      </c>
      <c r="J154" s="84">
        <v>46220</v>
      </c>
      <c r="K154" s="84">
        <v>46220</v>
      </c>
      <c r="L154" s="82" t="s">
        <v>668</v>
      </c>
      <c r="M154" s="84">
        <v>46216</v>
      </c>
    </row>
    <row r="155" spans="1:13" ht="27.6" hidden="1" x14ac:dyDescent="0.3">
      <c r="A155" s="79">
        <v>153</v>
      </c>
      <c r="B155" s="81" t="s">
        <v>60</v>
      </c>
      <c r="C155" s="82" t="s">
        <v>677</v>
      </c>
      <c r="D155" s="81" t="s">
        <v>63</v>
      </c>
      <c r="E155" s="79" t="s">
        <v>42</v>
      </c>
      <c r="F155" s="79" t="s">
        <v>69</v>
      </c>
      <c r="G155" s="83" t="s">
        <v>10</v>
      </c>
      <c r="H155" s="84">
        <v>46223</v>
      </c>
      <c r="I155" s="84">
        <v>46223</v>
      </c>
      <c r="J155" s="84">
        <v>46224</v>
      </c>
      <c r="K155" s="84">
        <v>46224</v>
      </c>
      <c r="L155" s="82" t="s">
        <v>680</v>
      </c>
      <c r="M155" s="84">
        <v>46223</v>
      </c>
    </row>
    <row r="156" spans="1:13" ht="27.6" hidden="1" x14ac:dyDescent="0.3">
      <c r="A156" s="79">
        <v>154</v>
      </c>
      <c r="B156" s="81" t="s">
        <v>60</v>
      </c>
      <c r="C156" s="82" t="s">
        <v>678</v>
      </c>
      <c r="D156" s="81" t="s">
        <v>63</v>
      </c>
      <c r="E156" s="79" t="s">
        <v>42</v>
      </c>
      <c r="F156" s="79" t="s">
        <v>69</v>
      </c>
      <c r="G156" s="83" t="s">
        <v>10</v>
      </c>
      <c r="H156" s="84">
        <v>46225</v>
      </c>
      <c r="I156" s="84">
        <v>46225</v>
      </c>
      <c r="J156" s="84">
        <v>46226</v>
      </c>
      <c r="K156" s="84">
        <v>46226</v>
      </c>
      <c r="L156" s="82" t="s">
        <v>681</v>
      </c>
      <c r="M156" s="84">
        <v>46223</v>
      </c>
    </row>
    <row r="157" spans="1:13" ht="27.6" hidden="1" x14ac:dyDescent="0.3">
      <c r="A157" s="79">
        <v>155</v>
      </c>
      <c r="B157" s="81" t="s">
        <v>60</v>
      </c>
      <c r="C157" s="82" t="s">
        <v>679</v>
      </c>
      <c r="D157" s="81" t="s">
        <v>63</v>
      </c>
      <c r="E157" s="79" t="s">
        <v>42</v>
      </c>
      <c r="F157" s="79" t="s">
        <v>69</v>
      </c>
      <c r="G157" s="90" t="s">
        <v>45</v>
      </c>
      <c r="H157" s="84">
        <v>46227</v>
      </c>
      <c r="I157" s="84">
        <v>46227</v>
      </c>
      <c r="J157" s="84"/>
      <c r="K157" s="84"/>
      <c r="L157" s="82" t="s">
        <v>682</v>
      </c>
      <c r="M157" s="84">
        <v>46223</v>
      </c>
    </row>
    <row r="158" spans="1:13" ht="48.6" hidden="1" x14ac:dyDescent="0.3">
      <c r="A158" s="73">
        <v>156</v>
      </c>
      <c r="B158" s="72" t="s">
        <v>46</v>
      </c>
      <c r="C158" s="30" t="s">
        <v>686</v>
      </c>
      <c r="D158" s="72" t="s">
        <v>72</v>
      </c>
      <c r="E158" s="71" t="s">
        <v>42</v>
      </c>
      <c r="F158" s="71" t="s">
        <v>47</v>
      </c>
      <c r="G158" s="83" t="s">
        <v>10</v>
      </c>
      <c r="H158" s="70">
        <v>46225</v>
      </c>
      <c r="I158" s="70">
        <v>46225</v>
      </c>
      <c r="J158" s="70">
        <v>46225</v>
      </c>
      <c r="K158" s="70">
        <v>46225</v>
      </c>
      <c r="L158" s="30" t="s">
        <v>687</v>
      </c>
      <c r="M158" s="70">
        <v>46223</v>
      </c>
    </row>
    <row r="159" spans="1:13" ht="41.4" hidden="1" x14ac:dyDescent="0.3">
      <c r="A159" s="73">
        <v>157</v>
      </c>
      <c r="B159" s="72" t="s">
        <v>46</v>
      </c>
      <c r="C159" s="74" t="s">
        <v>656</v>
      </c>
      <c r="D159" s="72" t="s">
        <v>72</v>
      </c>
      <c r="E159" s="71" t="s">
        <v>124</v>
      </c>
      <c r="F159" s="71" t="s">
        <v>47</v>
      </c>
      <c r="G159" s="83" t="s">
        <v>10</v>
      </c>
      <c r="H159" s="70">
        <v>46223</v>
      </c>
      <c r="I159" s="70">
        <v>46223</v>
      </c>
      <c r="J159" s="70">
        <v>46224</v>
      </c>
      <c r="K159" s="70">
        <v>46224</v>
      </c>
      <c r="L159" s="74" t="s">
        <v>656</v>
      </c>
      <c r="M159" s="70">
        <v>46223</v>
      </c>
    </row>
    <row r="160" spans="1:13" ht="27.6" hidden="1" x14ac:dyDescent="0.3">
      <c r="A160" s="79">
        <v>158</v>
      </c>
      <c r="B160" s="81" t="s">
        <v>60</v>
      </c>
      <c r="C160" s="82" t="s">
        <v>695</v>
      </c>
      <c r="D160" s="81" t="s">
        <v>63</v>
      </c>
      <c r="E160" s="79" t="s">
        <v>42</v>
      </c>
      <c r="F160" s="79" t="s">
        <v>69</v>
      </c>
      <c r="G160" s="83" t="s">
        <v>10</v>
      </c>
      <c r="H160" s="84">
        <v>46227</v>
      </c>
      <c r="I160" s="84">
        <v>46227</v>
      </c>
      <c r="J160" s="84">
        <v>46230</v>
      </c>
      <c r="K160" s="84">
        <v>46230</v>
      </c>
      <c r="L160" s="82" t="s">
        <v>682</v>
      </c>
      <c r="M160" s="84">
        <v>46230</v>
      </c>
    </row>
    <row r="161" spans="1:13" ht="27.6" hidden="1" x14ac:dyDescent="0.3">
      <c r="A161" s="79">
        <v>159</v>
      </c>
      <c r="B161" s="81" t="s">
        <v>60</v>
      </c>
      <c r="C161" s="82" t="s">
        <v>696</v>
      </c>
      <c r="D161" s="81" t="s">
        <v>63</v>
      </c>
      <c r="E161" s="79" t="s">
        <v>42</v>
      </c>
      <c r="F161" s="79" t="s">
        <v>69</v>
      </c>
      <c r="G161" s="83" t="s">
        <v>10</v>
      </c>
      <c r="H161" s="84">
        <v>46231</v>
      </c>
      <c r="I161" s="84">
        <v>46231</v>
      </c>
      <c r="J161" s="84">
        <v>46232</v>
      </c>
      <c r="K161" s="84">
        <v>46232</v>
      </c>
      <c r="L161" s="82" t="s">
        <v>698</v>
      </c>
      <c r="M161" s="84">
        <v>46230</v>
      </c>
    </row>
    <row r="162" spans="1:13" ht="27.6" hidden="1" x14ac:dyDescent="0.3">
      <c r="A162" s="79">
        <v>160</v>
      </c>
      <c r="B162" s="81" t="s">
        <v>60</v>
      </c>
      <c r="C162" s="82" t="s">
        <v>697</v>
      </c>
      <c r="D162" s="81" t="s">
        <v>63</v>
      </c>
      <c r="E162" s="79" t="s">
        <v>42</v>
      </c>
      <c r="F162" s="79" t="s">
        <v>69</v>
      </c>
      <c r="G162" s="90" t="s">
        <v>45</v>
      </c>
      <c r="H162" s="84">
        <v>46233</v>
      </c>
      <c r="I162" s="84">
        <v>46233</v>
      </c>
      <c r="J162" s="84"/>
      <c r="K162" s="84"/>
      <c r="L162" s="82" t="s">
        <v>699</v>
      </c>
      <c r="M162" s="84">
        <v>46230</v>
      </c>
    </row>
    <row r="163" spans="1:13" ht="28.95" hidden="1" customHeight="1" x14ac:dyDescent="0.3">
      <c r="A163" s="79">
        <v>161</v>
      </c>
      <c r="B163" s="81" t="s">
        <v>60</v>
      </c>
      <c r="C163" s="82" t="s">
        <v>692</v>
      </c>
      <c r="D163" s="81" t="s">
        <v>63</v>
      </c>
      <c r="E163" s="79" t="s">
        <v>42</v>
      </c>
      <c r="F163" s="79" t="s">
        <v>69</v>
      </c>
      <c r="G163" s="90" t="s">
        <v>45</v>
      </c>
      <c r="H163" s="84">
        <v>46234</v>
      </c>
      <c r="I163" s="84">
        <v>46234</v>
      </c>
      <c r="J163" s="84"/>
      <c r="K163" s="84"/>
      <c r="L163" s="82" t="s">
        <v>692</v>
      </c>
      <c r="M163" s="84">
        <v>46230</v>
      </c>
    </row>
    <row r="164" spans="1:13" ht="41.4" hidden="1" x14ac:dyDescent="0.3">
      <c r="A164" s="73">
        <v>162</v>
      </c>
      <c r="B164" s="72" t="s">
        <v>46</v>
      </c>
      <c r="C164" s="30" t="s">
        <v>703</v>
      </c>
      <c r="D164" s="72" t="s">
        <v>72</v>
      </c>
      <c r="E164" s="71" t="s">
        <v>42</v>
      </c>
      <c r="F164" s="71" t="s">
        <v>47</v>
      </c>
      <c r="G164" s="83" t="s">
        <v>10</v>
      </c>
      <c r="H164" s="70">
        <v>46232</v>
      </c>
      <c r="I164" s="70">
        <v>46232</v>
      </c>
      <c r="J164" s="70">
        <v>46232</v>
      </c>
      <c r="K164" s="70">
        <v>46232</v>
      </c>
      <c r="L164" s="30" t="s">
        <v>701</v>
      </c>
      <c r="M164" s="70">
        <v>46230</v>
      </c>
    </row>
    <row r="165" spans="1:13" ht="41.4" hidden="1" x14ac:dyDescent="0.3">
      <c r="A165" s="73">
        <v>163</v>
      </c>
      <c r="B165" s="72" t="s">
        <v>46</v>
      </c>
      <c r="C165" s="74" t="s">
        <v>656</v>
      </c>
      <c r="D165" s="72" t="s">
        <v>72</v>
      </c>
      <c r="E165" s="71" t="s">
        <v>124</v>
      </c>
      <c r="F165" s="71" t="s">
        <v>47</v>
      </c>
      <c r="G165" s="83" t="s">
        <v>10</v>
      </c>
      <c r="H165" s="70">
        <v>46230</v>
      </c>
      <c r="I165" s="70">
        <v>46230</v>
      </c>
      <c r="J165" s="70">
        <v>46231</v>
      </c>
      <c r="K165" s="70">
        <v>46231</v>
      </c>
      <c r="L165" s="74" t="s">
        <v>656</v>
      </c>
      <c r="M165" s="70">
        <v>46230</v>
      </c>
    </row>
    <row r="166" spans="1:13" ht="72.599999999999994" hidden="1" x14ac:dyDescent="0.3">
      <c r="A166" s="73">
        <v>164</v>
      </c>
      <c r="B166" s="72" t="s">
        <v>46</v>
      </c>
      <c r="C166" s="30" t="s">
        <v>712</v>
      </c>
      <c r="D166" s="72" t="s">
        <v>72</v>
      </c>
      <c r="E166" s="71" t="s">
        <v>42</v>
      </c>
      <c r="F166" s="71" t="s">
        <v>47</v>
      </c>
      <c r="G166" s="83" t="s">
        <v>10</v>
      </c>
      <c r="H166" s="70">
        <v>46238</v>
      </c>
      <c r="I166" s="70">
        <v>46238</v>
      </c>
      <c r="J166" s="70">
        <v>46238</v>
      </c>
      <c r="K166" s="70">
        <v>46238</v>
      </c>
      <c r="L166" s="30" t="s">
        <v>707</v>
      </c>
      <c r="M166" s="70">
        <v>46237</v>
      </c>
    </row>
    <row r="167" spans="1:13" ht="72.599999999999994" hidden="1" x14ac:dyDescent="0.3">
      <c r="A167" s="73">
        <v>165</v>
      </c>
      <c r="B167" s="72" t="s">
        <v>46</v>
      </c>
      <c r="C167" s="30" t="s">
        <v>713</v>
      </c>
      <c r="D167" s="72" t="s">
        <v>72</v>
      </c>
      <c r="E167" s="71" t="s">
        <v>42</v>
      </c>
      <c r="F167" s="71" t="s">
        <v>47</v>
      </c>
      <c r="G167" s="83" t="s">
        <v>10</v>
      </c>
      <c r="H167" s="70">
        <v>46239</v>
      </c>
      <c r="I167" s="70">
        <v>46239</v>
      </c>
      <c r="J167" s="70">
        <v>46239</v>
      </c>
      <c r="K167" s="70">
        <v>46239</v>
      </c>
      <c r="L167" s="30" t="s">
        <v>708</v>
      </c>
      <c r="M167" s="70">
        <v>46237</v>
      </c>
    </row>
    <row r="168" spans="1:13" ht="72.599999999999994" hidden="1" x14ac:dyDescent="0.3">
      <c r="A168" s="73">
        <v>166</v>
      </c>
      <c r="B168" s="72" t="s">
        <v>46</v>
      </c>
      <c r="C168" s="30" t="s">
        <v>714</v>
      </c>
      <c r="D168" s="72" t="s">
        <v>72</v>
      </c>
      <c r="E168" s="71" t="s">
        <v>42</v>
      </c>
      <c r="F168" s="71" t="s">
        <v>47</v>
      </c>
      <c r="G168" s="83" t="s">
        <v>10</v>
      </c>
      <c r="H168" s="70">
        <v>46240</v>
      </c>
      <c r="I168" s="70">
        <v>46240</v>
      </c>
      <c r="J168" s="70">
        <v>46240</v>
      </c>
      <c r="K168" s="70">
        <v>46240</v>
      </c>
      <c r="L168" s="30" t="s">
        <v>709</v>
      </c>
      <c r="M168" s="70">
        <v>46237</v>
      </c>
    </row>
    <row r="169" spans="1:13" ht="41.4" hidden="1" x14ac:dyDescent="0.3">
      <c r="A169" s="73">
        <v>167</v>
      </c>
      <c r="B169" s="72" t="s">
        <v>46</v>
      </c>
      <c r="C169" s="74" t="s">
        <v>656</v>
      </c>
      <c r="D169" s="72" t="s">
        <v>72</v>
      </c>
      <c r="E169" s="71" t="s">
        <v>124</v>
      </c>
      <c r="F169" s="71" t="s">
        <v>47</v>
      </c>
      <c r="G169" s="83" t="s">
        <v>10</v>
      </c>
      <c r="H169" s="70">
        <v>46237</v>
      </c>
      <c r="I169" s="70">
        <v>46237</v>
      </c>
      <c r="J169" s="70">
        <v>46238</v>
      </c>
      <c r="K169" s="70">
        <v>46238</v>
      </c>
      <c r="L169" s="74" t="s">
        <v>656</v>
      </c>
      <c r="M169" s="70">
        <v>46237</v>
      </c>
    </row>
    <row r="170" spans="1:13" ht="27.6" hidden="1" x14ac:dyDescent="0.3">
      <c r="A170" s="79">
        <v>168</v>
      </c>
      <c r="B170" s="81" t="s">
        <v>60</v>
      </c>
      <c r="C170" s="82" t="s">
        <v>721</v>
      </c>
      <c r="D170" s="81" t="s">
        <v>63</v>
      </c>
      <c r="E170" s="79" t="s">
        <v>42</v>
      </c>
      <c r="F170" s="79" t="s">
        <v>69</v>
      </c>
      <c r="G170" s="83" t="s">
        <v>10</v>
      </c>
      <c r="H170" s="84">
        <v>46233</v>
      </c>
      <c r="I170" s="84">
        <v>46233</v>
      </c>
      <c r="J170" s="84">
        <v>46237</v>
      </c>
      <c r="K170" s="84">
        <v>46237</v>
      </c>
      <c r="L170" s="82" t="s">
        <v>699</v>
      </c>
      <c r="M170" s="84">
        <v>46237</v>
      </c>
    </row>
    <row r="171" spans="1:13" ht="27.6" hidden="1" x14ac:dyDescent="0.3">
      <c r="A171" s="79">
        <v>169</v>
      </c>
      <c r="B171" s="81" t="s">
        <v>60</v>
      </c>
      <c r="C171" s="82" t="s">
        <v>722</v>
      </c>
      <c r="D171" s="81" t="s">
        <v>63</v>
      </c>
      <c r="E171" s="79" t="s">
        <v>42</v>
      </c>
      <c r="F171" s="79" t="s">
        <v>69</v>
      </c>
      <c r="G171" s="83" t="s">
        <v>10</v>
      </c>
      <c r="H171" s="84">
        <v>46239</v>
      </c>
      <c r="I171" s="84">
        <v>46239</v>
      </c>
      <c r="J171" s="84">
        <v>46240</v>
      </c>
      <c r="K171" s="84">
        <v>46240</v>
      </c>
      <c r="L171" s="82" t="s">
        <v>723</v>
      </c>
      <c r="M171" s="84">
        <v>46237</v>
      </c>
    </row>
    <row r="172" spans="1:13" ht="41.4" hidden="1" x14ac:dyDescent="0.3">
      <c r="A172" s="79">
        <v>170</v>
      </c>
      <c r="B172" s="81" t="s">
        <v>60</v>
      </c>
      <c r="C172" s="82" t="s">
        <v>724</v>
      </c>
      <c r="D172" s="81" t="s">
        <v>63</v>
      </c>
      <c r="E172" s="79" t="s">
        <v>42</v>
      </c>
      <c r="F172" s="79" t="s">
        <v>69</v>
      </c>
      <c r="G172" s="90" t="s">
        <v>45</v>
      </c>
      <c r="H172" s="84">
        <v>46234</v>
      </c>
      <c r="I172" s="84">
        <v>46234</v>
      </c>
      <c r="J172" s="84"/>
      <c r="K172" s="84"/>
      <c r="L172" s="82" t="s">
        <v>725</v>
      </c>
      <c r="M172" s="84">
        <v>46237</v>
      </c>
    </row>
    <row r="173" spans="1:13" ht="27.6" x14ac:dyDescent="0.3">
      <c r="A173" s="79">
        <v>171</v>
      </c>
      <c r="B173" s="81" t="s">
        <v>60</v>
      </c>
      <c r="C173" s="82" t="s">
        <v>730</v>
      </c>
      <c r="D173" s="81" t="s">
        <v>63</v>
      </c>
      <c r="E173" s="79" t="s">
        <v>42</v>
      </c>
      <c r="F173" s="79" t="s">
        <v>69</v>
      </c>
      <c r="G173" s="83" t="s">
        <v>10</v>
      </c>
      <c r="H173" s="84">
        <v>46244</v>
      </c>
      <c r="I173" s="84">
        <v>46244</v>
      </c>
      <c r="J173" s="84">
        <v>46245</v>
      </c>
      <c r="K173" s="84">
        <v>46245</v>
      </c>
      <c r="L173" s="82" t="s">
        <v>731</v>
      </c>
      <c r="M173" s="84">
        <v>46244</v>
      </c>
    </row>
    <row r="174" spans="1:13" ht="27.6" x14ac:dyDescent="0.3">
      <c r="A174" s="79">
        <v>172</v>
      </c>
      <c r="B174" s="81" t="s">
        <v>60</v>
      </c>
      <c r="C174" s="82" t="s">
        <v>733</v>
      </c>
      <c r="D174" s="81" t="s">
        <v>63</v>
      </c>
      <c r="E174" s="79" t="s">
        <v>42</v>
      </c>
      <c r="F174" s="79" t="s">
        <v>69</v>
      </c>
      <c r="G174" s="83" t="s">
        <v>10</v>
      </c>
      <c r="H174" s="84">
        <v>46247</v>
      </c>
      <c r="I174" s="84">
        <v>46247</v>
      </c>
      <c r="J174" s="84">
        <v>46248</v>
      </c>
      <c r="K174" s="84">
        <v>46248</v>
      </c>
      <c r="L174" s="82" t="s">
        <v>732</v>
      </c>
      <c r="M174" s="84">
        <v>46244</v>
      </c>
    </row>
  </sheetData>
  <autoFilter ref="A1:M174" xr:uid="{00000000-0009-0000-0000-000002000000}">
    <filterColumn colId="12">
      <filters>
        <dateGroupItem year="2026" month="8" day="10" dateTimeGrouping="day"/>
      </filters>
    </filterColumn>
    <sortState xmlns:xlrd2="http://schemas.microsoft.com/office/spreadsheetml/2017/richdata2" ref="A73:M76">
      <sortCondition ref="M1:M76"/>
    </sortState>
  </autoFilter>
  <sortState xmlns:xlrd2="http://schemas.microsoft.com/office/spreadsheetml/2017/richdata2" ref="A2:O13">
    <sortCondition ref="H2:H13"/>
  </sortState>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0000000}">
          <x14:formula1>
            <xm:f>Calc!$T$3:$T$8</xm:f>
          </x14:formula1>
          <xm:sqref>D1 D175:D1048576</xm:sqref>
        </x14:dataValidation>
        <x14:dataValidation type="list" allowBlank="1" showInputMessage="1" showErrorMessage="1" xr:uid="{00000000-0002-0000-0200-000001000000}">
          <x14:formula1>
            <xm:f>'C:\Users\Susmitha.Donthi\AppData\Local\Microsoft\Windows\INetCache\Content.Outlook\5RMR2AEN\[Sky Martech - Consent Management  Cookie Remediation - RU (20th October - 24th October).xlsx]Calc'!#REF!</xm:f>
          </x14:formula1>
          <xm:sqref>D3:D8 D10 D12:D14 D18:D20 D24:D26 D29:D32 D35:D38 D43:D45 D49:D51 D55:D57 D61:D63 D67:D69 D73:D74 D77:D79 D83:D84 D88:D90 D95:D101 D105:D107 D110:D112 D115:D117 D121:D122 D126:D128</xm:sqref>
        </x14:dataValidation>
        <x14:dataValidation type="list" allowBlank="1" showInputMessage="1" showErrorMessage="1" xr:uid="{00000000-0002-0000-0200-000002000000}">
          <x14:formula1>
            <xm:f>Calc!$U$14:$U$22</xm:f>
          </x14:formula1>
          <xm:sqref>D2 D9 D11 D15:D17 D21:D23 D27:D28 D33:D34 D39:D42 D46:D48 D52:D54 D58:D60 D64:D66 D70:D72 D75:D76 D80:D82 D85:D87 D91:D94 D102:D104 D108:D109 D113:D114 D118:D120 D123:D126 D129:D130 D133:D135 D138:D139 D142:D143 D147:D151 D158:D159 D164:D169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2"/>
  <sheetViews>
    <sheetView topLeftCell="C1" workbookViewId="0">
      <selection activeCell="E4" sqref="E4"/>
    </sheetView>
  </sheetViews>
  <sheetFormatPr defaultRowHeight="14.4" x14ac:dyDescent="0.3"/>
  <cols>
    <col min="1" max="1" width="12.44140625" bestFit="1" customWidth="1"/>
    <col min="2" max="2" width="24.109375" customWidth="1"/>
    <col min="4" max="5" width="23" bestFit="1" customWidth="1"/>
    <col min="6" max="6" width="23.88671875" bestFit="1" customWidth="1"/>
    <col min="8" max="8" width="9.77734375" bestFit="1" customWidth="1"/>
    <col min="9" max="9" width="10.5546875" customWidth="1"/>
    <col min="11" max="11" width="10.5546875" customWidth="1"/>
    <col min="12" max="12" width="9.5546875" bestFit="1" customWidth="1"/>
    <col min="13" max="13" width="10.5546875" customWidth="1"/>
    <col min="14" max="14" width="9.5546875" bestFit="1" customWidth="1"/>
    <col min="17" max="17" width="34.21875" bestFit="1" customWidth="1"/>
    <col min="18" max="18" width="7.77734375" customWidth="1"/>
    <col min="21" max="21" width="30" bestFit="1" customWidth="1"/>
    <col min="22" max="22" width="7.77734375" customWidth="1"/>
    <col min="25" max="25" width="34.21875" bestFit="1" customWidth="1"/>
  </cols>
  <sheetData>
    <row r="1" spans="1:25" x14ac:dyDescent="0.3">
      <c r="A1" s="18" t="s">
        <v>27</v>
      </c>
      <c r="B1" s="19">
        <f>NETWORKDAYS(E11,F11,$A$2:$A$20)</f>
        <v>5</v>
      </c>
      <c r="I1" s="125" t="s">
        <v>53</v>
      </c>
      <c r="J1" s="126"/>
      <c r="K1" s="125" t="s">
        <v>60</v>
      </c>
      <c r="L1" s="126"/>
      <c r="M1" s="125" t="s">
        <v>46</v>
      </c>
      <c r="N1" s="126"/>
      <c r="P1" s="124" t="s">
        <v>60</v>
      </c>
      <c r="Q1" s="124"/>
      <c r="R1" s="124"/>
      <c r="S1" s="38"/>
      <c r="T1" s="124" t="s">
        <v>46</v>
      </c>
      <c r="U1" s="124"/>
      <c r="V1" s="124"/>
    </row>
    <row r="2" spans="1:25" ht="15" thickBot="1" x14ac:dyDescent="0.35">
      <c r="A2" s="20">
        <v>46023</v>
      </c>
      <c r="B2" s="89" t="s">
        <v>82</v>
      </c>
      <c r="D2" s="46" t="s">
        <v>17</v>
      </c>
      <c r="E2" s="46" t="s">
        <v>18</v>
      </c>
      <c r="F2" s="46" t="s">
        <v>19</v>
      </c>
      <c r="G2" s="46" t="s">
        <v>22</v>
      </c>
      <c r="H2" s="46" t="s">
        <v>21</v>
      </c>
      <c r="I2" s="47" t="s">
        <v>23</v>
      </c>
      <c r="J2" s="48" t="s">
        <v>24</v>
      </c>
      <c r="K2" s="47" t="s">
        <v>23</v>
      </c>
      <c r="L2" s="48" t="s">
        <v>24</v>
      </c>
      <c r="M2" s="47" t="s">
        <v>23</v>
      </c>
      <c r="N2" s="48" t="s">
        <v>24</v>
      </c>
      <c r="P2" s="40" t="s">
        <v>32</v>
      </c>
      <c r="Q2" s="39" t="s">
        <v>31</v>
      </c>
      <c r="R2" s="39" t="s">
        <v>23</v>
      </c>
      <c r="T2" s="41" t="s">
        <v>32</v>
      </c>
      <c r="U2" s="42" t="s">
        <v>31</v>
      </c>
      <c r="V2" s="42" t="s">
        <v>23</v>
      </c>
      <c r="Y2" s="38" t="s">
        <v>66</v>
      </c>
    </row>
    <row r="3" spans="1:25" x14ac:dyDescent="0.3">
      <c r="A3" s="20">
        <v>46037</v>
      </c>
      <c r="B3" s="89" t="s">
        <v>116</v>
      </c>
      <c r="D3" s="9" t="str">
        <f>"("&amp;TEXT(E3,"dd-mmm-yy") &amp; " To " &amp;TEXT(E3+4,"dd-mmm-yy")&amp;")"</f>
        <v>(27-Jul-26 To 31-Jul-26)</v>
      </c>
      <c r="E3" s="10">
        <v>46230</v>
      </c>
      <c r="F3" s="9">
        <f>E3+5</f>
        <v>46235</v>
      </c>
      <c r="G3" s="13">
        <v>2</v>
      </c>
      <c r="H3" s="13">
        <f t="shared" ref="H3:H9" si="0">NETWORKDAYS(E3,F3,$A$2:$A$20)</f>
        <v>5</v>
      </c>
      <c r="I3" s="43">
        <f>(SUMIFS(Total_Minutes_Worked,DA!$G:$G,"&gt;="&amp;Calc!E3,DA!$G:$G,"&lt;="&amp;Calc!F3)/60)/(G3*8*H3)</f>
        <v>0.82499999999999996</v>
      </c>
      <c r="J3" s="44" t="s">
        <v>25</v>
      </c>
      <c r="K3" s="43">
        <f>(SUMIFS(Total_Minutes_Worked,DA!$G:$G,"&gt;="&amp;Calc!E3,DA!$G:$G,"&lt;="&amp;Calc!F3,DA!$A:$A,$K$1)/60)/((G3/2)*8*H3)</f>
        <v>1.05</v>
      </c>
      <c r="L3" s="44" t="s">
        <v>25</v>
      </c>
      <c r="M3" s="43">
        <f>(SUMIFS(Total_Minutes_Worked,DA!$G:$G,"&gt;="&amp;Calc!E3,DA!$G:$G,"&lt;="&amp;Calc!F3,DA!$A:$A,$M$1)/60)/((G3/2)*8*H3)</f>
        <v>0.6</v>
      </c>
      <c r="N3" s="44" t="s">
        <v>25</v>
      </c>
      <c r="P3" s="49">
        <f>IF(R3="","",RANK(R3,$R$3:$R$11)+COUNTIF(R$3:R3,R3)-1)</f>
        <v>3</v>
      </c>
      <c r="Q3" s="49" t="s">
        <v>63</v>
      </c>
      <c r="R3" s="50">
        <f>(SUMIFS(Total_Minutes_Worked,DA!$G:$G,"&gt;="&amp;Calc!$E$11,DA!$G:$G,"&lt;="&amp;Calc!$F$11,DA!$C:$C,Calc!$Q3)/60)/(($G$11/2)*8*$H$11)</f>
        <v>0</v>
      </c>
      <c r="T3" s="49">
        <f>IF(V3="","",RANK(V3,$V$3:$V$11)+COUNTIF(V$3:V3,V3)-1)</f>
        <v>1</v>
      </c>
      <c r="U3" s="49" t="s">
        <v>48</v>
      </c>
      <c r="V3" s="50">
        <f>(SUMIFS(Total_Minutes_Worked,DA!$G:$G,"&gt;="&amp;Calc!$E$11,DA!$G:$G,"&lt;="&amp;Calc!$F$11,DA!$C:$C,Calc!$U3)/60)/(($G$11/2)*8*$H$11)</f>
        <v>0</v>
      </c>
      <c r="Y3" t="s">
        <v>64</v>
      </c>
    </row>
    <row r="4" spans="1:25" x14ac:dyDescent="0.3">
      <c r="A4" s="20">
        <v>46048</v>
      </c>
      <c r="B4" s="89" t="s">
        <v>83</v>
      </c>
      <c r="D4" s="9" t="str">
        <f t="shared" ref="D4:D9" si="1">"("&amp;TEXT(E4,"dd-mmm-yy") &amp; " To " &amp;TEXT(E4+4,"dd-mmm-yy")&amp;")"</f>
        <v>(03-Aug-26 To 07-Aug-26)</v>
      </c>
      <c r="E4" s="9">
        <f>E3+7</f>
        <v>46237</v>
      </c>
      <c r="F4" s="9">
        <f t="shared" ref="F4:F9" si="2">E4+5</f>
        <v>46242</v>
      </c>
      <c r="G4" s="13">
        <v>2</v>
      </c>
      <c r="H4" s="13">
        <f t="shared" si="0"/>
        <v>5</v>
      </c>
      <c r="I4" s="43">
        <f>(SUMIFS(Total_Minutes_Worked,DA!$G:$G,"&gt;="&amp;Calc!E4,DA!$G:$G,"&lt;="&amp;Calc!F4)/60)/(G4*8*H4)</f>
        <v>1.01875</v>
      </c>
      <c r="J4" s="45">
        <f>I4-I3</f>
        <v>0.19375000000000009</v>
      </c>
      <c r="K4" s="43">
        <f>(SUMIFS(Total_Minutes_Worked,DA!$G:$G,"&gt;="&amp;Calc!E4,DA!$G:$G,"&lt;="&amp;Calc!F4,DA!$A:$A,$K$1)/60)/((G4/2)*8*H4)</f>
        <v>1.0249999999999999</v>
      </c>
      <c r="L4" s="45">
        <f>K4-K3</f>
        <v>-2.5000000000000133E-2</v>
      </c>
      <c r="M4" s="43">
        <f>(SUMIFS(Total_Minutes_Worked,DA!$G:$G,"&gt;="&amp;Calc!E4,DA!$G:$G,"&lt;="&amp;Calc!F4,DA!$A:$A,$M$1)/60)/((G4/2)*8*H4)</f>
        <v>1.0125</v>
      </c>
      <c r="N4" s="45">
        <f>M4-M3</f>
        <v>0.41249999999999998</v>
      </c>
      <c r="P4" s="51">
        <f>IF(R4="","",RANK(R4,$R$3:$R$11)+COUNTIF(R$3:R4,R4)-1)</f>
        <v>2</v>
      </c>
      <c r="Q4" s="51" t="s">
        <v>65</v>
      </c>
      <c r="R4" s="50">
        <f>(SUMIFS(Total_Minutes_Worked,DA!$G:$G,"&gt;="&amp;Calc!$E$11,DA!$G:$G,"&lt;="&amp;Calc!$F$11,DA!$C:$C,Calc!$Q4)/60)/(($G$11/2)*8*$H$11)</f>
        <v>0.05</v>
      </c>
      <c r="T4" s="51">
        <f>IF(V4="","",RANK(V4,$V$3:$V$11)+COUNTIF(V$3:V4,V4)-1)</f>
        <v>2</v>
      </c>
      <c r="U4" s="51" t="s">
        <v>51</v>
      </c>
      <c r="V4" s="50">
        <f>(SUMIFS(Total_Minutes_Worked,DA!$G:$G,"&gt;="&amp;Calc!$E$11,DA!$G:$G,"&lt;="&amp;Calc!$F$11,DA!$C:$C,Calc!$U4)/60)/(($G$11/2)*8*$H$11)</f>
        <v>0</v>
      </c>
      <c r="Y4" t="s">
        <v>65</v>
      </c>
    </row>
    <row r="5" spans="1:25" x14ac:dyDescent="0.3">
      <c r="A5" s="20">
        <v>46084</v>
      </c>
      <c r="B5" s="89" t="s">
        <v>28</v>
      </c>
      <c r="D5" s="9" t="str">
        <f t="shared" si="1"/>
        <v>(10-Aug-26 To 14-Aug-26)</v>
      </c>
      <c r="E5" s="9">
        <f t="shared" ref="E5:E9" si="3">E4+7</f>
        <v>46244</v>
      </c>
      <c r="F5" s="9">
        <f t="shared" si="2"/>
        <v>46249</v>
      </c>
      <c r="G5" s="13">
        <v>2</v>
      </c>
      <c r="H5" s="13">
        <f t="shared" si="0"/>
        <v>5</v>
      </c>
      <c r="I5" s="43">
        <f>(SUMIFS(Total_Minutes_Worked,DA!$G:$G,"&gt;="&amp;Calc!E5,DA!$G:$G,"&lt;="&amp;Calc!F5)/60)/(G5*8*H5)</f>
        <v>0.42499999999999999</v>
      </c>
      <c r="J5" s="45">
        <f t="shared" ref="J5:N9" si="4">I5-I4</f>
        <v>-0.59375</v>
      </c>
      <c r="K5" s="43">
        <f>(SUMIFS(Total_Minutes_Worked,DA!$G:$G,"&gt;="&amp;Calc!E5,DA!$G:$G,"&lt;="&amp;Calc!F5,DA!$A:$A,$K$1)/60)/((G5/2)*8*H5)</f>
        <v>0.85</v>
      </c>
      <c r="L5" s="45">
        <f t="shared" si="4"/>
        <v>-0.17499999999999993</v>
      </c>
      <c r="M5" s="43">
        <f>(SUMIFS(Total_Minutes_Worked,DA!$G:$G,"&gt;="&amp;Calc!E5,DA!$G:$G,"&lt;="&amp;Calc!F5,DA!$A:$A,$M$1)/60)/((G5/2)*8*H5)</f>
        <v>0</v>
      </c>
      <c r="N5" s="45">
        <f t="shared" si="4"/>
        <v>-1.0125</v>
      </c>
      <c r="P5" s="51">
        <f>IF(R5="","",RANK(R5,$R$3:$R$11)+COUNTIF(R$3:R5,R5)-1)</f>
        <v>4</v>
      </c>
      <c r="Q5" s="51" t="s">
        <v>68</v>
      </c>
      <c r="R5" s="50">
        <f>(SUMIFS(Total_Minutes_Worked,DA!$G:$G,"&gt;="&amp;Calc!$E$11,DA!$G:$G,"&lt;="&amp;Calc!$F$11,DA!$C:$C,Calc!$Q5)/60)/(($G$11/2)*8*$H$11)</f>
        <v>0</v>
      </c>
      <c r="T5" s="51">
        <f>IF(V5="","",RANK(V5,$V$3:$V$11)+COUNTIF(V$3:V5,V5)-1)</f>
        <v>3</v>
      </c>
      <c r="U5" s="51" t="s">
        <v>49</v>
      </c>
      <c r="V5" s="50">
        <f>(SUMIFS(Total_Minutes_Worked,DA!$G:$G,"&gt;="&amp;Calc!$E$11,DA!$G:$G,"&lt;="&amp;Calc!$F$11,DA!$C:$C,Calc!$U5)/60)/(($G$11/2)*8*$H$11)</f>
        <v>0</v>
      </c>
      <c r="Y5" s="51" t="s">
        <v>63</v>
      </c>
    </row>
    <row r="6" spans="1:25" x14ac:dyDescent="0.3">
      <c r="A6" s="20">
        <v>46101</v>
      </c>
      <c r="B6" s="89" t="s">
        <v>84</v>
      </c>
      <c r="D6" s="9" t="str">
        <f t="shared" si="1"/>
        <v>(17-Aug-26 To 21-Aug-26)</v>
      </c>
      <c r="E6" s="9">
        <f t="shared" si="3"/>
        <v>46251</v>
      </c>
      <c r="F6" s="9">
        <f t="shared" si="2"/>
        <v>46256</v>
      </c>
      <c r="G6" s="13">
        <v>2</v>
      </c>
      <c r="H6" s="13">
        <f t="shared" si="0"/>
        <v>5</v>
      </c>
      <c r="I6" s="43">
        <f>(SUMIFS(Total_Minutes_Worked,DA!$G:$G,"&gt;="&amp;Calc!E6,DA!$G:$G,"&lt;="&amp;Calc!F6)/60)/(G6*8*H6)</f>
        <v>0</v>
      </c>
      <c r="J6" s="45">
        <f t="shared" si="4"/>
        <v>-0.42499999999999999</v>
      </c>
      <c r="K6" s="43">
        <f>(SUMIFS(Total_Minutes_Worked,DA!$G:$G,"&gt;="&amp;Calc!E6,DA!$G:$G,"&lt;="&amp;Calc!F6,DA!$A:$A,$K$1)/60)/((G6/2)*8*H6)</f>
        <v>0</v>
      </c>
      <c r="L6" s="45">
        <f t="shared" si="4"/>
        <v>-0.85</v>
      </c>
      <c r="M6" s="43">
        <f>(SUMIFS(Total_Minutes_Worked,DA!$G:$G,"&gt;="&amp;Calc!E6,DA!$G:$G,"&lt;="&amp;Calc!F6,DA!$A:$A,$M$1)/60)/((G6/2)*8*H6)</f>
        <v>0</v>
      </c>
      <c r="N6" s="45">
        <f t="shared" si="4"/>
        <v>0</v>
      </c>
      <c r="P6" s="51">
        <f>IF(R6="","",RANK(R6,$R$3:$R$11)+COUNTIF(R$3:R6,R6)-1)</f>
        <v>1</v>
      </c>
      <c r="Q6" s="51" t="s">
        <v>64</v>
      </c>
      <c r="R6" s="50">
        <f>(SUMIFS(Total_Minutes_Worked,DA!$G:$G,"&gt;="&amp;Calc!$E$11,DA!$G:$G,"&lt;="&amp;Calc!$F$11,DA!$C:$C,Calc!$Q6)/60)/(($G$11/2)*8*$H$11)</f>
        <v>0.8</v>
      </c>
      <c r="T6" s="51">
        <f>IF(V6="","",RANK(V6,$V$3:$V$11)+COUNTIF(V$3:V6,V6)-1)</f>
        <v>4</v>
      </c>
      <c r="U6" s="51" t="s">
        <v>57</v>
      </c>
      <c r="V6" s="50">
        <f>(SUMIFS(Total_Minutes_Worked,DA!$G:$G,"&gt;="&amp;Calc!$E$11,DA!$G:$G,"&lt;="&amp;Calc!$F$11,DA!$C:$C,Calc!$U6)/60)/(($G$11/2)*8*$H$11)</f>
        <v>0</v>
      </c>
      <c r="Y6" t="s">
        <v>50</v>
      </c>
    </row>
    <row r="7" spans="1:25" x14ac:dyDescent="0.3">
      <c r="A7" s="20">
        <v>46115</v>
      </c>
      <c r="B7" s="89" t="s">
        <v>43</v>
      </c>
      <c r="D7" s="9" t="str">
        <f t="shared" si="1"/>
        <v>(24-Aug-26 To 28-Aug-26)</v>
      </c>
      <c r="E7" s="9">
        <f t="shared" si="3"/>
        <v>46258</v>
      </c>
      <c r="F7" s="9">
        <f t="shared" si="2"/>
        <v>46263</v>
      </c>
      <c r="G7" s="13">
        <v>2</v>
      </c>
      <c r="H7" s="13">
        <f t="shared" si="0"/>
        <v>5</v>
      </c>
      <c r="I7" s="43">
        <f>(SUMIFS(Total_Minutes_Worked,DA!$G:$G,"&gt;="&amp;Calc!E7,DA!$G:$G,"&lt;="&amp;Calc!F7)/60)/(G7*8*H7)</f>
        <v>0</v>
      </c>
      <c r="J7" s="45">
        <f t="shared" si="4"/>
        <v>0</v>
      </c>
      <c r="K7" s="43">
        <f>(SUMIFS(Total_Minutes_Worked,DA!$G:$G,"&gt;="&amp;Calc!E7,DA!$G:$G,"&lt;="&amp;Calc!F7,DA!$A:$A,$K$1)/60)/((G7/2)*8*H7)</f>
        <v>0</v>
      </c>
      <c r="L7" s="45">
        <f t="shared" si="4"/>
        <v>0</v>
      </c>
      <c r="M7" s="43">
        <f>(SUMIFS(Total_Minutes_Worked,DA!$G:$G,"&gt;="&amp;Calc!E7,DA!$G:$G,"&lt;="&amp;Calc!F7,DA!$A:$A,$M$1)/60)/((G7/2)*8*H7)</f>
        <v>0</v>
      </c>
      <c r="N7" s="45">
        <f t="shared" si="4"/>
        <v>0</v>
      </c>
      <c r="P7" s="51">
        <f>IF(R7="","",RANK(R7,$R$3:$R$11)+COUNTIF(R$3:R7,R7)-1)</f>
        <v>5</v>
      </c>
      <c r="Q7" s="51" t="s">
        <v>58</v>
      </c>
      <c r="R7" s="50">
        <f>(SUMIFS(Total_Minutes_Worked,DA!$G:$G,"&gt;="&amp;Calc!$E$11,DA!$G:$G,"&lt;="&amp;Calc!$F$11,DA!$C:$C,Calc!$Q7)/60)/(($G$11/2)*8*$H$11)</f>
        <v>0</v>
      </c>
      <c r="T7" s="51">
        <f>IF(V7="","",RANK(V7,$V$3:$V$11)+COUNTIF(V$3:V7,V7)-1)</f>
        <v>5</v>
      </c>
      <c r="U7" s="51" t="s">
        <v>50</v>
      </c>
      <c r="V7" s="50">
        <f>(SUMIFS(Total_Minutes_Worked,DA!$G:$G,"&gt;="&amp;Calc!$E$11,DA!$G:$G,"&lt;="&amp;Calc!$F$11,DA!$C:$C,Calc!$U7)/60)/(($G$11/2)*8*$H$11)</f>
        <v>0</v>
      </c>
      <c r="Y7" t="s">
        <v>58</v>
      </c>
    </row>
    <row r="8" spans="1:25" x14ac:dyDescent="0.3">
      <c r="A8" s="20">
        <v>46143</v>
      </c>
      <c r="B8" s="89" t="s">
        <v>85</v>
      </c>
      <c r="D8" s="9" t="str">
        <f t="shared" si="1"/>
        <v>(31-Aug-26 To 04-Sep-26)</v>
      </c>
      <c r="E8" s="9">
        <f t="shared" si="3"/>
        <v>46265</v>
      </c>
      <c r="F8" s="9">
        <f t="shared" si="2"/>
        <v>46270</v>
      </c>
      <c r="G8" s="13">
        <v>2</v>
      </c>
      <c r="H8" s="13">
        <f t="shared" si="0"/>
        <v>5</v>
      </c>
      <c r="I8" s="43">
        <f>(SUMIFS(Total_Minutes_Worked,DA!$G:$G,"&gt;="&amp;Calc!E8,DA!$G:$G,"&lt;="&amp;Calc!F8)/60)/(G8*8*H8)</f>
        <v>0</v>
      </c>
      <c r="J8" s="45">
        <f t="shared" si="4"/>
        <v>0</v>
      </c>
      <c r="K8" s="43">
        <f>(SUMIFS(Total_Minutes_Worked,DA!$G:$G,"&gt;="&amp;Calc!E8,DA!$G:$G,"&lt;="&amp;Calc!F8,DA!$A:$A,$K$1)/60)/((G8/2)*8*H8)</f>
        <v>0</v>
      </c>
      <c r="L8" s="45">
        <f t="shared" si="4"/>
        <v>0</v>
      </c>
      <c r="M8" s="43">
        <f>(SUMIFS(Total_Minutes_Worked,DA!$G:$G,"&gt;="&amp;Calc!E8,DA!$G:$G,"&lt;="&amp;Calc!F8,DA!$A:$A,$M$1)/60)/((G8/2)*8*H8)</f>
        <v>0</v>
      </c>
      <c r="N8" s="45">
        <f t="shared" si="4"/>
        <v>0</v>
      </c>
      <c r="P8" s="51">
        <f>IF(R8="","",RANK(R8,$R$3:$R$11)+COUNTIF(R$3:R8,R8)-1)</f>
        <v>6</v>
      </c>
      <c r="Q8" s="51"/>
      <c r="R8" s="50">
        <f>(SUMIFS(Total_Minutes_Worked,DA!$G:$G,"&gt;="&amp;Calc!$E$11,DA!$G:$G,"&lt;="&amp;Calc!$F$11,DA!$C:$C,Calc!$Q8)/60)/(($G$11/2)*8*$H$11)</f>
        <v>0</v>
      </c>
      <c r="T8" s="51">
        <f>IF(V8="","",RANK(V8,$V$3:$V$11)+COUNTIF(V$3:V8,V8)-1)</f>
        <v>6</v>
      </c>
      <c r="U8" s="51" t="s">
        <v>56</v>
      </c>
      <c r="V8" s="50">
        <f>(SUMIFS(Total_Minutes_Worked,DA!$G:$G,"&gt;="&amp;Calc!$E$11,DA!$G:$G,"&lt;="&amp;Calc!$F$11,DA!$C:$C,Calc!$U8)/60)/(($G$11/2)*8*$H$11)</f>
        <v>0</v>
      </c>
    </row>
    <row r="9" spans="1:25" x14ac:dyDescent="0.3">
      <c r="A9" s="20">
        <v>46279</v>
      </c>
      <c r="B9" s="89" t="s">
        <v>44</v>
      </c>
      <c r="D9" s="9" t="str">
        <f t="shared" si="1"/>
        <v>(07-Sep-26 To 11-Sep-26)</v>
      </c>
      <c r="E9" s="9">
        <f t="shared" si="3"/>
        <v>46272</v>
      </c>
      <c r="F9" s="9">
        <f t="shared" si="2"/>
        <v>46277</v>
      </c>
      <c r="G9" s="13">
        <v>2</v>
      </c>
      <c r="H9" s="13">
        <f t="shared" si="0"/>
        <v>5</v>
      </c>
      <c r="I9" s="43">
        <f>(SUMIFS(Total_Minutes_Worked,DA!$G:$G,"&gt;="&amp;Calc!E9,DA!$G:$G,"&lt;="&amp;Calc!F9)/60)/(G9*8*H9)</f>
        <v>0</v>
      </c>
      <c r="J9" s="45">
        <f t="shared" si="4"/>
        <v>0</v>
      </c>
      <c r="K9" s="43">
        <f>(SUMIFS(Total_Minutes_Worked,DA!$G:$G,"&gt;="&amp;Calc!E9,DA!$G:$G,"&lt;="&amp;Calc!F9,DA!$A:$A,$K$1)/60)/((G9/2)*8*H9)</f>
        <v>0</v>
      </c>
      <c r="L9" s="45">
        <f t="shared" si="4"/>
        <v>0</v>
      </c>
      <c r="M9" s="43">
        <f>(SUMIFS(Total_Minutes_Worked,DA!$G:$G,"&gt;="&amp;Calc!E9,DA!$G:$G,"&lt;="&amp;Calc!F9,DA!$A:$A,$M$1)/60)/((G9/2)*8*H9)</f>
        <v>0</v>
      </c>
      <c r="N9" s="45">
        <f t="shared" si="4"/>
        <v>0</v>
      </c>
      <c r="P9" s="51">
        <f>IF(R9="","",RANK(R9,$R$3:$R$11)+COUNTIF(R$3:R9,R9)-1)</f>
        <v>7</v>
      </c>
      <c r="Q9" s="51"/>
      <c r="R9" s="50">
        <f>(SUMIFS(Total_Minutes_Worked,DA!$G:$G,"&gt;="&amp;Calc!$E$11,DA!$G:$G,"&lt;="&amp;Calc!$F$11,DA!$C:$C,Calc!$Q9)/60)/(($G$11/2)*8*$H$11)</f>
        <v>0</v>
      </c>
      <c r="T9" s="51">
        <f>IF(V9="","",RANK(V9,$V$3:$V$11)+COUNTIF(V$3:V9,V9)-1)</f>
        <v>7</v>
      </c>
      <c r="U9" s="51" t="s">
        <v>71</v>
      </c>
      <c r="V9" s="50">
        <f>(SUMIFS(Total_Minutes_Worked,DA!$G:$G,"&gt;="&amp;Calc!$E$11,DA!$G:$G,"&lt;="&amp;Calc!$F$11,DA!$C:$C,Calc!$U9)/60)/(($G$11/2)*8*$H$11)</f>
        <v>0</v>
      </c>
    </row>
    <row r="10" spans="1:25" x14ac:dyDescent="0.3">
      <c r="A10" s="20">
        <v>46297</v>
      </c>
      <c r="B10" s="89" t="s">
        <v>86</v>
      </c>
      <c r="P10" s="51">
        <f>IF(R10="","",RANK(R10,$R$3:$R$11)+COUNTIF(R$3:R10,R10)-1)</f>
        <v>8</v>
      </c>
      <c r="Q10" s="51"/>
      <c r="R10" s="50">
        <f>(SUMIFS(Total_Minutes_Worked,DA!$G:$G,"&gt;="&amp;Calc!$E$11,DA!$G:$G,"&lt;="&amp;Calc!$F$11,DA!$C:$C,Calc!$Q10)/60)/(($G$11/2)*8*$H$11)</f>
        <v>0</v>
      </c>
      <c r="T10" s="51">
        <f>IF(V10="","",RANK(V10,$V$3:$V$11)+COUNTIF(V$3:V10,V10)-1)</f>
        <v>8</v>
      </c>
      <c r="U10" s="51" t="s">
        <v>70</v>
      </c>
      <c r="V10" s="50">
        <f>(SUMIFS(Total_Minutes_Worked,DA!$G:$G,"&gt;="&amp;Calc!$E$11,DA!$G:$G,"&lt;="&amp;Calc!$F$11,DA!$C:$C,Calc!$U10)/60)/(($G$11/2)*8*$H$11)</f>
        <v>0</v>
      </c>
    </row>
    <row r="11" spans="1:25" x14ac:dyDescent="0.3">
      <c r="A11" s="20">
        <v>46315</v>
      </c>
      <c r="B11" s="89" t="s">
        <v>87</v>
      </c>
      <c r="D11" s="38" t="s">
        <v>20</v>
      </c>
      <c r="E11" s="59">
        <f>VLOOKUP(RU!$D$10,Calc!$D$4:$N$9,2,0)</f>
        <v>46244</v>
      </c>
      <c r="F11" s="59">
        <f>VLOOKUP(RU!$D$10,Calc!$D$4:$N$9,3,0)</f>
        <v>46249</v>
      </c>
      <c r="G11" s="37">
        <f>VLOOKUP(RU!$D$10,Calc!$D$4:$N$9,4,0)</f>
        <v>2</v>
      </c>
      <c r="H11" s="37">
        <f>VLOOKUP(RU!$D$10,Calc!$D$4:$N$9,5,0)</f>
        <v>5</v>
      </c>
      <c r="I11" s="60">
        <f>VLOOKUP(RU!$D$10,Calc!$D$4:$N$9,6,0)</f>
        <v>0.42499999999999999</v>
      </c>
      <c r="J11" s="61">
        <f>VLOOKUP(RU!$D$10,Calc!$D$4:$N$9,7,0)</f>
        <v>-0.59375</v>
      </c>
      <c r="K11" s="60">
        <f>VLOOKUP(RU!$D$10,Calc!$D$4:$N$9,8,0)</f>
        <v>0.85</v>
      </c>
      <c r="L11" s="61">
        <f>VLOOKUP(RU!$D$10,Calc!$D$4:$N$9,9,0)</f>
        <v>-0.17499999999999993</v>
      </c>
      <c r="M11" s="60">
        <f>VLOOKUP(RU!$D$10,Calc!$D$4:$N$9,10,0)</f>
        <v>0</v>
      </c>
      <c r="N11" s="61">
        <f>VLOOKUP(RU!$D$10,Calc!$D$4:$N$9,11,0)</f>
        <v>-1.0125</v>
      </c>
      <c r="P11" s="53">
        <f>IF(R11="","",RANK(R11,$R$3:$R$11)+COUNTIF(R$3:R11,R11)-1)</f>
        <v>9</v>
      </c>
      <c r="Q11" s="53"/>
      <c r="R11" s="50">
        <f>(SUMIFS(Total_Minutes_Worked,DA!$G:$G,"&gt;="&amp;Calc!$E$11,DA!$G:$G,"&lt;="&amp;Calc!$F$11,DA!$C:$C,Calc!$Q11)/60)/(($G$11/2)*8*$H$11)</f>
        <v>0</v>
      </c>
      <c r="T11" s="53">
        <f>IF(V11="","",RANK(V11,$V$3:$V$11)+COUNTIF(V$3:V11,V11)-1)</f>
        <v>9</v>
      </c>
      <c r="U11" s="53" t="s">
        <v>72</v>
      </c>
      <c r="V11" s="50">
        <f>(SUMIFS(Total_Minutes_Worked,DA!$G:$G,"&gt;="&amp;Calc!$E$11,DA!$G:$G,"&lt;="&amp;Calc!$F$11,DA!$C:$C,Calc!$U11)/60)/(($G$11/2)*8*$H$11)</f>
        <v>0</v>
      </c>
      <c r="Y11" s="38" t="s">
        <v>54</v>
      </c>
    </row>
    <row r="12" spans="1:25" x14ac:dyDescent="0.3">
      <c r="A12" s="20">
        <v>46335</v>
      </c>
      <c r="B12" s="89" t="s">
        <v>88</v>
      </c>
      <c r="Y12" t="s">
        <v>48</v>
      </c>
    </row>
    <row r="13" spans="1:25" x14ac:dyDescent="0.3">
      <c r="A13" s="20">
        <v>46381</v>
      </c>
      <c r="B13" s="89" t="s">
        <v>29</v>
      </c>
      <c r="P13" s="35"/>
      <c r="Q13" s="35"/>
      <c r="R13" s="35"/>
      <c r="T13" s="35"/>
      <c r="U13" s="35"/>
      <c r="V13" s="35"/>
      <c r="Y13" t="s">
        <v>51</v>
      </c>
    </row>
    <row r="14" spans="1:25" x14ac:dyDescent="0.3">
      <c r="A14" s="88"/>
      <c r="D14" t="s">
        <v>26</v>
      </c>
      <c r="P14" s="49">
        <v>1</v>
      </c>
      <c r="Q14" s="49" t="str">
        <f t="shared" ref="Q14:Q18" si="5">IFERROR(VLOOKUP(P14,$P$3:$R$11,2,0),"")</f>
        <v>Analysis &amp; Documentation</v>
      </c>
      <c r="R14" s="50">
        <f t="shared" ref="R14:R22" si="6">IFERROR(VLOOKUP(P14,$P$3:$R$11,3,0),"")</f>
        <v>0.8</v>
      </c>
      <c r="T14" s="49">
        <v>1</v>
      </c>
      <c r="U14" s="49" t="str">
        <f>IFERROR(VLOOKUP(T14,$T$3:$V$11,2,0),"")</f>
        <v>API Tests</v>
      </c>
      <c r="V14" s="50">
        <f>IFERROR(VLOOKUP(T14,$T$3:$V$11,3,0),"")</f>
        <v>0</v>
      </c>
      <c r="Y14" t="s">
        <v>49</v>
      </c>
    </row>
    <row r="15" spans="1:25" ht="15" thickBot="1" x14ac:dyDescent="0.35">
      <c r="A15" s="20"/>
      <c r="D15" s="12" t="s">
        <v>17</v>
      </c>
      <c r="E15" s="62" t="s">
        <v>67</v>
      </c>
      <c r="F15" s="62" t="s">
        <v>55</v>
      </c>
      <c r="P15" s="51">
        <v>2</v>
      </c>
      <c r="Q15" s="51" t="str">
        <f t="shared" si="5"/>
        <v>Meetings - CR</v>
      </c>
      <c r="R15" s="52">
        <f t="shared" si="6"/>
        <v>0.05</v>
      </c>
      <c r="T15" s="51">
        <v>2</v>
      </c>
      <c r="U15" s="51" t="str">
        <f>IFERROR(VLOOKUP(T15,$T$3:$V$11,2,0),"")</f>
        <v>Automation Test Scripts</v>
      </c>
      <c r="V15" s="52">
        <f t="shared" ref="V15:V22" si="7">IFERROR(VLOOKUP(T15,$T$3:$V$11,3,0),"")</f>
        <v>0</v>
      </c>
      <c r="Y15" t="s">
        <v>57</v>
      </c>
    </row>
    <row r="16" spans="1:25" x14ac:dyDescent="0.3">
      <c r="A16" s="20"/>
      <c r="D16" s="7" t="str">
        <f>TEXT($E4,"dd MMM")</f>
        <v>03 Aug</v>
      </c>
      <c r="E16" s="11">
        <f>$K4</f>
        <v>1.0249999999999999</v>
      </c>
      <c r="F16" s="11">
        <f>$M4</f>
        <v>1.0125</v>
      </c>
      <c r="K16" s="14"/>
      <c r="P16" s="51">
        <v>3</v>
      </c>
      <c r="Q16" s="51" t="str">
        <f t="shared" si="5"/>
        <v>Auditing/ObservePoint Setup</v>
      </c>
      <c r="R16" s="52">
        <f t="shared" si="6"/>
        <v>0</v>
      </c>
      <c r="T16" s="51">
        <v>3</v>
      </c>
      <c r="U16" s="51" t="str">
        <f t="shared" ref="U16:U22" si="8">IFERROR(VLOOKUP(T16,$T$3:$V$11,2,0),"")</f>
        <v>Detailed Test Cases</v>
      </c>
      <c r="V16" s="52">
        <f t="shared" si="7"/>
        <v>0</v>
      </c>
      <c r="Y16" t="s">
        <v>50</v>
      </c>
    </row>
    <row r="17" spans="1:25" x14ac:dyDescent="0.3">
      <c r="A17" s="20"/>
      <c r="D17" s="7" t="str">
        <f t="shared" ref="D17:D21" si="9">TEXT($E5,"dd MMM")</f>
        <v>10 Aug</v>
      </c>
      <c r="E17" s="11">
        <f t="shared" ref="E17:E21" si="10">$K5</f>
        <v>0.85</v>
      </c>
      <c r="F17" s="11">
        <f t="shared" ref="F17:F21" si="11">$M5</f>
        <v>0</v>
      </c>
      <c r="K17" s="14"/>
      <c r="P17" s="51">
        <v>4</v>
      </c>
      <c r="Q17" s="51" t="str">
        <f t="shared" si="5"/>
        <v>Quality Assurance - CR</v>
      </c>
      <c r="R17" s="52">
        <f t="shared" si="6"/>
        <v>0</v>
      </c>
      <c r="T17" s="51">
        <v>4</v>
      </c>
      <c r="U17" s="51" t="str">
        <f t="shared" si="8"/>
        <v>Analysis/Documentation</v>
      </c>
      <c r="V17" s="52">
        <f t="shared" si="7"/>
        <v>0</v>
      </c>
      <c r="Y17" t="s">
        <v>56</v>
      </c>
    </row>
    <row r="18" spans="1:25" x14ac:dyDescent="0.3">
      <c r="A18" s="20"/>
      <c r="D18" s="7" t="str">
        <f t="shared" si="9"/>
        <v>17 Aug</v>
      </c>
      <c r="E18" s="11">
        <f t="shared" si="10"/>
        <v>0</v>
      </c>
      <c r="F18" s="11">
        <f t="shared" si="11"/>
        <v>0</v>
      </c>
      <c r="K18" s="14"/>
      <c r="P18" s="51">
        <v>5</v>
      </c>
      <c r="Q18" s="51" t="str">
        <f t="shared" si="5"/>
        <v>Others</v>
      </c>
      <c r="R18" s="52">
        <f t="shared" si="6"/>
        <v>0</v>
      </c>
      <c r="T18" s="51">
        <v>5</v>
      </c>
      <c r="U18" s="51" t="str">
        <f t="shared" si="8"/>
        <v>Quality Assurance</v>
      </c>
      <c r="V18" s="52">
        <f t="shared" si="7"/>
        <v>0</v>
      </c>
    </row>
    <row r="19" spans="1:25" x14ac:dyDescent="0.3">
      <c r="A19" s="20"/>
      <c r="D19" s="7" t="str">
        <f t="shared" si="9"/>
        <v>24 Aug</v>
      </c>
      <c r="E19" s="11">
        <f t="shared" si="10"/>
        <v>0</v>
      </c>
      <c r="F19" s="11">
        <f t="shared" si="11"/>
        <v>0</v>
      </c>
      <c r="K19" s="14"/>
      <c r="P19" s="51">
        <v>6</v>
      </c>
      <c r="Q19" s="51">
        <v>0</v>
      </c>
      <c r="R19" s="52">
        <f t="shared" si="6"/>
        <v>0</v>
      </c>
      <c r="T19" s="51">
        <v>6</v>
      </c>
      <c r="U19" s="51" t="str">
        <f t="shared" si="8"/>
        <v>Meetings</v>
      </c>
      <c r="V19" s="52">
        <f t="shared" si="7"/>
        <v>0</v>
      </c>
    </row>
    <row r="20" spans="1:25" x14ac:dyDescent="0.3">
      <c r="A20" s="20"/>
      <c r="D20" s="7" t="str">
        <f t="shared" si="9"/>
        <v>31 Aug</v>
      </c>
      <c r="E20" s="11">
        <f t="shared" si="10"/>
        <v>0</v>
      </c>
      <c r="F20" s="11">
        <f t="shared" si="11"/>
        <v>0</v>
      </c>
      <c r="K20" s="14"/>
      <c r="P20" s="51">
        <v>7</v>
      </c>
      <c r="Q20" s="51">
        <v>0</v>
      </c>
      <c r="R20" s="52">
        <f t="shared" si="6"/>
        <v>0</v>
      </c>
      <c r="T20" s="51">
        <v>7</v>
      </c>
      <c r="U20" s="51" t="str">
        <f t="shared" si="8"/>
        <v>Coding for Automation</v>
      </c>
      <c r="V20" s="52">
        <f t="shared" si="7"/>
        <v>0</v>
      </c>
    </row>
    <row r="21" spans="1:25" x14ac:dyDescent="0.3">
      <c r="D21" s="7" t="str">
        <f t="shared" si="9"/>
        <v>07 Sep</v>
      </c>
      <c r="E21" s="11">
        <f t="shared" si="10"/>
        <v>0</v>
      </c>
      <c r="F21" s="11">
        <f t="shared" si="11"/>
        <v>0</v>
      </c>
      <c r="K21" s="14"/>
      <c r="P21" s="51">
        <v>8</v>
      </c>
      <c r="Q21" s="51">
        <v>0</v>
      </c>
      <c r="R21" s="52">
        <f t="shared" si="6"/>
        <v>0</v>
      </c>
      <c r="T21" s="51">
        <v>8</v>
      </c>
      <c r="U21" s="51" t="str">
        <f t="shared" si="8"/>
        <v>Grafana Dashboard</v>
      </c>
      <c r="V21" s="52">
        <f t="shared" si="7"/>
        <v>0</v>
      </c>
    </row>
    <row r="22" spans="1:25" x14ac:dyDescent="0.3">
      <c r="P22" s="53">
        <v>9</v>
      </c>
      <c r="Q22" s="53">
        <v>0</v>
      </c>
      <c r="R22" s="54">
        <f t="shared" si="6"/>
        <v>0</v>
      </c>
      <c r="T22" s="53">
        <v>9</v>
      </c>
      <c r="U22" s="53" t="str">
        <f t="shared" si="8"/>
        <v>ObservePoint Setup</v>
      </c>
      <c r="V22" s="54">
        <f t="shared" si="7"/>
        <v>0</v>
      </c>
    </row>
  </sheetData>
  <mergeCells count="5">
    <mergeCell ref="T1:V1"/>
    <mergeCell ref="M1:N1"/>
    <mergeCell ref="K1:L1"/>
    <mergeCell ref="I1:J1"/>
    <mergeCell ref="P1:R1"/>
  </mergeCells>
  <conditionalFormatting sqref="Q3:Q5 Q8">
    <cfRule type="duplicateValues" dxfId="2" priority="5"/>
  </conditionalFormatting>
  <conditionalFormatting sqref="U3:U5 U8">
    <cfRule type="duplicateValues" dxfId="1" priority="3"/>
  </conditionalFormatting>
  <conditionalFormatting sqref="Y5:Y7">
    <cfRule type="duplicateValues" dxfId="0" priority="1"/>
  </conditionalFormatting>
  <pageMargins left="0.7" right="0.7" top="0.75" bottom="0.75" header="0.3" footer="0.3"/>
  <pageSetup orientation="portrait" r:id="rId1"/>
  <customProperties>
    <customPr name="ORB_SHEETNAME" r:id="rId2"/>
  </customProperties>
  <ignoredErrors>
    <ignoredError sqref="L3 L9 L4 L5 L6 L7 L8"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RU</vt:lpstr>
      <vt:lpstr>DA</vt:lpstr>
      <vt:lpstr>Task Tracker</vt:lpstr>
      <vt:lpstr>Calc</vt:lpstr>
      <vt:lpstr>Total_Minutes_Worked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2026-08-19T04:23:49Z</dcterms:modified>
</cp:coreProperties>
</file>