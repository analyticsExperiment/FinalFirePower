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NodeApps\TargetAPI\outputs\adobe-target-websdk-testing-20260801\"/>
    </mc:Choice>
  </mc:AlternateContent>
  <xr:revisionPtr revIDLastSave="0" documentId="8_{AF756CD7-968B-4E03-A42C-F6F75C774809}" xr6:coauthVersionLast="47" xr6:coauthVersionMax="47" xr10:uidLastSave="{00000000-0000-0000-0000-000000000000}"/>
  <bookViews>
    <workbookView xWindow="4416" yWindow="2244" windowWidth="17460" windowHeight="8964" xr2:uid="{6931D273-81AC-4864-AFCA-A0F8AB242681}"/>
  </bookViews>
  <sheets>
    <sheet name="Instructions &amp; Legend" sheetId="13" r:id="rId1"/>
    <sheet name="Test Summary Dashboard" sheetId="12" r:id="rId2"/>
    <sheet name="Activity Coverage Matrix" sheetId="11" r:id="rId3"/>
    <sheet name="Test Case Master" sheetId="10" r:id="rId4"/>
    <sheet name="Parameter Mapping &amp; Validation" sheetId="9" r:id="rId5"/>
    <sheet name="Audience &amp; Profile Validation" sheetId="8" r:id="rId6"/>
    <sheet name="Rendering &amp; SPA Validation" sheetId="7" r:id="rId7"/>
    <sheet name="Reporting &amp; A4T Validation" sheetId="6" r:id="rId8"/>
    <sheet name="Consent &amp; Identity Validation" sheetId="5" r:id="rId9"/>
    <sheet name="Browser &amp; Regression Matrix" sheetId="4" r:id="rId10"/>
    <sheet name="Evidence &amp; Defect Log" sheetId="3" r:id="rId11"/>
    <sheet name="Production Smoke &amp; Monitoring" sheetId="2" r:id="rId12"/>
    <sheet name="Sign-Off &amp; Open Items" sheetId="1"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2" i="12" l="1"/>
  <c r="F22" i="12"/>
  <c r="G21" i="12"/>
  <c r="F21" i="12"/>
  <c r="G20" i="12"/>
  <c r="F20" i="12"/>
  <c r="G19" i="12"/>
  <c r="F19" i="12"/>
  <c r="G18" i="12"/>
  <c r="F18" i="12"/>
  <c r="C21" i="12"/>
  <c r="B21" i="12"/>
  <c r="C20" i="12"/>
  <c r="B20" i="12"/>
  <c r="C19" i="12"/>
  <c r="B19" i="12"/>
  <c r="C18" i="12"/>
  <c r="B18" i="12"/>
  <c r="E13" i="12"/>
  <c r="E12" i="12"/>
  <c r="E11" i="12"/>
  <c r="E10" i="12"/>
  <c r="E14" i="12" s="1"/>
  <c r="E9" i="12"/>
  <c r="E8" i="12"/>
  <c r="E7" i="12"/>
  <c r="E6" i="12"/>
  <c r="B11" i="12"/>
  <c r="B10" i="12"/>
  <c r="B9" i="12"/>
  <c r="B8" i="12"/>
  <c r="B12" i="12" s="1"/>
  <c r="B7" i="12"/>
  <c r="B6" i="12"/>
  <c r="B5" i="12"/>
</calcChain>
</file>

<file path=xl/sharedStrings.xml><?xml version="1.0" encoding="utf-8"?>
<sst xmlns="http://schemas.openxmlformats.org/spreadsheetml/2006/main" count="23662" uniqueCount="2736">
  <si>
    <t>Sign-Off &amp; Open Items</t>
  </si>
  <si>
    <t>Formal approval and unresolved information required before final readiness. Update owners, dates, status, and comments as decisions are made.</t>
  </si>
  <si>
    <t>Sign-Off</t>
  </si>
  <si>
    <t>Role</t>
  </si>
  <si>
    <t>Name</t>
  </si>
  <si>
    <t>Approval Status</t>
  </si>
  <si>
    <t>Approval Date</t>
  </si>
  <si>
    <t>Comments</t>
  </si>
  <si>
    <t>Adobe implementation owner</t>
  </si>
  <si>
    <t>To Be Confirmed</t>
  </si>
  <si>
    <t>Pending</t>
  </si>
  <si>
    <t>Target owner</t>
  </si>
  <si>
    <t>Analytics owner</t>
  </si>
  <si>
    <t>QA lead</t>
  </si>
  <si>
    <t>Development lead</t>
  </si>
  <si>
    <t>Business owner</t>
  </si>
  <si>
    <t>Release manager</t>
  </si>
  <si>
    <t>Open Items / Data Required</t>
  </si>
  <si>
    <t>Open Item ID</t>
  </si>
  <si>
    <t>Area</t>
  </si>
  <si>
    <t>Missing Information</t>
  </si>
  <si>
    <t>Impact</t>
  </si>
  <si>
    <t>Required From</t>
  </si>
  <si>
    <t>Owner</t>
  </si>
  <si>
    <t>Target Date</t>
  </si>
  <si>
    <t>Status</t>
  </si>
  <si>
    <t>OPEN-001</t>
  </si>
  <si>
    <t>Environment configuration</t>
  </si>
  <si>
    <t>Launch libraries, datastreams, sandboxes, report suite/dataset, Target workspace/property, and URLs</t>
  </si>
  <si>
    <t>Blocks environment-specific execution</t>
  </si>
  <si>
    <t>Open</t>
  </si>
  <si>
    <t>OPEN-002</t>
  </si>
  <si>
    <t>Business group mapping</t>
  </si>
  <si>
    <t>Confirmed CT, OAO, D1 mapping for each activity ID</t>
  </si>
  <si>
    <t>Blocks representative group coverage confirmation</t>
  </si>
  <si>
    <t>Business/Target owner</t>
  </si>
  <si>
    <t>OPEN-003</t>
  </si>
  <si>
    <t>Page and route inventory</t>
  </si>
  <si>
    <t>Production and non-production URL/route for each selected activity</t>
  </si>
  <si>
    <t>Blocks route-specific tests</t>
  </si>
  <si>
    <t>Development team</t>
  </si>
  <si>
    <t>OPEN-004</t>
  </si>
  <si>
    <t>Parameter mapping</t>
  </si>
  <si>
    <t>Legacy source, future data-layer path, Web SDK location, type, and expected values</t>
  </si>
  <si>
    <t>Blocks qualification comparison</t>
  </si>
  <si>
    <t>Adobe implementation team</t>
  </si>
  <si>
    <t>OPEN-005</t>
  </si>
  <si>
    <t>Consent design</t>
  </si>
  <si>
    <t>OneTrust group IDs, regional rules, and expected Target/Analytics behavior</t>
  </si>
  <si>
    <t>Blocks consent Pass/Fail decisions</t>
  </si>
  <si>
    <t>Privacy/implementation owner</t>
  </si>
  <si>
    <t>OPEN-006</t>
  </si>
  <si>
    <t>Identity design</t>
  </si>
  <si>
    <t>Namespaces, login timing, persistence, cross-domain requirements, and masking standard</t>
  </si>
  <si>
    <t>Blocks identity-dependent qualification tests</t>
  </si>
  <si>
    <t>Identity owner</t>
  </si>
  <si>
    <t>OPEN-007</t>
  </si>
  <si>
    <t>Target QA inputs</t>
  </si>
  <si>
    <t>QA URLs, test profiles, positive/negative audience data, and activity owners</t>
  </si>
  <si>
    <t>Blocks controlled experience validation</t>
  </si>
  <si>
    <t>OPEN-008</t>
  </si>
  <si>
    <t>Analytics/A4T mapping</t>
  </si>
  <si>
    <t>Applicable activity IDs, events, company, report suite/dataset, and expected latency</t>
  </si>
  <si>
    <t>Blocks activity-specific Analytics reporting tests</t>
  </si>
  <si>
    <t>OPEN-009</t>
  </si>
  <si>
    <t>Profile scripts</t>
  </si>
  <si>
    <t>Populated script inventory, code dependencies, status, and activity usage</t>
  </si>
  <si>
    <t>Blocks profile-script compatibility review</t>
  </si>
  <si>
    <t>OPEN-010</t>
  </si>
  <si>
    <t>Browser/device matrix</t>
  </si>
  <si>
    <t>Supported browser versions, operating systems, devices, and responsive breakpoints</t>
  </si>
  <si>
    <t>Blocks final compatibility scope</t>
  </si>
  <si>
    <t>OPEN-011</t>
  </si>
  <si>
    <t>Performance thresholds</t>
  </si>
  <si>
    <t>Accepted flicker, blank-container, response, render, and layout-shift thresholds</t>
  </si>
  <si>
    <t>Blocks objective performance verdict</t>
  </si>
  <si>
    <t>Development/UX owner</t>
  </si>
  <si>
    <t>OPEN-012</t>
  </si>
  <si>
    <t>Criticality/history</t>
  </si>
  <si>
    <t>Business criticality, campaign owner, traffic, historical defects, and collision expectations</t>
  </si>
  <si>
    <t>Limits risk prioritization</t>
  </si>
  <si>
    <t>OPEN-013</t>
  </si>
  <si>
    <t>Release controls</t>
  </si>
  <si>
    <t>Release window, smoke order, monitoring duration, reporting latency, rollback triggers, and contacts</t>
  </si>
  <si>
    <t>Blocks production readiness</t>
  </si>
  <si>
    <t>OPEN-014</t>
  </si>
  <si>
    <t>Placeholder detail resolution</t>
  </si>
  <si>
    <t>10 activity raw details, 20 offer raw details, and meaningful rules for 136 audiences</t>
  </si>
  <si>
    <t>May hide code, audience, or reporting dependencies</t>
  </si>
  <si>
    <t>Production Smoke &amp; Monitoring</t>
  </si>
  <si>
    <t>One row per approved activity. Execute only with approved production QA methods; mask sensitive values and link stable evidence.</t>
  </si>
  <si>
    <t>Smoke Test ID</t>
  </si>
  <si>
    <t>Activity ID</t>
  </si>
  <si>
    <t>Activity Name</t>
  </si>
  <si>
    <t>Business Group</t>
  </si>
  <si>
    <t>Production URL</t>
  </si>
  <si>
    <t>Release Date/Time</t>
  </si>
  <si>
    <t>Target Request Confirmed</t>
  </si>
  <si>
    <t>Parameters Confirmed</t>
  </si>
  <si>
    <t>Audience Confirmed</t>
  </si>
  <si>
    <t>Proposition Confirmed</t>
  </si>
  <si>
    <t>Rendering Confirmed</t>
  </si>
  <si>
    <t>Impression Confirmed</t>
  </si>
  <si>
    <t>Interaction Confirmed</t>
  </si>
  <si>
    <t>Reporting Confirmed</t>
  </si>
  <si>
    <t>JavaScript Errors</t>
  </si>
  <si>
    <t>Duplicate Calls</t>
  </si>
  <si>
    <t>Evidence</t>
  </si>
  <si>
    <t>Monitoring Owner</t>
  </si>
  <si>
    <t>SMK-001</t>
  </si>
  <si>
    <t>[QD Test] XT Experience Demo</t>
  </si>
  <si>
    <t>Not Tested</t>
  </si>
  <si>
    <t>Not Started</t>
  </si>
  <si>
    <t>Production support</t>
  </si>
  <si>
    <t>Approved activity; risk High; reporting source target.</t>
  </si>
  <si>
    <t>SMK-002</t>
  </si>
  <si>
    <t>AB test activity</t>
  </si>
  <si>
    <t>SMK-003</t>
  </si>
  <si>
    <t>AEP Accelerator Gender Based View</t>
  </si>
  <si>
    <t>SMK-004</t>
  </si>
  <si>
    <t>AP Test activity</t>
  </si>
  <si>
    <t>Approved activity; risk Medium; reporting source target.</t>
  </si>
  <si>
    <t>SMK-005</t>
  </si>
  <si>
    <t>blogger A/B test</t>
  </si>
  <si>
    <t>SMK-006</t>
  </si>
  <si>
    <t>CAP Test 3</t>
  </si>
  <si>
    <t>SMK-007</t>
  </si>
  <si>
    <t>CDP offline Audience POC</t>
  </si>
  <si>
    <t>SMK-008</t>
  </si>
  <si>
    <t>DEMO_BSC</t>
  </si>
  <si>
    <t>SMK-009</t>
  </si>
  <si>
    <t>GAQ Demo</t>
  </si>
  <si>
    <t>SMK-010</t>
  </si>
  <si>
    <t>hybid_offer</t>
  </si>
  <si>
    <t>SMK-011</t>
  </si>
  <si>
    <t>Internal Campaign Slider - Slide 2 Experience</t>
  </si>
  <si>
    <t>SMK-012</t>
  </si>
  <si>
    <t>local_activity_1</t>
  </si>
  <si>
    <t>SMK-013</t>
  </si>
  <si>
    <t>localhost test 1</t>
  </si>
  <si>
    <t>SMK-014</t>
  </si>
  <si>
    <t>localhost test 2</t>
  </si>
  <si>
    <t>SMK-015</t>
  </si>
  <si>
    <t>okta.com</t>
  </si>
  <si>
    <t>SMK-016</t>
  </si>
  <si>
    <t>okta.com test2</t>
  </si>
  <si>
    <t>SMK-017</t>
  </si>
  <si>
    <t>Oliver TGA AB Test</t>
  </si>
  <si>
    <t>SMK-018</t>
  </si>
  <si>
    <t>Oliver TGA Final Target</t>
  </si>
  <si>
    <t>SMK-019</t>
  </si>
  <si>
    <t>Pranjal - XT</t>
  </si>
  <si>
    <t>SMK-020</t>
  </si>
  <si>
    <t>rec luma ecommerce naln2 Category</t>
  </si>
  <si>
    <t>SMK-021</t>
  </si>
  <si>
    <t>saket_Highly Advance</t>
  </si>
  <si>
    <t>SMK-022</t>
  </si>
  <si>
    <t>Spectra_MVP</t>
  </si>
  <si>
    <t>SMK-023</t>
  </si>
  <si>
    <t>Spectra_RVI</t>
  </si>
  <si>
    <t>SMK-024</t>
  </si>
  <si>
    <t>Subm WEB SDK POC SOlutions</t>
  </si>
  <si>
    <t>SMK-025</t>
  </si>
  <si>
    <t>Target Test</t>
  </si>
  <si>
    <t>SMK-026</t>
  </si>
  <si>
    <t>Test 2 - AB</t>
  </si>
  <si>
    <t>SMK-027</t>
  </si>
  <si>
    <t>test activity - workspace and property</t>
  </si>
  <si>
    <t>SMK-028</t>
  </si>
  <si>
    <t>Test CRM Membership | AY</t>
  </si>
  <si>
    <t>SMK-029</t>
  </si>
  <si>
    <t>Test Experiment for API</t>
  </si>
  <si>
    <t>SMK-030</t>
  </si>
  <si>
    <t>Test Luma</t>
  </si>
  <si>
    <t>SMK-031</t>
  </si>
  <si>
    <t>testactivitysanjay</t>
  </si>
  <si>
    <t>SMK-032</t>
  </si>
  <si>
    <t>TestSanjay</t>
  </si>
  <si>
    <t>SMK-033</t>
  </si>
  <si>
    <t>TGA_Sanjay_Local</t>
  </si>
  <si>
    <t>SMK-034</t>
  </si>
  <si>
    <t>TGASanjay</t>
  </si>
  <si>
    <t>SMK-035</t>
  </si>
  <si>
    <t>UK - ET POC</t>
  </si>
  <si>
    <t>SMK-036</t>
  </si>
  <si>
    <t>Untitled Activity 03/03/2026, 11:14:38</t>
  </si>
  <si>
    <t>SMK-037</t>
  </si>
  <si>
    <t>Untitled Activity 5/23/2026, 4:17:28 PM</t>
  </si>
  <si>
    <t>SMK-038</t>
  </si>
  <si>
    <t>Untitled Activity 7/23/2025, 5:51:08 PM</t>
  </si>
  <si>
    <t>SMK-039</t>
  </si>
  <si>
    <t>Untitled Activity 8/8/2025, 10:59:42 AM</t>
  </si>
  <si>
    <t>SMK-040</t>
  </si>
  <si>
    <t>Vignesh test2</t>
  </si>
  <si>
    <t>SMK-041</t>
  </si>
  <si>
    <t>Vignesh Workspace Test</t>
  </si>
  <si>
    <t>SMK-042</t>
  </si>
  <si>
    <t>VRC Demo Activity</t>
  </si>
  <si>
    <t>SMK-043</t>
  </si>
  <si>
    <t>WEB SDK POC Subm</t>
  </si>
  <si>
    <t>Evidence &amp; Defect Log</t>
  </si>
  <si>
    <t>Create one record per failure or evidence package. Every Fail in Test Case Master should reference a Defect ID and evidence link.</t>
  </si>
  <si>
    <t>Record ID</t>
  </si>
  <si>
    <t>Test Case ID</t>
  </si>
  <si>
    <t>Defect ID</t>
  </si>
  <si>
    <t>Issue Summary</t>
  </si>
  <si>
    <t>Expected Result</t>
  </si>
  <si>
    <t>Actual Result</t>
  </si>
  <si>
    <t>Severity</t>
  </si>
  <si>
    <t>Priority</t>
  </si>
  <si>
    <t>Environment</t>
  </si>
  <si>
    <t>Browser</t>
  </si>
  <si>
    <t>Evidence Link</t>
  </si>
  <si>
    <t>Raised Date</t>
  </si>
  <si>
    <t>Retest Date</t>
  </si>
  <si>
    <t>Retest Result</t>
  </si>
  <si>
    <t>Closure Date</t>
  </si>
  <si>
    <t>Browser &amp; Regression Matrix</t>
  </si>
  <si>
    <t>Replace To Be Confirmed fields with the approved support matrix. Use real devices for critical mobile journeys where emulation is insufficient.</t>
  </si>
  <si>
    <t>Validation ID</t>
  </si>
  <si>
    <t>Test Scenario</t>
  </si>
  <si>
    <t>Browser Version</t>
  </si>
  <si>
    <t>Device Type</t>
  </si>
  <si>
    <t>Operating System</t>
  </si>
  <si>
    <t>Screen/Viewport</t>
  </si>
  <si>
    <t>Rendering Status</t>
  </si>
  <si>
    <t>Tracking Status</t>
  </si>
  <si>
    <t>Performance Status</t>
  </si>
  <si>
    <t>Regression Status</t>
  </si>
  <si>
    <t>Overall Status</t>
  </si>
  <si>
    <t>BRW-001</t>
  </si>
  <si>
    <t>Representative selected activities - rendering, tracking, performance, and regression</t>
  </si>
  <si>
    <t>Chrome</t>
  </si>
  <si>
    <t>Desktop</t>
  </si>
  <si>
    <t>Replace browser version, OS, viewport, environment, and activity ID with the approved support matrix before execution.</t>
  </si>
  <si>
    <t>BRW-002</t>
  </si>
  <si>
    <t>Mobile</t>
  </si>
  <si>
    <t>BRW-003</t>
  </si>
  <si>
    <t>Tablet</t>
  </si>
  <si>
    <t>BRW-004</t>
  </si>
  <si>
    <t>Edge</t>
  </si>
  <si>
    <t>BRW-005</t>
  </si>
  <si>
    <t>BRW-006</t>
  </si>
  <si>
    <t>BRW-007</t>
  </si>
  <si>
    <t>Safari</t>
  </si>
  <si>
    <t>BRW-008</t>
  </si>
  <si>
    <t>BRW-009</t>
  </si>
  <si>
    <t>BRW-010</t>
  </si>
  <si>
    <t>Firefox</t>
  </si>
  <si>
    <t>BRW-011</t>
  </si>
  <si>
    <t>BRW-012</t>
  </si>
  <si>
    <t>Consent &amp; Identity Validation</t>
  </si>
  <si>
    <t>Consent groups, regional rules, identity namespaces, and timing contracts require confirmation. Never expose raw sensitive identifiers in evidence.</t>
  </si>
  <si>
    <t>Consent State</t>
  </si>
  <si>
    <t>Active Consent Groups</t>
  </si>
  <si>
    <t>User State</t>
  </si>
  <si>
    <t>ECID Available</t>
  </si>
  <si>
    <t>Customer ID Available</t>
  </si>
  <si>
    <t>IDP/OKTA Available</t>
  </si>
  <si>
    <t>Expected Target Behaviour</t>
  </si>
  <si>
    <t>Expected Analytics Behaviour</t>
  </si>
  <si>
    <t>Expected Web SDK Call</t>
  </si>
  <si>
    <t>Actual Behaviour</t>
  </si>
  <si>
    <t>CNS-001</t>
  </si>
  <si>
    <t>Full consent</t>
  </si>
  <si>
    <t>Anonymous</t>
  </si>
  <si>
    <t>Expected</t>
  </si>
  <si>
    <t>Target decisioning and personalization occur as approved.</t>
  </si>
  <si>
    <t>Analytics measurement occurs as approved.</t>
  </si>
  <si>
    <t>Approved Web SDK call with consent and permitted identity/data.</t>
  </si>
  <si>
    <t>CNS-002</t>
  </si>
  <si>
    <t>Performance denied</t>
  </si>
  <si>
    <t>Target behavior follows the approved category design.</t>
  </si>
  <si>
    <t>Performance/Analytics collection is suppressed or limited as designed.</t>
  </si>
  <si>
    <t>Payload contains only permitted data.</t>
  </si>
  <si>
    <t>CNS-003</t>
  </si>
  <si>
    <t>Targeting denied</t>
  </si>
  <si>
    <t>Target request/personalization is suppressed or limited as designed.</t>
  </si>
  <si>
    <t>Analytics behavior follows the approved category design.</t>
  </si>
  <si>
    <t>No unauthorized targeting data is transmitted.</t>
  </si>
  <si>
    <t>CNS-004</t>
  </si>
  <si>
    <t>All optional categories denied</t>
  </si>
  <si>
    <t>All optional denied</t>
  </si>
  <si>
    <t>No</t>
  </si>
  <si>
    <t>No optional personalization is performed unless explicitly permitted.</t>
  </si>
  <si>
    <t>No optional measurement is performed unless explicitly permitted.</t>
  </si>
  <si>
    <t>Only consent-management traffic permitted by policy is sent.</t>
  </si>
  <si>
    <t>CNS-005</t>
  </si>
  <si>
    <t>Consent changed from denied to accepted</t>
  </si>
  <si>
    <t>Changed during session</t>
  </si>
  <si>
    <t>Future Target behavior initializes once according to design.</t>
  </si>
  <si>
    <t>Future Analytics behavior initializes once without replay duplication.</t>
  </si>
  <si>
    <t>State change is transmitted and subsequent calls follow new consent.</t>
  </si>
  <si>
    <t>CNS-006</t>
  </si>
  <si>
    <t>Consent changed from accepted to denied</t>
  </si>
  <si>
    <t>Future Target calls/rendering follow withdrawal design.</t>
  </si>
  <si>
    <t>Future Analytics calls follow withdrawal design.</t>
  </si>
  <si>
    <t>No unauthorized future data is sent.</t>
  </si>
  <si>
    <t>CNS-007</t>
  </si>
  <si>
    <t>Returning visitor and regional consent</t>
  </si>
  <si>
    <t>Returning / regional</t>
  </si>
  <si>
    <t>Returning</t>
  </si>
  <si>
    <t>Stored consent and region produce the approved Target behavior.</t>
  </si>
  <si>
    <t>Stored consent and region produce the approved Analytics behavior.</t>
  </si>
  <si>
    <t>Consent is read before applicable calls.</t>
  </si>
  <si>
    <t>IDN-001</t>
  </si>
  <si>
    <t>Anonymous visitor identity</t>
  </si>
  <si>
    <t>Logged out</t>
  </si>
  <si>
    <t>Anonymous qualification uses approved ECID/profile behavior.</t>
  </si>
  <si>
    <t>Anonymous reporting uses permitted identifiers.</t>
  </si>
  <si>
    <t>identityMap contains approved anonymous identity before decisioning.</t>
  </si>
  <si>
    <t>IDN-002</t>
  </si>
  <si>
    <t>Authenticated visitor identity</t>
  </si>
  <si>
    <t>Logged in</t>
  </si>
  <si>
    <t>Expected if applicable</t>
  </si>
  <si>
    <t>Authenticated qualification uses the intended profile without cross-user leakage.</t>
  </si>
  <si>
    <t>Reporting uses the approved authenticated context.</t>
  </si>
  <si>
    <t>Masked identity namespaces are present before dependent decisioning.</t>
  </si>
  <si>
    <t>IDN-003</t>
  </si>
  <si>
    <t>Login or logout during SPA session</t>
  </si>
  <si>
    <t>State transition</t>
  </si>
  <si>
    <t>Target re-evaluation and profile handling follow the approved transition design.</t>
  </si>
  <si>
    <t>Reporting attributes events to the correct state.</t>
  </si>
  <si>
    <t>Identity updates once and subsequent events use the correct state.</t>
  </si>
  <si>
    <t>IDN-004</t>
  </si>
  <si>
    <t>Cross-domain identity where applicable</t>
  </si>
  <si>
    <t>Anonymous / Logged in</t>
  </si>
  <si>
    <t>Qualification continuity follows the approved cross-domain design.</t>
  </si>
  <si>
    <t>Reporting continuity follows the approved cross-domain design.</t>
  </si>
  <si>
    <t>Permitted identity is preserved without exposing raw sensitive values.</t>
  </si>
  <si>
    <t>Reporting &amp; A4T Validation</t>
  </si>
  <si>
    <t>Analytics/A4T and Target reporting are separate controls. The reviewed inventory records Target reporting for all 106 activities; Analytics-specific values remain To Be Confirmed where applicable.</t>
  </si>
  <si>
    <t>Reporting Source</t>
  </si>
  <si>
    <t>Metric Name</t>
  </si>
  <si>
    <t>Conversion</t>
  </si>
  <si>
    <t>Action Type</t>
  </si>
  <si>
    <t>Analytics Company</t>
  </si>
  <si>
    <t>Analytics Report Suite</t>
  </si>
  <si>
    <t>Analytics Event</t>
  </si>
  <si>
    <t>Target Metric Location Type</t>
  </si>
  <si>
    <t>Target Metric Location</t>
  </si>
  <si>
    <t>Target Success Event</t>
  </si>
  <si>
    <t>Click Selector</t>
  </si>
  <si>
    <t>Impression Trigger</t>
  </si>
  <si>
    <t>Interaction Trigger</t>
  </si>
  <si>
    <t>Conversion Trigger</t>
  </si>
  <si>
    <t>Expected Call Timing</t>
  </si>
  <si>
    <t>Expected Request</t>
  </si>
  <si>
    <t>Actual Request</t>
  </si>
  <si>
    <t>Duplicate Call</t>
  </si>
  <si>
    <t>RPT-0001</t>
  </si>
  <si>
    <t>[GS-POC] 2024 Full Year and Fourth Quarter Earnings Results</t>
  </si>
  <si>
    <t>target</t>
  </si>
  <si>
    <t>MY PRIMARY GOAL</t>
  </si>
  <si>
    <t>count_once</t>
  </si>
  <si>
    <t>-</t>
  </si>
  <si>
    <t>N/A - Target reporting source</t>
  </si>
  <si>
    <t>mbox</t>
  </si>
  <si>
    <t>target-global-mbox</t>
  </si>
  <si>
    <t>mbox_shown</t>
  </si>
  <si>
    <t>To Be Confirmed - validate after visible render</t>
  </si>
  <si>
    <t>To Be Confirmed - validate configured user action</t>
  </si>
  <si>
    <t>To Be Confirmed - validate configured activity objective</t>
  </si>
  <si>
    <t>After visible render or configured user action; exact timing To Be Confirmed</t>
  </si>
  <si>
    <t>Target metric request for MY PRIMARY GOAL at mbox / target-global-mbox, success event mbox_shown.</t>
  </si>
  <si>
    <t>Keep Analytics and Target reporting evidence separate. Current inventory run records Target reporting for all activities.</t>
  </si>
  <si>
    <t>RPT-0002</t>
  </si>
  <si>
    <t>[POC-GS] Header notice</t>
  </si>
  <si>
    <t>RPT-0003</t>
  </si>
  <si>
    <t>RPT-0004</t>
  </si>
  <si>
    <t>[Untitled Activity] Jan 14 2025, 14:52</t>
  </si>
  <si>
    <t>RPT-0005</t>
  </si>
  <si>
    <t>ADDITIONAL GOAL 1,ADDITIONAL GOAL 2,MY PRIMARY GOAL</t>
  </si>
  <si>
    <t>target-global-mbox1,target-global-mbox</t>
  </si>
  <si>
    <t>Target metric request for ADDITIONAL GOAL 1,ADDITIONAL GOAL 2,MY PRIMARY GOAL at mbox / target-global-mbox1,target-global-mbox, success event mbox_shown.</t>
  </si>
  <si>
    <t>RPT-0006</t>
  </si>
  <si>
    <t>Target metric request for MY PRIMARY GOAL at - / -, success event -.</t>
  </si>
  <si>
    <t>RPT-0007</t>
  </si>
  <si>
    <t>Target metric request for - at - / -, success event -.</t>
  </si>
  <si>
    <t>RPT-0008</t>
  </si>
  <si>
    <t>Arc First Test Activity</t>
  </si>
  <si>
    <t>RPT-0009</t>
  </si>
  <si>
    <t>RPT-0010</t>
  </si>
  <si>
    <t>CAP Gender Personalization</t>
  </si>
  <si>
    <t>selector</t>
  </si>
  <si>
    <t>HTML &gt; BODY &gt; H2:nth-of-type(1)</t>
  </si>
  <si>
    <t>click</t>
  </si>
  <si>
    <t>Target metric request for MY PRIMARY GOAL at selector / HTML &gt; BODY &gt; H2:nth-of-type(1), success event click.</t>
  </si>
  <si>
    <t>RPT-0011</t>
  </si>
  <si>
    <t>CAP POC Test1</t>
  </si>
  <si>
    <t>RPT-0012</t>
  </si>
  <si>
    <t>CAP Test 2</t>
  </si>
  <si>
    <t>hero-banner,target-global-mbox</t>
  </si>
  <si>
    <t>Target metric request for MY PRIMARY GOAL at mbox / hero-banner,target-global-mbox, success event mbox_shown.</t>
  </si>
  <si>
    <t>RPT-0013</t>
  </si>
  <si>
    <t>RPT-0014</t>
  </si>
  <si>
    <t>RPT-0015</t>
  </si>
  <si>
    <t>RPT-0016</t>
  </si>
  <si>
    <t>Form Based GAQ test activity</t>
  </si>
  <si>
    <t>RPT-0017</t>
  </si>
  <si>
    <t>RPT-0018</t>
  </si>
  <si>
    <t>target-ew-mbox,target-global-mbox</t>
  </si>
  <si>
    <t>Target metric request for MY PRIMARY GOAL at mbox / target-ew-mbox,target-global-mbox, success event mbox_shown.</t>
  </si>
  <si>
    <t>RPT-0019</t>
  </si>
  <si>
    <t>India testing activity</t>
  </si>
  <si>
    <t>RPT-0020</t>
  </si>
  <si>
    <t>RPT-0021</t>
  </si>
  <si>
    <t>Local Host Test - Archana</t>
  </si>
  <si>
    <t>RPT-0022</t>
  </si>
  <si>
    <t>RPT-0023</t>
  </si>
  <si>
    <t>RPT-0024</t>
  </si>
  <si>
    <t>RPT-0025</t>
  </si>
  <si>
    <t>Luma</t>
  </si>
  <si>
    <t>RPT-0026</t>
  </si>
  <si>
    <t>Naln luma A/B test</t>
  </si>
  <si>
    <t>shop now button,MY PRIMARY GOAL</t>
  </si>
  <si>
    <t>selector,mbox</t>
  </si>
  <si>
    <t>HTML &gt; BODY &gt; DIV:nth-of-type(1) &gt; DIV:nth-of-type(1) &gt; DIV:nth-of-type(1) &gt; DIV:nth-of-type(2) &gt; DIV:nth-of-type(1) &gt; DIV:nth-of-type(1) &gt; DIV:nth-of-type(1) &gt; P:nth-of-type(2) &gt; A:nth-of-type(1),target-global-mbox</t>
  </si>
  <si>
    <t>click,mbox_shown</t>
  </si>
  <si>
    <t>Target metric request for shop now button,MY PRIMARY GOAL at selector,mbox / HTML &gt; BODY &gt; DIV:nth-of-type(1) &gt; DIV:nth-of-type(1) &gt; DIV:nth-of-type(1) &gt; DIV:nth-of-type(2) &gt; DIV:nth-of-type(1) &gt; DIV:nth-of-type(1) &gt; DIV:nth-of-type(1) &gt; P:nth-of-type(2) &gt; A:nth-of-type(1),target-global-mbox, success event click,mbox_shown.</t>
  </si>
  <si>
    <t>RPT-0027</t>
  </si>
  <si>
    <t>naln luma MVT</t>
  </si>
  <si>
    <t>RPT-0028</t>
  </si>
  <si>
    <t>Naln Luma XT</t>
  </si>
  <si>
    <t>RPT-0029</t>
  </si>
  <si>
    <t>Next POC</t>
  </si>
  <si>
    <t>RPT-0030</t>
  </si>
  <si>
    <t>launch-trigger-mbox,target-global-mbox</t>
  </si>
  <si>
    <t>Target metric request for MY PRIMARY GOAL at mbox / launch-trigger-mbox,target-global-mbox, success event mbox_shown.</t>
  </si>
  <si>
    <t>RPT-0031</t>
  </si>
  <si>
    <t>RPT-0032</t>
  </si>
  <si>
    <t>RPT-0033</t>
  </si>
  <si>
    <t>HTML &gt; BODY &gt; A:nth-of-type(1),HTML &gt; BODY &gt; DIV:nth-of-type(1) &gt; DIV:nth-of-type(1) &gt; DIV:nth-of-type(1) &gt; MAIN:nth-of-type(1) &gt; DIV:nth-of-type(1) &gt; DIV:nth-of-type(1) &gt; DIV:nth-of-type(1) &gt; DIV:nth-of-type(1) &gt; H1:nth-of-type(1),HTML &gt; BODY &gt; DIV:nth-of-type(1) &gt; DIV:nth-of-type(1) &gt; DIV:nth-of-type(1) &gt; MAIN:nth-of-type(1) &gt; DIV:nth-of-type(1) &gt; DIV:nth-of-type(1) &gt; DIV:nth-of-type(2) &gt; DIV:nth-of-type(1) &gt; DIV:nth-of-type(1) &gt; IMG:nth-of-type(1)</t>
  </si>
  <si>
    <t>Target metric request for MY PRIMARY GOAL at selector / HTML &gt; BODY &gt; A:nth-of-type(1),HTML &gt; BODY &gt; DIV:nth-of-type(1) &gt; DIV:nth-of-type(1) &gt; DIV:nth-of-type(1) &gt; MAIN:nth-of-type(1) &gt; DIV:nth-of-type(1) &gt; DIV:nth-of-type(1) &gt; DIV:nth-of-type(1) &gt; DIV:nth-of-type(1) &gt; H1:nth-of-type(1),HTML &gt; BODY &gt; DIV:nth-of-type(1) &gt; DIV:nth-of-type(1) &gt; DIV:nth-of-type(1) &gt; MAIN:nth-of-type(1) &gt; DIV:nth-of-type(1) &gt; DIV:nth-of-type(1) &gt; DIV:nth-of-type(2) &gt; DIV:nth-of-type(1) &gt; DIV:nth-of-type(1) &gt; IMG:nth-of-type(1), success event click.</t>
  </si>
  <si>
    <t>RPT-0034</t>
  </si>
  <si>
    <t>homepage-offer,target-global-mbox</t>
  </si>
  <si>
    <t>Target metric request for MY PRIMARY GOAL at mbox / homepage-offer,target-global-mbox, success event mbox_shown.</t>
  </si>
  <si>
    <t>RPT-0035</t>
  </si>
  <si>
    <t>QD AEP POC</t>
  </si>
  <si>
    <t>RPT-0036</t>
  </si>
  <si>
    <t>rec luma ecommerce naln2</t>
  </si>
  <si>
    <t>RPT-0037</t>
  </si>
  <si>
    <t>RPT-0038</t>
  </si>
  <si>
    <t>Ritika POC</t>
  </si>
  <si>
    <t>RPT-0039</t>
  </si>
  <si>
    <t>rk9-test-on-device</t>
  </si>
  <si>
    <t>RPT-0040</t>
  </si>
  <si>
    <t>RPT-0041</t>
  </si>
  <si>
    <t>Say Hello</t>
  </si>
  <si>
    <t>RPT-0042</t>
  </si>
  <si>
    <t>RPT-0043</t>
  </si>
  <si>
    <t>RPT-0044</t>
  </si>
  <si>
    <t>Spectra_testActivity</t>
  </si>
  <si>
    <t>RPT-0045</t>
  </si>
  <si>
    <t>RPT-0046</t>
  </si>
  <si>
    <t>RPT-0047</t>
  </si>
  <si>
    <t>Target Training Demo</t>
  </si>
  <si>
    <t>HTML &gt; BODY &gt; DIV:nth-of-type(1) &gt; DIV:nth-of-type(2) &gt; DIV:nth-of-type(1) &gt; A:nth-of-type(1) &gt; BUTTON:nth-of-type(1)</t>
  </si>
  <si>
    <t>Target metric request for MY PRIMARY GOAL at selector / HTML &gt; BODY &gt; DIV:nth-of-type(1) &gt; DIV:nth-of-type(2) &gt; DIV:nth-of-type(1) &gt; A:nth-of-type(1) &gt; BUTTON:nth-of-type(1), success event click.</t>
  </si>
  <si>
    <t>RPT-0048</t>
  </si>
  <si>
    <t>Target_Demo2</t>
  </si>
  <si>
    <t>RPT-0049</t>
  </si>
  <si>
    <t>TargetDemo_10_27</t>
  </si>
  <si>
    <t>RPT-0050</t>
  </si>
  <si>
    <t>Tarining-Target-EW</t>
  </si>
  <si>
    <t>target-ew-mbox</t>
  </si>
  <si>
    <t>Target metric request for MY PRIMARY GOAL at mbox / target-ew-mbox, success event mbox_shown.</t>
  </si>
  <si>
    <t>RPT-0051</t>
  </si>
  <si>
    <t>Tarining-Target-EW1</t>
  </si>
  <si>
    <t>RPT-0052</t>
  </si>
  <si>
    <t>Tarining-Target-EW2</t>
  </si>
  <si>
    <t>RPT-0053</t>
  </si>
  <si>
    <t>Tarining-Target-EW2 Copy</t>
  </si>
  <si>
    <t>RPT-0054</t>
  </si>
  <si>
    <t>Tarining-Target-EW3</t>
  </si>
  <si>
    <t>RPT-0055</t>
  </si>
  <si>
    <t>Tarining-Target-EW4</t>
  </si>
  <si>
    <t>RPT-0056</t>
  </si>
  <si>
    <t>Tarining-Target-EW5</t>
  </si>
  <si>
    <t>RPT-0057</t>
  </si>
  <si>
    <t>Tarining-Target-EW6</t>
  </si>
  <si>
    <t>RPT-0058</t>
  </si>
  <si>
    <t>Tarining-Target-EW7</t>
  </si>
  <si>
    <t>RPT-0059</t>
  </si>
  <si>
    <t>Td - Target Integration Test | AY</t>
  </si>
  <si>
    <t>RPT-0060</t>
  </si>
  <si>
    <t>test</t>
  </si>
  <si>
    <t>RPT-0061</t>
  </si>
  <si>
    <t>ADDITIONAL GOAL 1,MY PRIMARY GOAL</t>
  </si>
  <si>
    <t>Target metric request for ADDITIONAL GOAL 1,MY PRIMARY GOAL at mbox / target-global-mbox, success event mbox_shown.</t>
  </si>
  <si>
    <t>RPT-0062</t>
  </si>
  <si>
    <t>Test Activity</t>
  </si>
  <si>
    <t>RPT-0063</t>
  </si>
  <si>
    <t>TEst activity</t>
  </si>
  <si>
    <t>RPT-0064</t>
  </si>
  <si>
    <t>RPT-0065</t>
  </si>
  <si>
    <t>Test Chevron activity</t>
  </si>
  <si>
    <t>RPT-0066</t>
  </si>
  <si>
    <t>RPT-0067</t>
  </si>
  <si>
    <t>RPT-0068</t>
  </si>
  <si>
    <t>RPT-0069</t>
  </si>
  <si>
    <t>RPT-0070</t>
  </si>
  <si>
    <t>RPT-0071</t>
  </si>
  <si>
    <t>Test-UV</t>
  </si>
  <si>
    <t>RPT-0072</t>
  </si>
  <si>
    <t>Texas GAQ New Activity</t>
  </si>
  <si>
    <t>RPT-0073</t>
  </si>
  <si>
    <t>RPT-0074</t>
  </si>
  <si>
    <t>Tga_test1</t>
  </si>
  <si>
    <t>RPT-0075</t>
  </si>
  <si>
    <t>RPT-0076</t>
  </si>
  <si>
    <t>to-be-delted</t>
  </si>
  <si>
    <t>RPT-0077</t>
  </si>
  <si>
    <t>RPT-0078</t>
  </si>
  <si>
    <t>Untitled 1234</t>
  </si>
  <si>
    <t>RPT-0079</t>
  </si>
  <si>
    <t>RPT-0080</t>
  </si>
  <si>
    <t>Untitled Activity 10/7/2025, 4:10:57 PM</t>
  </si>
  <si>
    <t>RPT-0081</t>
  </si>
  <si>
    <t>Untitled Activity 11/3/2025, 11:23:03 AM</t>
  </si>
  <si>
    <t>homepage1,target-global-mbox</t>
  </si>
  <si>
    <t>Target metric request for MY PRIMARY GOAL at mbox / homepage1,target-global-mbox, success event mbox_shown.</t>
  </si>
  <si>
    <t>RPT-0082</t>
  </si>
  <si>
    <t>Untitled Activity 11/6/2025, 4:43:12 PM</t>
  </si>
  <si>
    <t>RPT-0083</t>
  </si>
  <si>
    <t>Untitled Activity 2/23/2026, 9:55:40 AM</t>
  </si>
  <si>
    <t>RPT-0084</t>
  </si>
  <si>
    <t>Untitled Activity 3/2/2026, 11:58:01 AM</t>
  </si>
  <si>
    <t>RPT-0085</t>
  </si>
  <si>
    <t>Untitled Activity 3/3/2026, 3:06:56 PM</t>
  </si>
  <si>
    <t>RPT-0086</t>
  </si>
  <si>
    <t>Untitled Activity 3/4/2026, 12:31:52 PM</t>
  </si>
  <si>
    <t>RPT-0087</t>
  </si>
  <si>
    <t>Untitled Activity 4/10/2026, 9:52:42 PM</t>
  </si>
  <si>
    <t>RPT-0088</t>
  </si>
  <si>
    <t>Untitled Activity 4/21/2026, 2:50:59 PM</t>
  </si>
  <si>
    <t>RPT-0089</t>
  </si>
  <si>
    <t>Untitled Activity 4/29/2026, 4:29:01 PM</t>
  </si>
  <si>
    <t>RPT-0090</t>
  </si>
  <si>
    <t>Untitled Activity 5/12/2026, 8:30:59 PM</t>
  </si>
  <si>
    <t>HTML &gt; BODY &gt; SECTION:nth-of-type(1) &gt; DIV:nth-of-type(1) &gt; DIV:nth-of-type(1) &gt; A:nth-of-type(1)</t>
  </si>
  <si>
    <t>Target metric request for MY PRIMARY GOAL at selector / HTML &gt; BODY &gt; SECTION:nth-of-type(1) &gt; DIV:nth-of-type(1) &gt; DIV:nth-of-type(1) &gt; A:nth-of-type(1), success event click.</t>
  </si>
  <si>
    <t>RPT-0091</t>
  </si>
  <si>
    <t>Untitled Activity 5/23/2026, 3:43:26 PM</t>
  </si>
  <si>
    <t>RPT-0092</t>
  </si>
  <si>
    <t>RPT-0093</t>
  </si>
  <si>
    <t>Untitled Activity 7/1/2026, 6:21:21 pm</t>
  </si>
  <si>
    <t>RPT-0094</t>
  </si>
  <si>
    <t>RPT-0095</t>
  </si>
  <si>
    <t>Untitled Activity 8/19/2025, 1:08:41 PM</t>
  </si>
  <si>
    <t>RPT-0096</t>
  </si>
  <si>
    <t>Untitled Activity 8/7/2025, 2:41:15 PM</t>
  </si>
  <si>
    <t>RPT-0097</t>
  </si>
  <si>
    <t>RPT-0098</t>
  </si>
  <si>
    <t>Untitled Activity 9/1/2025, 2:16:44 PM</t>
  </si>
  <si>
    <t>RPT-0099</t>
  </si>
  <si>
    <t>Vignesh Test</t>
  </si>
  <si>
    <t>homepage,target-global-mbox</t>
  </si>
  <si>
    <t>Target metric request for MY PRIMARY GOAL at mbox / homepage,target-global-mbox, success event mbox_shown.</t>
  </si>
  <si>
    <t>RPT-0100</t>
  </si>
  <si>
    <t>RPT-0101</t>
  </si>
  <si>
    <t>Vignesh test3</t>
  </si>
  <si>
    <t>banner,target-global-mbox</t>
  </si>
  <si>
    <t>Target metric request for MY PRIMARY GOAL at mbox / banner,target-global-mbox, success event mbox_shown.</t>
  </si>
  <si>
    <t>RPT-0102</t>
  </si>
  <si>
    <t>RPT-0103</t>
  </si>
  <si>
    <t>VRC Banner Activity</t>
  </si>
  <si>
    <t>RPT-0104</t>
  </si>
  <si>
    <t>RPT-0105</t>
  </si>
  <si>
    <t>RPT-0106</t>
  </si>
  <si>
    <t>XT luma naln2</t>
  </si>
  <si>
    <t>Rendering &amp; SPA Validation</t>
  </si>
  <si>
    <t>Approved activities and their inventory mappings. Validate direct entry, SPA navigation, delayed containers, stale-content cleanup, collision, flicker, and fallback behavior.</t>
  </si>
  <si>
    <t>Page/Route</t>
  </si>
  <si>
    <t>Initial Load or Route Change</t>
  </si>
  <si>
    <t>Location Type</t>
  </si>
  <si>
    <t>Mbox/Scope/Selector</t>
  </si>
  <si>
    <t>Skeleton Container</t>
  </si>
  <si>
    <t>Expected Offer</t>
  </si>
  <si>
    <t>Expected Render Timing</t>
  </si>
  <si>
    <t>Pre-Hiding Method</t>
  </si>
  <si>
    <t>Competing Activities</t>
  </si>
  <si>
    <t>Priority Expectation</t>
  </si>
  <si>
    <t>Flicker Observed</t>
  </si>
  <si>
    <t>Duplicate Render Observed</t>
  </si>
  <si>
    <t>Layout Shift Observed</t>
  </si>
  <si>
    <t>JavaScript Error</t>
  </si>
  <si>
    <t>RND-0001</t>
  </si>
  <si>
    <t>Initial Load and Route Change</t>
  </si>
  <si>
    <t>Location 0 - HTML &gt; BODY &gt; HEADER:nth-of-type(1) &gt; DIV:nth-of-type(1) &gt; DIV:nth-of-type(1) &gt; DIV:nth-of-type(1) &gt; DIV:nth-of-type(1) &gt; DIV:nth-of-type(1) &gt; IMG:nth-of-type(1)</t>
  </si>
  <si>
    <t>Offer2</t>
  </si>
  <si>
    <t>After eligible proposition and container availability; threshold To Be Confirmed</t>
  </si>
  <si>
    <t>To Be Confirmed - global pre-hiding was not consistently identified</t>
  </si>
  <si>
    <t>Higher-priority eligible activity should win; confirm Target and custom-code precedence</t>
  </si>
  <si>
    <t>Validate delayed container, route revisit, stale-content cleanup, timers/listeners, fallback, and responsive layout.</t>
  </si>
  <si>
    <t>RND-0002</t>
  </si>
  <si>
    <t>Location 1 - HTML &gt; BODY &gt; NAV:nth-of-type(1) &gt; DIV:nth-of-type(1) &gt; A:nth-of-type(1)</t>
  </si>
  <si>
    <t>320316, 320512</t>
  </si>
  <si>
    <t>RND-0003</t>
  </si>
  <si>
    <t>RND-0004</t>
  </si>
  <si>
    <t>RND-0005</t>
  </si>
  <si>
    <t>Offer4</t>
  </si>
  <si>
    <t>RND-0006</t>
  </si>
  <si>
    <t>Offer3</t>
  </si>
  <si>
    <t>RND-0007</t>
  </si>
  <si>
    <t>Location 1 - HTML &gt; BODY &gt; DIV:nth-of-type(1) &gt; DIV:nth-of-type(1) &gt; DIV:nth-of-type(1) &gt; DIV:nth-of-type(2) &gt; DIV:nth-of-type(1) &gt; DIV:nth-of-type(1) &gt; DIV:nth-of-type(1) &gt; P:nth-of-type(2) &gt; A:nth-of-type(1)</t>
  </si>
  <si>
    <t>Default Content</t>
  </si>
  <si>
    <t>RND-0008</t>
  </si>
  <si>
    <t>Offer 2</t>
  </si>
  <si>
    <t>RND-0009</t>
  </si>
  <si>
    <t>Location 0 - HTML &gt; BODY &gt; DIV.container:eq(0) &gt; DIV.root:eq(0) &gt; DIV.aem-Grid:eq(0) &gt; DIV.responsivegrid:eq(0) &gt; DIV.aem-Grid:eq(0) &gt; DIV.we-carousel:eq(0) &gt; DIV.cmp-carousel:eq(0) &gt; DIV.cmp-carousel__content:eq(0) &gt; DIV.cmp-carousel__item:eq(0) &gt; DIV.teaser:eq(0) &gt; DIV.cmp-teaser:eq(0) &gt; DIV.cmp-teaser__content:eq(0) &gt; DIV.cmp-teaser__action-container:eq(0) &gt; A.cmp-teaser__action-link:eq(0)</t>
  </si>
  <si>
    <t>RND-0010</t>
  </si>
  <si>
    <t>Location 1 - HTML &gt; BODY &gt; DIV.container:eq(0) &gt; DIV.root:eq(0) &gt; DIV.aem-Grid:eq(0) &gt; DIV.responsivegrid:eq(0) &gt; DIV.aem-Grid:eq(0) &gt; DIV.we-carousel:eq(0) &gt; DIV.cmp-carousel:eq(0) &gt; DIV.cmp-carousel__content:eq(0) &gt; DIV.cmp-carousel__item:eq(0) &gt; DIV.teaser:eq(0) &gt; DIV.cmp-teaser:eq(0) &gt; DIV.cmp-teaser__content:eq(0) &gt; DIV.cmp-teaser__action-container:eq(0) &gt; A.cmp-teaser__action-link:eq(0)</t>
  </si>
  <si>
    <t>RND-0011</t>
  </si>
  <si>
    <t>Location 2 - HTML &gt; BODY &gt; DIV.container:eq(0) &gt; DIV.root:eq(0) &gt; DIV.aem-Grid:eq(0) &gt; DIV.responsivegrid:eq(0) &gt; DIV.aem-Grid:eq(0) &gt; DIV.title:eq(0) &gt; DIV.cmp-title:eq(0) &gt; H2.cmp-title__text:eq(0)</t>
  </si>
  <si>
    <t>RND-0012</t>
  </si>
  <si>
    <t>Location 3 - HTML &gt; BODY &gt; DIV.container:eq(0) &gt; DIV.root:eq(0) &gt; DIV.aem-Grid:eq(0) &gt; DIV.responsivegrid:eq(0) &gt; DIV.aem-Grid:eq(0) &gt; DIV.we-carousel:eq(0) &gt; DIV.cmp-carousel:eq(0) &gt; DIV.cmp-carousel__content:eq(0) &gt; DIV.cmp-carousel__item:eq(0) &gt; DIV.teaser:eq(0) &gt; DIV.cmp-teaser:eq(0) &gt; DIV.cmp-teaser__image:eq(0) &gt; DIV.cmp-image:eq(0) &gt; IMG.cmp-image__image:eq(0)</t>
  </si>
  <si>
    <t>Offer5</t>
  </si>
  <si>
    <t>RND-0013</t>
  </si>
  <si>
    <t>Offer7</t>
  </si>
  <si>
    <t>RND-0014</t>
  </si>
  <si>
    <t>Offer8</t>
  </si>
  <si>
    <t>RND-0015</t>
  </si>
  <si>
    <t>Offer6</t>
  </si>
  <si>
    <t>RND-0016</t>
  </si>
  <si>
    <t>Offer9</t>
  </si>
  <si>
    <t>RND-0017</t>
  </si>
  <si>
    <t>RND-0018</t>
  </si>
  <si>
    <t>Location 0 - HTML &gt; BODY &gt; DIV:nth-of-type(1) &gt; DIV:nth-of-type(1) &gt; DIV:nth-of-type(1) &gt; HEADER:nth-of-type(1) &gt; DIV:nth-of-type(1) &gt; DIV:nth-of-type(2) &gt; DIV:nth-of-type(1) &gt; DIV:nth-of-type(1) &gt; DIV:nth-of-type(1) &gt; DIV:nth-of-type(1) &gt; H1:nth-of-type(1)</t>
  </si>
  <si>
    <t>RND-0019</t>
  </si>
  <si>
    <t>RND-0020</t>
  </si>
  <si>
    <t>289610, 289617, 292079, 292990, 293092, 293206, 293272, 296844, 328889, 332726</t>
  </si>
  <si>
    <t>RND-0021</t>
  </si>
  <si>
    <t>Location 1 - HTML &gt; BODY &gt; DIV:nth-of-type(1) &gt; DIV:nth-of-type(1) &gt; DIV:nth-of-type(3)</t>
  </si>
  <si>
    <t>RND-0022</t>
  </si>
  <si>
    <t>Location 3 - HTML &gt; BODY &gt; DIV:nth-of-type(1) &gt; DIV:nth-of-type(1) &gt; DIV:nth-of-type(2)</t>
  </si>
  <si>
    <t>RND-0023</t>
  </si>
  <si>
    <t>Location 6 - HTML &gt; BODY &gt; DIV:nth-of-type(1) &gt; DIV:nth-of-type(1) &gt; DIV:nth-of-type(4)</t>
  </si>
  <si>
    <t>RND-0024</t>
  </si>
  <si>
    <t>Location 10 - HTML &gt; BODY &gt; DIV:nth-of-type(1) &gt; DIV:nth-of-type(1) &gt; DIV:nth-of-type(8)</t>
  </si>
  <si>
    <t>RND-0025</t>
  </si>
  <si>
    <t>Location 15 - HTML &gt; BODY &gt; DIV:nth-of-type(1) &gt; DIV:nth-of-type(1) &gt; DIV:nth-of-type(6)</t>
  </si>
  <si>
    <t>RND-0026</t>
  </si>
  <si>
    <t>Location 21 - HTML &gt; BODY &gt; DIV:nth-of-type(1) &gt; DIV:nth-of-type(1) &gt; DIV:nth-of-type(7)</t>
  </si>
  <si>
    <t>RND-0027</t>
  </si>
  <si>
    <t>Location 28 - HTML &gt; BODY &gt; DIV:nth-of-type(1) &gt; DIV:nth-of-type(1) &gt; DIV:nth-of-type(5)</t>
  </si>
  <si>
    <t>RND-0028</t>
  </si>
  <si>
    <t>Location 36 - HTML &gt; BODY &gt; DIV:nth-of-type(1) &gt; DIV:nth-of-type(1) &gt; DIV:nth-of-type(1) &gt; H3:nth-of-type(1)</t>
  </si>
  <si>
    <t>RND-0029</t>
  </si>
  <si>
    <t>Location 45 - HTML &gt; BODY &gt; DIV:nth-of-type(1) &gt; DIV:nth-of-type(1) &gt; DIV:nth-of-type(1) &gt; P:nth-of-type(1)</t>
  </si>
  <si>
    <t>RND-0030</t>
  </si>
  <si>
    <t>Location 46 - HEAD</t>
  </si>
  <si>
    <t>RND-0031</t>
  </si>
  <si>
    <t>Location 47 - HTML &gt; BODY &gt; HEADER:nth-of-type(1)</t>
  </si>
  <si>
    <t>Offer 52</t>
  </si>
  <si>
    <t>RND-0032</t>
  </si>
  <si>
    <t>RND-0033</t>
  </si>
  <si>
    <t>RND-0034</t>
  </si>
  <si>
    <t>RND-0035</t>
  </si>
  <si>
    <t>RND-0036</t>
  </si>
  <si>
    <t>RND-0037</t>
  </si>
  <si>
    <t>RND-0038</t>
  </si>
  <si>
    <t>RND-0039</t>
  </si>
  <si>
    <t>RND-0040</t>
  </si>
  <si>
    <t>RND-0041</t>
  </si>
  <si>
    <t>RND-0042</t>
  </si>
  <si>
    <t>Offer 48</t>
  </si>
  <si>
    <t>RND-0043</t>
  </si>
  <si>
    <t>RND-0044</t>
  </si>
  <si>
    <t>Offer 4</t>
  </si>
  <si>
    <t>RND-0045</t>
  </si>
  <si>
    <t>Offer 7</t>
  </si>
  <si>
    <t>RND-0046</t>
  </si>
  <si>
    <t>Offer 11</t>
  </si>
  <si>
    <t>RND-0047</t>
  </si>
  <si>
    <t>Offer 16</t>
  </si>
  <si>
    <t>RND-0048</t>
  </si>
  <si>
    <t>Offer 22</t>
  </si>
  <si>
    <t>RND-0049</t>
  </si>
  <si>
    <t>Offer 29</t>
  </si>
  <si>
    <t>RND-0050</t>
  </si>
  <si>
    <t>Offer 37</t>
  </si>
  <si>
    <t>RND-0051</t>
  </si>
  <si>
    <t>Offer 46</t>
  </si>
  <si>
    <t>RND-0052</t>
  </si>
  <si>
    <t>RND-0053</t>
  </si>
  <si>
    <t>RND-0054</t>
  </si>
  <si>
    <t>RND-0055</t>
  </si>
  <si>
    <t>RND-0056</t>
  </si>
  <si>
    <t>RND-0057</t>
  </si>
  <si>
    <t>RND-0058</t>
  </si>
  <si>
    <t>RND-0059</t>
  </si>
  <si>
    <t>RND-0060</t>
  </si>
  <si>
    <t>RND-0061</t>
  </si>
  <si>
    <t>RND-0062</t>
  </si>
  <si>
    <t>RND-0063</t>
  </si>
  <si>
    <t>RND-0064</t>
  </si>
  <si>
    <t>Offer 50</t>
  </si>
  <si>
    <t>RND-0065</t>
  </si>
  <si>
    <t>RND-0066</t>
  </si>
  <si>
    <t>RND-0067</t>
  </si>
  <si>
    <t>RND-0068</t>
  </si>
  <si>
    <t>RND-0069</t>
  </si>
  <si>
    <t>RND-0070</t>
  </si>
  <si>
    <t>RND-0071</t>
  </si>
  <si>
    <t>RND-0072</t>
  </si>
  <si>
    <t>RND-0073</t>
  </si>
  <si>
    <t>RND-0074</t>
  </si>
  <si>
    <t>Offer 47</t>
  </si>
  <si>
    <t>RND-0075</t>
  </si>
  <si>
    <t>RND-0076</t>
  </si>
  <si>
    <t>Location 0 - HTML &gt; BODY &gt; MAIN:nth-of-type(1) &gt; DIV:nth-of-type(1) &gt; DIV:nth-of-type(1) &gt; DIV:nth-of-type(1) &gt; DIV:nth-of-type(1) &gt; DIV:nth-of-type(1) &gt; P:nth-of-type(1) &gt; H1:nth-of-type(1)</t>
  </si>
  <si>
    <t>RND-0077</t>
  </si>
  <si>
    <t>RND-0078</t>
  </si>
  <si>
    <t>Location 1 - HEAD</t>
  </si>
  <si>
    <t>292517, 292722, 293148, 296408, 312955, 315940, 320154</t>
  </si>
  <si>
    <t>RND-0079</t>
  </si>
  <si>
    <t>Offer 41</t>
  </si>
  <si>
    <t>RND-0080</t>
  </si>
  <si>
    <t>skokie_region_offer</t>
  </si>
  <si>
    <t>292950, 293382, 293556, 293951, 294004, 297500</t>
  </si>
  <si>
    <t>RND-0081</t>
  </si>
  <si>
    <t>Chicago_region_offer</t>
  </si>
  <si>
    <t>RND-0082</t>
  </si>
  <si>
    <t>Location 0 - HTML &gt; BODY &gt; DIV:nth-of-type(3) &gt; DIV:nth-of-type(1) &gt; DIV:nth-of-type(2) &gt; DIV:nth-of-type(1) &gt; DIV:nth-of-type(2) &gt; H1:nth-of-type(1)</t>
  </si>
  <si>
    <t>RND-0083</t>
  </si>
  <si>
    <t>Location 1 - HTML &gt; BODY &gt; DIV:nth-of-type(3) &gt; DIV:nth-of-type(1) &gt; DIV:nth-of-type(2) &gt; DIV:nth-of-type(1) &gt; DIV:nth-of-type(2) &gt; P:nth-of-type(1)</t>
  </si>
  <si>
    <t>RND-0084</t>
  </si>
  <si>
    <t>RND-0085</t>
  </si>
  <si>
    <t>RND-0086</t>
  </si>
  <si>
    <t>Location 2 - BODY &gt; *:eq(0)</t>
  </si>
  <si>
    <t>RND-0087</t>
  </si>
  <si>
    <t>Offer 5</t>
  </si>
  <si>
    <t>RND-0088</t>
  </si>
  <si>
    <t>offer1</t>
  </si>
  <si>
    <t>289610, 289617, 292079, 293092, 293206, 293272, 296844, 320308, 328889, 332726</t>
  </si>
  <si>
    <t>RND-0089</t>
  </si>
  <si>
    <t>292517, 292722, 296408, 297212, 312955, 315940, 320154</t>
  </si>
  <si>
    <t>RND-0090</t>
  </si>
  <si>
    <t>RND-0091</t>
  </si>
  <si>
    <t>launch-trigger-mbox</t>
  </si>
  <si>
    <t>test_111_html</t>
  </si>
  <si>
    <t>RND-0092</t>
  </si>
  <si>
    <t>Location 3 - HTML &gt; BODY &gt; DIV:nth-of-type(1) &gt; DIV:nth-of-type(1) &gt; DIV:nth-of-type(1) &gt; DIV:nth-of-type(2) &gt; DIV:nth-of-type(1) &gt; DIV:nth-of-type(1) &gt; DIV:nth-of-type(1) &gt; SECTION:nth-of-type(1) &gt; DIV:nth-of-type(1) &gt; DIV:nth-of-type(1) &gt; DIV:nth-of-type(1) &gt; DIV:nth-of-type(1) &gt; H1:nth-of-type(1)</t>
  </si>
  <si>
    <t>RND-0093</t>
  </si>
  <si>
    <t>Offer 6</t>
  </si>
  <si>
    <t>RND-0094</t>
  </si>
  <si>
    <t>Location 0 - HEAD</t>
  </si>
  <si>
    <t>RND-0095</t>
  </si>
  <si>
    <t>RND-0096</t>
  </si>
  <si>
    <t>Location 0 - HTML &gt; BODY &gt; DIV:nth-of-type(1) &gt; DIV:nth-of-type(1) &gt; DIV:nth-of-type(1) &gt; MAIN:nth-of-type(1) &gt; DIV:nth-of-type(1) &gt; DIV:nth-of-type(1) &gt; DIV:nth-of-type(2) &gt; DIV:nth-of-type(1) &gt; DIV:nth-of-type(1) &gt; DIV:nth-of-type(2) &gt; DIV:nth-of-type(1) &gt; IMG:nth-of-type(1)</t>
  </si>
  <si>
    <t>RND-0097</t>
  </si>
  <si>
    <t>Location 1 - HTML &gt; BODY &gt; DIV:nth-of-type(1) &gt; DIV:nth-of-type(1) &gt; DIV:nth-of-type(1) &gt; MAIN:nth-of-type(1) &gt; DIV:nth-of-type(1) &gt; DIV:nth-of-type(1) &gt; DIV:nth-of-type(2) &gt; DIV:nth-of-type(1) &gt; DIV:nth-of-type(1) &gt; DIV:nth-of-type(3)</t>
  </si>
  <si>
    <t>RND-0098</t>
  </si>
  <si>
    <t>Location 2 - HTML &gt; BODY &gt; DIV:nth-of-type(1) &gt; DIV:nth-of-type(1) &gt; DIV:nth-of-type(1) &gt; MAIN:nth-of-type(1) &gt; DIV:nth-of-type(1) &gt; DIV:nth-of-type(1) &gt; DIV:nth-of-type(1) &gt; DIV:nth-of-type(1) &gt; H1:nth-of-type(1)</t>
  </si>
  <si>
    <t>RND-0099</t>
  </si>
  <si>
    <t>Location 3 - HTML &gt; BODY &gt; DIV:nth-of-type(1) &gt; DIV:nth-of-type(1) &gt; DIV:nth-of-type(1) &gt; MAIN:nth-of-type(1) &gt; DIV:nth-of-type(1) &gt; DIV:nth-of-type(1) &gt; DIV:nth-of-type(2) &gt; DIV:nth-of-type(1) &gt; DIV:nth-of-type(1) &gt; DIV:nth-of-type(3) &gt; DIV:nth-of-type(1) &gt; P:nth-of-type(1)</t>
  </si>
  <si>
    <t>RND-0100</t>
  </si>
  <si>
    <t>RND-0101</t>
  </si>
  <si>
    <t>RND-0102</t>
  </si>
  <si>
    <t>RND-0103</t>
  </si>
  <si>
    <t>RND-0104</t>
  </si>
  <si>
    <t>homepage-offer</t>
  </si>
  <si>
    <t>RND-0105</t>
  </si>
  <si>
    <t>RND-0106</t>
  </si>
  <si>
    <t>Location 3 - HTML &gt; BODY &gt; DIV:nth-of-type(1)</t>
  </si>
  <si>
    <t>Offer 61</t>
  </si>
  <si>
    <t>RND-0107</t>
  </si>
  <si>
    <t>Location 5 - HTML &gt; BODY &gt; DIV:nth-of-type(1) &gt; DIV:nth-of-type(1) &gt; DIV:nth-of-type(1) &gt; DIV:nth-of-type(1) &gt; DIV:nth-of-type(1) &gt; DIV:nth-of-type(1) &gt; DIV:nth-of-type(1) &gt; DIV:nth-of-type(1) &gt; HEADER:nth-of-type(1) &gt; DIV:nth-of-type(2) &gt; NAV:nth-of-type(1)</t>
  </si>
  <si>
    <t>Offer 63</t>
  </si>
  <si>
    <t>RND-0108</t>
  </si>
  <si>
    <t>Location 1 - HTML &gt; BODY &gt; H2:nth-of-type(1)</t>
  </si>
  <si>
    <t>Offer 59</t>
  </si>
  <si>
    <t>RND-0109</t>
  </si>
  <si>
    <t>Location 2 - HTML &gt; BODY &gt; DIV:nth-of-type(1) &gt; DIV:nth-of-type(1) &gt; H3:nth-of-type(1)</t>
  </si>
  <si>
    <t>Offer 60</t>
  </si>
  <si>
    <t>RND-0110</t>
  </si>
  <si>
    <t>Location 4 - HTML &gt; BODY &gt; P:nth-of-type(1)</t>
  </si>
  <si>
    <t>Offer 62</t>
  </si>
  <si>
    <t>RND-0111</t>
  </si>
  <si>
    <t>Location 11 - HTML &gt; BODY &gt; DIV:nth-of-type(1) &gt; DIV:nth-of-type(1) &gt; DIV:nth-of-type(1) &gt; DIV:nth-of-type(1) &gt; DIV:nth-of-type(1) &gt; DIV:nth-of-type(1) &gt; DIV:nth-of-type(1) &gt; DIV:nth-of-type(1) &gt; HEADER:nth-of-type(1) &gt; DIV:nth-of-type(2) &gt; H2:nth-of-type(1)</t>
  </si>
  <si>
    <t>Offer 69</t>
  </si>
  <si>
    <t>RND-0112</t>
  </si>
  <si>
    <t>Location 18 - HTML &gt; BODY &gt; DIV:nth-of-type(1) &gt; DIV:nth-of-type(1) &gt; DIV:nth-of-type(1) &gt; DIV:nth-of-type(2) &gt; DIV:nth-of-type(1) &gt; DIV:nth-of-type(1) &gt; DIV:nth-of-type(1) &gt; SECTION:nth-of-type(1) &gt; DIV:nth-of-type(1) &gt; DIV:nth-of-type(1) &gt; DIV:nth-of-type(1) &gt; DIV:nth-of-type(1) &gt; DIV:nth-of-type(1)</t>
  </si>
  <si>
    <t>Offer 76</t>
  </si>
  <si>
    <t>RND-0113</t>
  </si>
  <si>
    <t>Location 26 - HTML &gt; BODY &gt; DIV:nth-of-type(1) &gt; DIV:nth-of-type(1) &gt; DIV:nth-of-type(1) &gt; DIV:nth-of-type(2) &gt; DIV:nth-of-type(1) &gt; DIV:nth-of-type(1) &gt; DIV:nth-of-type(1) &gt; SECTION:nth-of-type(1) &gt; DIV:nth-of-type(1) &gt; DIV:nth-of-type(1) &gt; DIV:nth-of-type(1) &gt; DIV:nth-of-type(1) &gt; H1:nth-of-type(1)</t>
  </si>
  <si>
    <t>Offer 84</t>
  </si>
  <si>
    <t>RND-0114</t>
  </si>
  <si>
    <t>Location 35 - HTML &gt; BODY &gt; DIV:nth-of-type(1) &gt; DIV:nth-of-type(1) &gt; DIV:nth-of-type(1) &gt; DIV:nth-of-type(2) &gt; DIV:nth-of-type(1) &gt; DIV:nth-of-type(1) &gt; DIV:nth-of-type(1) &gt; SECTION:nth-of-type(1) &gt; DIV:nth-of-type(1) &gt; DIV:nth-of-type(1) &gt; DIV:nth-of-type(1) &gt; DIV:nth-of-type(1) &gt; P:nth-of-type(1)</t>
  </si>
  <si>
    <t>Offer 219</t>
  </si>
  <si>
    <t>RND-0115</t>
  </si>
  <si>
    <t>Location 45 - HTML &gt; BODY &gt; DIV:nth-of-type(1) &gt; DIV:nth-of-type(1) &gt; DIV:nth-of-type(1) &gt; DIV:nth-of-type(2) &gt; DIV:nth-of-type(1) &gt; DIV:nth-of-type(1) &gt; DIV:nth-of-type(1) &gt; SECTION:nth-of-type(1) &gt; DIV:nth-of-type(1) &gt; DIV:nth-of-type(1) &gt; DIV:nth-of-type(1) &gt; DIV:nth-of-type(1) &gt; P:nth-of-type(1)</t>
  </si>
  <si>
    <t>Offer 229</t>
  </si>
  <si>
    <t>RND-0116</t>
  </si>
  <si>
    <t>Location 56 - HTML &gt; BODY &gt; DIV:nth-of-type(1) &gt; DIV:nth-of-type(1) &gt; DIV:nth-of-type(1) &gt; DIV:nth-of-type(2) &gt; DIV:nth-of-type(1) &gt; DIV:nth-of-type(1) &gt; DIV:nth-of-type(1) &gt; SECTION:nth-of-type(1) &gt; DIV:nth-of-type(1) &gt; DIV:nth-of-type(1) &gt; DIV:nth-of-type(1) &gt; DIV:nth-of-type(1) &gt; DIV:nth-of-type(1)</t>
  </si>
  <si>
    <t>RND-0117</t>
  </si>
  <si>
    <t>Location 68 - HTML &gt; BODY &gt; DIV:nth-of-type(1) &gt; DIV:nth-of-type(1) &gt; DIV:nth-of-type(1) &gt; DIV:nth-of-type(2) &gt; DIV:nth-of-type(1) &gt; DIV:nth-of-type(1) &gt; DIV:nth-of-type(1) &gt; SECTION:nth-of-type(1) &gt; DIV:nth-of-type(1) &gt; DIV:nth-of-type(1)</t>
  </si>
  <si>
    <t>Offer 240</t>
  </si>
  <si>
    <t>RND-0118</t>
  </si>
  <si>
    <t>Location 81 - HTML &gt; BODY &gt; DIV:nth-of-type(1) &gt; DIV:nth-of-type(1) &gt; DIV:nth-of-type(1) &gt; DIV:nth-of-type(1) &gt; DIV:nth-of-type(1) &gt; DIV:nth-of-type(1) &gt; DIV:nth-of-type(1) &gt; DIV:nth-of-type(1) &gt; HEADER:nth-of-type(1) &gt; DIV:nth-of-type(2) &gt; NAV:nth-of-type(1)</t>
  </si>
  <si>
    <t>Offer 288</t>
  </si>
  <si>
    <t>RND-0119</t>
  </si>
  <si>
    <t>RND-0120</t>
  </si>
  <si>
    <t>RND-0121</t>
  </si>
  <si>
    <t>RND-0122</t>
  </si>
  <si>
    <t>RND-0123</t>
  </si>
  <si>
    <t>RND-0124</t>
  </si>
  <si>
    <t>RND-0125</t>
  </si>
  <si>
    <t>RND-0126</t>
  </si>
  <si>
    <t>RND-0127</t>
  </si>
  <si>
    <t>RND-0128</t>
  </si>
  <si>
    <t>RND-0129</t>
  </si>
  <si>
    <t>RND-0130</t>
  </si>
  <si>
    <t>RND-0131</t>
  </si>
  <si>
    <t>RND-0132</t>
  </si>
  <si>
    <t>RND-0133</t>
  </si>
  <si>
    <t>RND-0134</t>
  </si>
  <si>
    <t>RND-0135</t>
  </si>
  <si>
    <t>RND-0136</t>
  </si>
  <si>
    <t>RND-0137</t>
  </si>
  <si>
    <t>RND-0138</t>
  </si>
  <si>
    <t>RND-0139</t>
  </si>
  <si>
    <t>RND-0140</t>
  </si>
  <si>
    <t>RND-0141</t>
  </si>
  <si>
    <t>RND-0142</t>
  </si>
  <si>
    <t>RND-0143</t>
  </si>
  <si>
    <t>RND-0144</t>
  </si>
  <si>
    <t>RND-0145</t>
  </si>
  <si>
    <t>RND-0146</t>
  </si>
  <si>
    <t>RND-0147</t>
  </si>
  <si>
    <t>Location 1 - HTML &gt; BODY &gt; MAIN:nth-of-type(1) &gt; DIV:nth-of-type(1) &gt; DIV:nth-of-type(1) &gt; DIV:nth-of-type(1) &gt; DIV:nth-of-type(1) &gt; DIV:nth-of-type(1) &gt; H1:nth-of-type(1)</t>
  </si>
  <si>
    <t>Offer 161</t>
  </si>
  <si>
    <t>257120, 319320</t>
  </si>
  <si>
    <t>RND-0148</t>
  </si>
  <si>
    <t>Location 3 - HTML &gt; BODY &gt; MAIN:nth-of-type(1) &gt; DIV:nth-of-type(1) &gt; DIV:nth-of-type(1) &gt; DIV:nth-of-type(1) &gt; DIV:nth-of-type(2) &gt; DIV:nth-of-type(1) &gt; DIV:nth-of-type(1) &gt; DIV:nth-of-type(2) &gt; H2:nth-of-type(1)</t>
  </si>
  <si>
    <t>Offer 83</t>
  </si>
  <si>
    <t>RND-0149</t>
  </si>
  <si>
    <t>Location 0 - HTML &gt; BODY &gt; DIV.container:eq(0) &gt; DIV.root:eq(0) &gt; DIV.aem-Grid:eq(0) &gt; DIV.responsivegrid:eq(0) &gt; DIV.aem-Grid:eq(0) &gt; DIV.title:eq(0) &gt; DIV.cmp-title:eq(0) &gt; H2.cmp-title__text:eq(0)</t>
  </si>
  <si>
    <t>RND-0150</t>
  </si>
  <si>
    <t>Location 1 - HTML &gt; BODY &gt; DIV:nth-of-type(1) &gt; H2:nth-of-type(1)</t>
  </si>
  <si>
    <t>RND-0151</t>
  </si>
  <si>
    <t>Offer 3</t>
  </si>
  <si>
    <t>RND-0152</t>
  </si>
  <si>
    <t>292517, 292722, 293148, 296408, 297212, 312955, 320154</t>
  </si>
  <si>
    <t>RND-0153</t>
  </si>
  <si>
    <t>RND-0154</t>
  </si>
  <si>
    <t>Location 0 - HTML &gt; BODY &gt; DIV:nth-of-type(4) &gt; FOOTER:nth-of-type(1) &gt; SECTION:nth-of-type(1) &gt; DIV:nth-of-type(1)</t>
  </si>
  <si>
    <t>RND-0155</t>
  </si>
  <si>
    <t>Test Experiment</t>
  </si>
  <si>
    <t>289610, 289617, 292079, 292990, 293092, 293206, 293272, 296844, 320308, 328889</t>
  </si>
  <si>
    <t>RND-0156</t>
  </si>
  <si>
    <t>homepage</t>
  </si>
  <si>
    <t>Test Experiment 2</t>
  </si>
  <si>
    <t>292740, 303242, 303264, 305162</t>
  </si>
  <si>
    <t>RND-0157</t>
  </si>
  <si>
    <t>Location 1 - HTML &gt; BODY &gt; DIV:nth-of-type(1) &gt; DIV:nth-of-type(1) &gt; DIV:nth-of-type(1) &gt; DIV:nth-of-type(2) &gt; DIV:nth-of-type(1) &gt; DIV:nth-of-type(1) &gt; DIV:nth-of-type(1) &gt; STRONG:nth-of-type(1)</t>
  </si>
  <si>
    <t>Offer 9</t>
  </si>
  <si>
    <t>RND-0158</t>
  </si>
  <si>
    <t>Location 3 - HTML &gt; BODY &gt; DIV:nth-of-type(1) &gt; DIV:nth-of-type(1) &gt; DIV:nth-of-type(1) &gt; DIV:nth-of-type(2) &gt; DIV:nth-of-type(1) &gt; DIV:nth-of-type(1) &gt; DIV:nth-of-type(1) &gt; P:nth-of-type(1)</t>
  </si>
  <si>
    <t>Offer 31</t>
  </si>
  <si>
    <t>RND-0159</t>
  </si>
  <si>
    <t>Location 0 - HTML &gt; BODY &gt; DIV:nth-of-type(1) &gt; DIV:nth-of-type(1) &gt; DIV:nth-of-type(1) &gt; MAIN:nth-of-type(1) &gt; DIV:nth-of-type(1) &gt; DIV:nth-of-type(1) &gt; DIV:nth-of-type(1) &gt; DIV:nth-of-type(1) &gt; H1:nth-of-type(1)</t>
  </si>
  <si>
    <t>264292, 264680, 265784</t>
  </si>
  <si>
    <t>RND-0160</t>
  </si>
  <si>
    <t>RND-0161</t>
  </si>
  <si>
    <t>Location 0 - HTML &gt; BODY &gt; DIV:nth-of-type(1) &gt; DIV:nth-of-type(1) &gt; DIV:nth-of-type(1) &gt; HEADER:nth-of-type(1) &gt; DIV:nth-of-type(1) &gt; DIV:nth-of-type(1) &gt; DIV:nth-of-type(1) &gt; DIV:nth-of-type(1) &gt; H1:nth-of-type(1)</t>
  </si>
  <si>
    <t>RND-0162</t>
  </si>
  <si>
    <t>Location 1 - #title-298df4f1a0 &gt; H1.cmp-title__text:eq(0)</t>
  </si>
  <si>
    <t>RND-0163</t>
  </si>
  <si>
    <t>Location 2 - #container-7e11811146 &gt; DIV.aem-Grid:eq(0) &gt; DIV.Productdetails:eq(0) &gt; DIV.clearfix:eq(0) &gt; DIV.img-container:eq(0) &gt; IMG:nth-of-type(1)</t>
  </si>
  <si>
    <t>RND-0164</t>
  </si>
  <si>
    <t>Location 3 - #title-298df4f1a0 &gt; H1.cmp-title__text:eq(0)</t>
  </si>
  <si>
    <t>RND-0165</t>
  </si>
  <si>
    <t>Location 4 - #title-12cdd5bcc5 &gt; H1.cmp-title__text:eq(0)</t>
  </si>
  <si>
    <t>RND-0166</t>
  </si>
  <si>
    <t>Location 5 - #title-8acec29eb4 &gt; H1.cmp-title__text:eq(0)</t>
  </si>
  <si>
    <t>RND-0167</t>
  </si>
  <si>
    <t>Location 6 - #container-7e11811146 &gt; DIV.aem-Grid:eq(0) &gt; DIV.Productdetails:eq(0) &gt; DIV.clearfix:eq(0) &gt; DIV.img-container:eq(0) &gt; H2:nth-of-type(1)</t>
  </si>
  <si>
    <t>RND-0168</t>
  </si>
  <si>
    <t>Location 7 - #container-e2bd391a37 &gt; DIV.aem-Grid:eq(0) &gt; MAIN.container:eq(0)</t>
  </si>
  <si>
    <t>RND-0169</t>
  </si>
  <si>
    <t>Offer10</t>
  </si>
  <si>
    <t>RND-0170</t>
  </si>
  <si>
    <t>RND-0171</t>
  </si>
  <si>
    <t>RND-0172</t>
  </si>
  <si>
    <t>RND-0173</t>
  </si>
  <si>
    <t>RND-0174</t>
  </si>
  <si>
    <t>RND-0175</t>
  </si>
  <si>
    <t>RND-0176</t>
  </si>
  <si>
    <t>RND-0177</t>
  </si>
  <si>
    <t>264292, 264680, 266572</t>
  </si>
  <si>
    <t>RND-0178</t>
  </si>
  <si>
    <t>Location 1 - HTML &gt; BODY &gt; CQ\:INCLUDE:nth-of-type(1) &gt; DIV:nth-of-type(1) &gt; DIV:nth-of-type(1) &gt; DIV:nth-of-type(1) &gt; MAIN:nth-of-type(1) &gt; DIV:nth-of-type(1) &gt; DIV:nth-of-type(1) &gt; DIV:nth-of-type(1) &gt; DIV:nth-of-type(1) &gt; H1:nth-of-type(1)</t>
  </si>
  <si>
    <t>RND-0179</t>
  </si>
  <si>
    <t>Location 2 - #container-849452f118 &gt; DIV.aem-Grid:eq(0) &gt; DIV.Productdetails:eq(0)</t>
  </si>
  <si>
    <t>RND-0180</t>
  </si>
  <si>
    <t>Location 3 - #title-ff63462713 &gt; H1.cmp-title__text:eq(0)</t>
  </si>
  <si>
    <t>RND-0181</t>
  </si>
  <si>
    <t>Location 4 - #container-849452f118 &gt; DIV.aem-Grid:eq(0) &gt; DIV.Productdetails:eq(1)</t>
  </si>
  <si>
    <t>RND-0182</t>
  </si>
  <si>
    <t>Location 5 - #container-849452f118 &gt; DIV.aem-Grid:eq(0) &gt; DIV.Productdetails:eq(0) &gt; DIV.clearfix:eq(0) &gt; DIV.img-container:eq(4)</t>
  </si>
  <si>
    <t>RND-0183</t>
  </si>
  <si>
    <t>Location 6 - #container-849452f118 &gt; DIV.aem-Grid:eq(0) &gt; DIV.Productdetails:eq(0) &gt; DIV.clearfix:eq(0) &gt; DIV.img-container:eq(3)</t>
  </si>
  <si>
    <t>RND-0184</t>
  </si>
  <si>
    <t>RND-0185</t>
  </si>
  <si>
    <t>RND-0186</t>
  </si>
  <si>
    <t>RND-0187</t>
  </si>
  <si>
    <t>RND-0188</t>
  </si>
  <si>
    <t>RND-0189</t>
  </si>
  <si>
    <t>RND-0190</t>
  </si>
  <si>
    <t>RND-0191</t>
  </si>
  <si>
    <t>264680, 265784, 266572</t>
  </si>
  <si>
    <t>RND-0192</t>
  </si>
  <si>
    <t>Location 1 - HTML &gt; BODY &gt; DIV:nth-of-type(1) &gt; DIV:nth-of-type(1) &gt; DIV:nth-of-type(1) &gt; MAIN:nth-of-type(1) &gt; DIV:nth-of-type(1) &gt; DIV:nth-of-type(1) &gt; DIV:nth-of-type(2) &gt; DIV:nth-of-type(1) &gt; DIV:nth-of-type(1) &gt; DIV:nth-of-type(2) &gt; H2:nth-of-type(1)</t>
  </si>
  <si>
    <t>RND-0193</t>
  </si>
  <si>
    <t>Location 2 - HTML &gt; BODY &gt; DIV:nth-of-type(1) &gt; DIV:nth-of-type(1) &gt; DIV:nth-of-type(1) &gt; MAIN:nth-of-type(1) &gt; DIV:nth-of-type(1) &gt; DIV:nth-of-type(1) &gt; DIV:nth-of-type(2) &gt; DIV:nth-of-type(1) &gt; DIV:nth-of-type(1) &gt; DIV:nth-of-type(2) &gt; DIV:nth-of-type(1) &gt; DIV:nth-of-type(1)</t>
  </si>
  <si>
    <t>RND-0194</t>
  </si>
  <si>
    <t>Location 3 - HTML &gt; BODY &gt; DIV:nth-of-type(1) &gt; DIV:nth-of-type(1) &gt; DIV:nth-of-type(1) &gt; MAIN:nth-of-type(1) &gt; DIV:nth-of-type(1) &gt; DIV:nth-of-type(1) &gt; DIV:nth-of-type(2) &gt; DIV:nth-of-type(1) &gt; DIV:nth-of-type(1) &gt; DIV:nth-of-type(2) &gt; DIV:nth-of-type(1) &gt; DIV:nth-of-type(2)</t>
  </si>
  <si>
    <t>RND-0195</t>
  </si>
  <si>
    <t>Location 4 - HTML &gt; BODY &gt; DIV:nth-of-type(1) &gt; DIV:nth-of-type(1) &gt; DIV:nth-of-type(1) &gt; MAIN:nth-of-type(1) &gt; DIV:nth-of-type(1) &gt; DIV:nth-of-type(1) &gt; DIV:nth-of-type(2) &gt; DIV:nth-of-type(1) &gt; DIV:nth-of-type(1) &gt; DIV:nth-of-type(2) &gt; DIV:nth-of-type(1) &gt; DIV:nth-of-type(3)</t>
  </si>
  <si>
    <t>RND-0196</t>
  </si>
  <si>
    <t>Location 5 - HTML &gt; BODY &gt; DIV:nth-of-type(1) &gt; DIV:nth-of-type(1) &gt; DIV:nth-of-type(1) &gt; MAIN:nth-of-type(1) &gt; DIV:nth-of-type(1) &gt; DIV:nth-of-type(1) &gt; DIV:nth-of-type(2) &gt; DIV:nth-of-type(1) &gt; DIV:nth-of-type(1) &gt; DIV:nth-of-type(1) &gt; DIV:nth-of-type(1) &gt; DIV:nth-of-type(4)</t>
  </si>
  <si>
    <t>RND-0197</t>
  </si>
  <si>
    <t>Location 6 - #container-849452f118 &gt; DIV.aem-Grid:eq(0) &gt; DIV.Productdetails:eq(1) &gt; DIV.clearfix:eq(0) &gt; DIV.img-container:eq(3)</t>
  </si>
  <si>
    <t>RND-0198</t>
  </si>
  <si>
    <t>Location 7 - #container-849452f118 &gt; DIV.aem-Grid:eq(0) &gt; DIV.Productdetails:eq(1) &gt; DIV.clearfix:eq(0) &gt; DIV.img-container:eq(4)</t>
  </si>
  <si>
    <t>RND-0199</t>
  </si>
  <si>
    <t>Location 8 - #container-849452f118 &gt; DIV.aem-Grid:eq(0) &gt; DIV.Productdetails:eq(1) &gt; DIV.clearfix:eq(0) &gt; DIV.img-container:eq(5)</t>
  </si>
  <si>
    <t>RND-0200</t>
  </si>
  <si>
    <t>Location 9 - #container-849452f118 &gt; DIV.aem-Grid:eq(0) &gt; DIV.Productdetails:eq(0) &gt; DIV.clearfix:eq(0) &gt; DIV.img-container:eq(4)</t>
  </si>
  <si>
    <t>Offer11</t>
  </si>
  <si>
    <t>RND-0201</t>
  </si>
  <si>
    <t>Location 10 - #container-849452f118 &gt; DIV.aem-Grid:eq(0) &gt; DIV.Productdetails:eq(0) &gt; H2:nth-of-type(1)</t>
  </si>
  <si>
    <t>Offer12</t>
  </si>
  <si>
    <t>RND-0202</t>
  </si>
  <si>
    <t>Location 11 - HTML &gt; BODY &gt; DIV:nth-of-type(1) &gt; DIV:nth-of-type(1) &gt; DIV:nth-of-type(1) &gt; HEADER:nth-of-type(1) &gt; DIV:nth-of-type(1) &gt; DIV:nth-of-type(1) &gt; DIV:nth-of-type(1) &gt; DIV:nth-of-type(1) &gt; H1:nth-of-type(1)</t>
  </si>
  <si>
    <t>RND-0203</t>
  </si>
  <si>
    <t>Location 12 - HTML &gt; BODY &gt; DIV:nth-of-type(1) &gt; DIV:nth-of-type(1) &gt; DIV:nth-of-type(1) &gt; MAIN:nth-of-type(1) &gt; DIV:nth-of-type(1) &gt; DIV:nth-of-type(1) &gt; DIV:nth-of-type(2) &gt; DIV:nth-of-type(1) &gt; DIV:nth-of-type(1) &gt; DIV:nth-of-type(1)</t>
  </si>
  <si>
    <t>RND-0204</t>
  </si>
  <si>
    <t>Location 13 - #container-849452f118 &gt; DIV.aem-Grid:eq(0) &gt; DIV.Productdetails:eq(1) &gt; DIV.clearfix:eq(0) &gt; DIV.img-container:eq(0)</t>
  </si>
  <si>
    <t>RND-0205</t>
  </si>
  <si>
    <t>Location 14 - #container-849452f118 &gt; DIV.aem-Grid:eq(0) &gt; DIV.Productdetails:eq(1) &gt; DIV.clearfix:eq(0) &gt; DIV.img-container:eq(1)</t>
  </si>
  <si>
    <t>RND-0206</t>
  </si>
  <si>
    <t>Offer14</t>
  </si>
  <si>
    <t>RND-0207</t>
  </si>
  <si>
    <t>RND-0208</t>
  </si>
  <si>
    <t>RND-0209</t>
  </si>
  <si>
    <t>RND-0210</t>
  </si>
  <si>
    <t>RND-0211</t>
  </si>
  <si>
    <t>RND-0212</t>
  </si>
  <si>
    <t>RND-0213</t>
  </si>
  <si>
    <t>RND-0214</t>
  </si>
  <si>
    <t>RND-0215</t>
  </si>
  <si>
    <t>RND-0216</t>
  </si>
  <si>
    <t>RND-0217</t>
  </si>
  <si>
    <t>Offer13</t>
  </si>
  <si>
    <t>RND-0218</t>
  </si>
  <si>
    <t>Offer15</t>
  </si>
  <si>
    <t>RND-0219</t>
  </si>
  <si>
    <t>Offer16</t>
  </si>
  <si>
    <t>RND-0220</t>
  </si>
  <si>
    <t>Offer17</t>
  </si>
  <si>
    <t>RND-0221</t>
  </si>
  <si>
    <t>Location 1 - HTML &gt; BODY &gt; MAIN:nth-of-type(1) &gt; SECTION:nth-of-type(1) &gt; H2:nth-of-type(1)</t>
  </si>
  <si>
    <t>RND-0222</t>
  </si>
  <si>
    <t>hero-banner</t>
  </si>
  <si>
    <t>version 1</t>
  </si>
  <si>
    <t>RND-0223</t>
  </si>
  <si>
    <t>Version 2</t>
  </si>
  <si>
    <t>RND-0224</t>
  </si>
  <si>
    <t>Location 1 - HTML &gt; BODY &gt; SECTION:nth-of-type(4) &gt; DIV:nth-of-type(1) &gt; DIV:nth-of-type(1) &gt; H2:nth-of-type(1)</t>
  </si>
  <si>
    <t>RND-0225</t>
  </si>
  <si>
    <t>RND-0226</t>
  </si>
  <si>
    <t>RND-0227</t>
  </si>
  <si>
    <t>Location 1 - HTML &gt; BODY &gt; DIV:nth-of-type(1) &gt; DIV:nth-of-type(1) &gt; DIV:nth-of-type(1) &gt; DIV:nth-of-type(2) &gt; SECTION:nth-of-type(1) &gt; DIV:nth-of-type(1) &gt; DIV:nth-of-type(1) &gt; DIV:nth-of-type(1) &gt; DIV:nth-of-type(2) &gt; H1:nth-of-type(1)</t>
  </si>
  <si>
    <t>RND-0228</t>
  </si>
  <si>
    <t>Offer 8</t>
  </si>
  <si>
    <t>292517, 293148, 296408, 297212, 312955, 315940, 320154</t>
  </si>
  <si>
    <t>RND-0229</t>
  </si>
  <si>
    <t>RND-0230</t>
  </si>
  <si>
    <t>Variation 3</t>
  </si>
  <si>
    <t>292740, 303242, 305162, 332726</t>
  </si>
  <si>
    <t>RND-0231</t>
  </si>
  <si>
    <t>AEP 1</t>
  </si>
  <si>
    <t>292740, 303242, 303264, 332726</t>
  </si>
  <si>
    <t>RND-0232</t>
  </si>
  <si>
    <t>AEP 2</t>
  </si>
  <si>
    <t>RND-0233</t>
  </si>
  <si>
    <t>sample content block</t>
  </si>
  <si>
    <t>RND-0234</t>
  </si>
  <si>
    <t>Location 1 - HTML &gt; BODY &gt; DIV:nth-of-type(2)</t>
  </si>
  <si>
    <t>RND-0235</t>
  </si>
  <si>
    <t>Location 3 - HTML &gt; BODY &gt; DIV:nth-of-type(1) &gt; DIV:nth-of-type(2) &gt; DIV:nth-of-type(1)</t>
  </si>
  <si>
    <t>RND-0236</t>
  </si>
  <si>
    <t>RND-0237</t>
  </si>
  <si>
    <t>RND-0238</t>
  </si>
  <si>
    <t>Offer 25</t>
  </si>
  <si>
    <t>RND-0239</t>
  </si>
  <si>
    <t>Location 3 - HTML &gt; BODY &gt; DIV:nth-of-type(1) &gt; DIV:nth-of-type(1) &gt; DIV:nth-of-type(1) &gt; DIV:nth-of-type(3) &gt; DIV:nth-of-type(1) &gt; DIV:nth-of-type(8) &gt; DIV:nth-of-type(1) &gt; H2:nth-of-type(1)</t>
  </si>
  <si>
    <t>Offer 39</t>
  </si>
  <si>
    <t>RND-0240</t>
  </si>
  <si>
    <t>Location 6 - HTML &gt; BODY &gt; DIV:nth-of-type(1) &gt; DIV:nth-of-type(1) &gt; DIV:nth-of-type(1) &gt; DIV:nth-of-type(3) &gt; DIV:nth-of-type(1) &gt; DIV:nth-of-type(8) &gt; DIV:nth-of-type(1) &gt; H2:nth-of-type(1)</t>
  </si>
  <si>
    <t>Offer 42</t>
  </si>
  <si>
    <t>RND-0241</t>
  </si>
  <si>
    <t>Location 10 - HTML &gt; BODY &gt; DIV:nth-of-type(1) &gt; DIV:nth-of-type(1) &gt; DIV:nth-of-type(1) &gt; DIV:nth-of-type(2) &gt; DIV:nth-of-type(1) &gt; DIV:nth-of-type(1) &gt; DIV:nth-of-type(1) &gt; STRONG:nth-of-type(1)</t>
  </si>
  <si>
    <t>Audience &amp; Profile Validation</t>
  </si>
  <si>
    <t>Inventory-linked experience and location audiences. Parent operators and rule paths are preserved in comments; supply controlled positive and negative test data before execution.</t>
  </si>
  <si>
    <t>Audience ID</t>
  </si>
  <si>
    <t>Audience Name</t>
  </si>
  <si>
    <t>Audience Level</t>
  </si>
  <si>
    <t>Rule/Condition</t>
  </si>
  <si>
    <t>Source Parameter</t>
  </si>
  <si>
    <t>Match Operator</t>
  </si>
  <si>
    <t>Expected Value</t>
  </si>
  <si>
    <t>Profile Script Dependency</t>
  </si>
  <si>
    <t>Positive Test Data</t>
  </si>
  <si>
    <t>Negative Test Data</t>
  </si>
  <si>
    <t>Expected Positive Result</t>
  </si>
  <si>
    <t>Expected Negative Result</t>
  </si>
  <si>
    <t>Actual Positive Result</t>
  </si>
  <si>
    <t>Actual Negative Result</t>
  </si>
  <si>
    <t>AUD-0001</t>
  </si>
  <si>
    <t>Returning Visitor</t>
  </si>
  <si>
    <t>Experience</t>
  </si>
  <si>
    <t>Qualified visitor receives the expected configured experience.</t>
  </si>
  <si>
    <t>Non-qualified visitor receives the configured default, alternative, or no personalized experience.</t>
  </si>
  <si>
    <t>Audience is referenced by the activity but no meaningful condition row was available in the reviewed inventory.</t>
  </si>
  <si>
    <t>AUD-0002</t>
  </si>
  <si>
    <t>template_Id_1</t>
  </si>
  <si>
    <t>Location</t>
  </si>
  <si>
    <t>page domain equals experience.metricks.ca</t>
  </si>
  <si>
    <t>domain</t>
  </si>
  <si>
    <t>equals</t>
  </si>
  <si>
    <t>experience.metricks.ca</t>
  </si>
  <si>
    <t>No evidence in this condition</t>
  </si>
  <si>
    <t>Qualified visitor satisfies the complete rule and receives the expected configured experience.</t>
  </si>
  <si>
    <t>Visitor failing this condition does not receive the personalized experience unless another valid rule path qualifies.</t>
  </si>
  <si>
    <t>Rule path targetRule.and[0]; depth 1; parent operator AND.</t>
  </si>
  <si>
    <t>AUD-0003</t>
  </si>
  <si>
    <t>page path equals /</t>
  </si>
  <si>
    <t>path</t>
  </si>
  <si>
    <t>/</t>
  </si>
  <si>
    <t>Rule path targetRule.and[1]; depth 1; parent operator AND.</t>
  </si>
  <si>
    <t>AUD-0004</t>
  </si>
  <si>
    <t>Visitors from Canada</t>
  </si>
  <si>
    <t>geo country matches canada</t>
  </si>
  <si>
    <t>country</t>
  </si>
  <si>
    <t>matches</t>
  </si>
  <si>
    <t>canada</t>
  </si>
  <si>
    <t>Rule path targetRule; depth 0; parent operator UNKNOWN.</t>
  </si>
  <si>
    <t>AUD-0005</t>
  </si>
  <si>
    <t>Default Page</t>
  </si>
  <si>
    <t>page domain equals luma.enablementadobe.com</t>
  </si>
  <si>
    <t>luma.enablementadobe.com</t>
  </si>
  <si>
    <t>AUD-0006</t>
  </si>
  <si>
    <t>page path equals /content/luma/us/en.html,/content/luma/us/en.html/</t>
  </si>
  <si>
    <t>/content/luma/us/en.html,/content/luma/us/en.html/</t>
  </si>
  <si>
    <t>AUD-0007</t>
  </si>
  <si>
    <t>page domain equals wkwztldvxgmvp07</t>
  </si>
  <si>
    <t>wkwztldvxgmvp07</t>
  </si>
  <si>
    <t>AUD-0008</t>
  </si>
  <si>
    <t>page path equals /content/we-retail/us/en.html/,/content/we-retail/us/en.html</t>
  </si>
  <si>
    <t>/content/we-retail/us/en.html/,/content/we-retail/us/en.html</t>
  </si>
  <si>
    <t>AUD-0009</t>
  </si>
  <si>
    <t>AEP Accelerator - Gender=Female</t>
  </si>
  <si>
    <t>AUD-0010</t>
  </si>
  <si>
    <t>AEP Accelerator - Gender=Male</t>
  </si>
  <si>
    <t>AUD-0011</t>
  </si>
  <si>
    <t>Activity</t>
  </si>
  <si>
    <t>No audience reference was resolved from the activity-detail mapping; confirm activity-level/default qualification.</t>
  </si>
  <si>
    <t>AUD-0012</t>
  </si>
  <si>
    <t>page domain equals practiceblogweb.blogspot.com</t>
  </si>
  <si>
    <t>practiceblogweb.blogspot.com</t>
  </si>
  <si>
    <t>Rule path targetRule.or[0].and[0]; depth 2; parent operator AND.</t>
  </si>
  <si>
    <t>AUD-0013</t>
  </si>
  <si>
    <t>Rule path targetRule.or[0].and[1]; depth 2; parent operator AND.</t>
  </si>
  <si>
    <t>AUD-0014</t>
  </si>
  <si>
    <t>page url containsIgnoreCase practiceblogweb.blogspot.com</t>
  </si>
  <si>
    <t>url</t>
  </si>
  <si>
    <t>containsIgnoreCase</t>
  </si>
  <si>
    <t>Rule path targetRule.or[1]; depth 1; parent operator OR.</t>
  </si>
  <si>
    <t>AUD-0015</t>
  </si>
  <si>
    <t>AUD-0016</t>
  </si>
  <si>
    <t>product 1 purchased</t>
  </si>
  <si>
    <t>AUD-0017</t>
  </si>
  <si>
    <t>page domain equals meghamehtagmail.github.io</t>
  </si>
  <si>
    <t>meghamehtagmail.github.io</t>
  </si>
  <si>
    <t>AUD-0018</t>
  </si>
  <si>
    <t>page path equals /malabarGold/hexashop-1.0.0/index.html,/malabarGold/hexashop-1.0.0/index.html/</t>
  </si>
  <si>
    <t>/malabarGold/hexashop-1.0.0/index.html,/malabarGold/hexashop-1.0.0/index.html/</t>
  </si>
  <si>
    <t>AUD-0019</t>
  </si>
  <si>
    <t>ecommerce - purchase</t>
  </si>
  <si>
    <t>AUD-0020</t>
  </si>
  <si>
    <t>ecommerce - event - audience</t>
  </si>
  <si>
    <t>AUD-0021</t>
  </si>
  <si>
    <t>ecommerce - Edge audience</t>
  </si>
  <si>
    <t>AUD-0022</t>
  </si>
  <si>
    <t>page domain equals main--eca-target--perwezshaikhps.aem.live</t>
  </si>
  <si>
    <t>main--eca-target--perwezshaikhps.aem.live</t>
  </si>
  <si>
    <t>AUD-0023</t>
  </si>
  <si>
    <t>AUD-0024</t>
  </si>
  <si>
    <t>my demo audience</t>
  </si>
  <si>
    <t>mbox profile unknown</t>
  </si>
  <si>
    <t>profile</t>
  </si>
  <si>
    <t>unknown</t>
  </si>
  <si>
    <t>AUD-0025</t>
  </si>
  <si>
    <t>page domain equals www.jeep.com</t>
  </si>
  <si>
    <t>www.jeep.com</t>
  </si>
  <si>
    <t>AUD-0026</t>
  </si>
  <si>
    <t>AUD-0027</t>
  </si>
  <si>
    <t>SkokieEWUser</t>
  </si>
  <si>
    <t>geo zip unknown</t>
  </si>
  <si>
    <t>zip</t>
  </si>
  <si>
    <t>Rule path targetRule.or[0]; depth 1; parent operator OR.</t>
  </si>
  <si>
    <t>AUD-0028</t>
  </si>
  <si>
    <t>mbox zip unknown</t>
  </si>
  <si>
    <t>AUD-0029</t>
  </si>
  <si>
    <t>ChicagoEWUser</t>
  </si>
  <si>
    <t>AUD-0030</t>
  </si>
  <si>
    <t>AUD-0031</t>
  </si>
  <si>
    <t>page domain equals gs.metricks.ca</t>
  </si>
  <si>
    <t>gs.metricks.ca</t>
  </si>
  <si>
    <t>AUD-0032</t>
  </si>
  <si>
    <t>page path equals /demo/icampaign.html/,/demo/icampaign.html</t>
  </si>
  <si>
    <t>/demo/icampaign.html/,/demo/icampaign.html</t>
  </si>
  <si>
    <t>AUD-0033</t>
  </si>
  <si>
    <t>page url unknown</t>
  </si>
  <si>
    <t>AUD-0034</t>
  </si>
  <si>
    <t>page domain equals localhost</t>
  </si>
  <si>
    <t>localhost</t>
  </si>
  <si>
    <t>AUD-0035</t>
  </si>
  <si>
    <t>AUD-0036</t>
  </si>
  <si>
    <t>page url containsIgnoreCase localhost</t>
  </si>
  <si>
    <t>AUD-0037</t>
  </si>
  <si>
    <t>GAQ_Audience</t>
  </si>
  <si>
    <t>geo region matches texas</t>
  </si>
  <si>
    <t>region</t>
  </si>
  <si>
    <t>texas</t>
  </si>
  <si>
    <t>AUD-0038</t>
  </si>
  <si>
    <t>page path containsIgnoreCase payment-calculator</t>
  </si>
  <si>
    <t>payment-calculator</t>
  </si>
  <si>
    <t>AUD-0039</t>
  </si>
  <si>
    <t>unknown path containsIgnoreCase gladiator</t>
  </si>
  <si>
    <t>gladiator</t>
  </si>
  <si>
    <t>Rule path targetRule.and[3]; depth 1; parent operator AND.</t>
  </si>
  <si>
    <t>AUD-0040</t>
  </si>
  <si>
    <t>page2Audience</t>
  </si>
  <si>
    <t>page url containsIgnoreCase wagoneer</t>
  </si>
  <si>
    <t>wagoneer</t>
  </si>
  <si>
    <t>AUD-0041</t>
  </si>
  <si>
    <t>AUD-0042</t>
  </si>
  <si>
    <t>AUD-0043</t>
  </si>
  <si>
    <t>AUD-0044</t>
  </si>
  <si>
    <t>AUD-0045</t>
  </si>
  <si>
    <t>page url containsIgnoreCase okta</t>
  </si>
  <si>
    <t>okta</t>
  </si>
  <si>
    <t>Rule path targetRule.or[1].or[0]; depth 2; parent operator OR.</t>
  </si>
  <si>
    <t>AUD-0046</t>
  </si>
  <si>
    <t>Rule path targetRule.or[1].or[1]; depth 2; parent operator OR.</t>
  </si>
  <si>
    <t>AUD-0047</t>
  </si>
  <si>
    <t>test_111_audience</t>
  </si>
  <si>
    <t>page domain containsIgnoreCase practiceblogweb.blogspot.com</t>
  </si>
  <si>
    <t>AUD-0048</t>
  </si>
  <si>
    <t>AUD-0049</t>
  </si>
  <si>
    <t>AUD-0050</t>
  </si>
  <si>
    <t>page url containsIgnoreCase www.okta.com</t>
  </si>
  <si>
    <t>www.okta.com</t>
  </si>
  <si>
    <t>AUD-0051</t>
  </si>
  <si>
    <t>oktaTesting</t>
  </si>
  <si>
    <t>profile user.oktaTesting equals true</t>
  </si>
  <si>
    <t>user.oktaTesting</t>
  </si>
  <si>
    <t>Yes</t>
  </si>
  <si>
    <t>AUD-0052</t>
  </si>
  <si>
    <t>page domain equals publish-p100070-e1109583.adobeaemcloud.com</t>
  </si>
  <si>
    <t>publish-p100070-e1109583.adobeaemcloud.com</t>
  </si>
  <si>
    <t>AUD-0053</t>
  </si>
  <si>
    <t>page path equals /content/opsmt/us/en.men.html/,/content/opsmt/us/en.men.html</t>
  </si>
  <si>
    <t>/content/opsmt/us/en.men.html/,/content/opsmt/us/en.men.html</t>
  </si>
  <si>
    <t>AUD-0054</t>
  </si>
  <si>
    <t>AUD-0055</t>
  </si>
  <si>
    <t>page path equals /content/opsmt/us/en/index.kids.html/,/content/opsmt/us/en/index.kids.html</t>
  </si>
  <si>
    <t>/content/opsmt/us/en/index.kids.html/,/content/opsmt/us/en/index.kids.html</t>
  </si>
  <si>
    <t>AUD-0056</t>
  </si>
  <si>
    <t>Returning Visitor - P</t>
  </si>
  <si>
    <t>mbox visitorType unknown</t>
  </si>
  <si>
    <t>visitorType</t>
  </si>
  <si>
    <t>AUD-0057</t>
  </si>
  <si>
    <t>AUD-0058</t>
  </si>
  <si>
    <t>CF_Highly_Engaged_Audience</t>
  </si>
  <si>
    <t>profile user.Saket_segmentUserByPropensity equals Highly Engaged</t>
  </si>
  <si>
    <t>user.Saket_segmentUserByPropensity</t>
  </si>
  <si>
    <t>Highly Engaged</t>
  </si>
  <si>
    <t>AUD-0059</t>
  </si>
  <si>
    <t>AUD-0060</t>
  </si>
  <si>
    <t>page url containsIgnoreCase model-compare</t>
  </si>
  <si>
    <t>model-compare</t>
  </si>
  <si>
    <t>Rule path targetRule.and[2]; depth 1; parent operator AND.</t>
  </si>
  <si>
    <t>AUD-0061</t>
  </si>
  <si>
    <t>profile test containsIgnoreCase Compass</t>
  </si>
  <si>
    <t>Compass</t>
  </si>
  <si>
    <t>AUD-0062</t>
  </si>
  <si>
    <t>page domain equals www.okta.com</t>
  </si>
  <si>
    <t>AUD-0063</t>
  </si>
  <si>
    <t>AUD-0064</t>
  </si>
  <si>
    <t>CF_Low_Engaged_Audience</t>
  </si>
  <si>
    <t>profile user.Saket_segmentUserByPropensity equals Low Engaged</t>
  </si>
  <si>
    <t>Low Engaged</t>
  </si>
  <si>
    <t>AUD-0065</t>
  </si>
  <si>
    <t>CF_Modertately_Engaged_Audience</t>
  </si>
  <si>
    <t>profile user.Saket_segmentUserByPropensity equals Moderately Engaged</t>
  </si>
  <si>
    <t>Moderately Engaged</t>
  </si>
  <si>
    <t>AUD-0066</t>
  </si>
  <si>
    <t>AUD-0067</t>
  </si>
  <si>
    <t>AUD-0068</t>
  </si>
  <si>
    <t>page domain equals solutions.ups.com</t>
  </si>
  <si>
    <t>solutions.ups.com</t>
  </si>
  <si>
    <t>AUD-0069</t>
  </si>
  <si>
    <t>page path equals /virtual-consultation-us-en-v4.html,/virtual-consultation-us-en-v4.html/</t>
  </si>
  <si>
    <t>/virtual-consultation-us-en-v4.html,/virtual-consultation-us-en-v4.html/</t>
  </si>
  <si>
    <t>AUD-0070</t>
  </si>
  <si>
    <t>page {"parameter":"websdk"} equals true</t>
  </si>
  <si>
    <t>{"parameter":"websdk"}</t>
  </si>
  <si>
    <t>AUD-0071</t>
  </si>
  <si>
    <t>AUD-0072</t>
  </si>
  <si>
    <t>AUD-0073</t>
  </si>
  <si>
    <t>AUD-0074</t>
  </si>
  <si>
    <t>AUD-0075</t>
  </si>
  <si>
    <t>AUD-0076</t>
  </si>
  <si>
    <t>AUD-0077</t>
  </si>
  <si>
    <t>Test Crm Membership</t>
  </si>
  <si>
    <t>AUD-0078</t>
  </si>
  <si>
    <t>AUD-0079</t>
  </si>
  <si>
    <t>page path equals /index.html/,/index.html</t>
  </si>
  <si>
    <t>/index.html/,/index.html</t>
  </si>
  <si>
    <t>AUD-0080</t>
  </si>
  <si>
    <t>page url containsIgnoreCase http://localhost:5500/contentDetails.html?3</t>
  </si>
  <si>
    <t>http://localhost:5500/contentDetails.html?3</t>
  </si>
  <si>
    <t>AUD-0081</t>
  </si>
  <si>
    <t>AUD-0082</t>
  </si>
  <si>
    <t>AUD-0083</t>
  </si>
  <si>
    <t>AUD-0084</t>
  </si>
  <si>
    <t>AUD-0085</t>
  </si>
  <si>
    <t>page path equals /content/psmt/us/en/testtargetpage.html/,/content/psmt/us/en/testtargetpage.html</t>
  </si>
  <si>
    <t>/content/psmt/us/en/testtargetpage.html/,/content/psmt/us/en/testtargetpage.html</t>
  </si>
  <si>
    <t>AUD-0086</t>
  </si>
  <si>
    <t>qa</t>
  </si>
  <si>
    <t>page url containsIgnoreCase qa=true</t>
  </si>
  <si>
    <t>qa=true</t>
  </si>
  <si>
    <t>AUD-0087</t>
  </si>
  <si>
    <t>page domain equals publish-p120465-e1171116.adobeaemcloud.com</t>
  </si>
  <si>
    <t>publish-p120465-e1171116.adobeaemcloud.com</t>
  </si>
  <si>
    <t>AUD-0088</t>
  </si>
  <si>
    <t>page path equals /content/psmt/us/en/product-details-page/oneplusbuds.html/,/content/psmt/us/en/product-details-page/oneplusbuds.html</t>
  </si>
  <si>
    <t>/content/psmt/us/en/product-details-page/oneplusbuds.html/,/content/psmt/us/en/product-details-page/oneplusbuds.html</t>
  </si>
  <si>
    <t>AUD-0089</t>
  </si>
  <si>
    <t>AUD-0090</t>
  </si>
  <si>
    <t>page path equals /content/psmt/us/en/product-list.html/,/content/psmt/us/en/product-list.html</t>
  </si>
  <si>
    <t>/content/psmt/us/en/product-list.html/,/content/psmt/us/en/product-list.html</t>
  </si>
  <si>
    <t>AUD-0091</t>
  </si>
  <si>
    <t>AUD-0092</t>
  </si>
  <si>
    <t>AUD-0093</t>
  </si>
  <si>
    <t>Men-Apparel-Audience-for-Websdk</t>
  </si>
  <si>
    <t>AUD-0094</t>
  </si>
  <si>
    <t>page domain equals 127.0.0.1</t>
  </si>
  <si>
    <t>127.0.0.1</t>
  </si>
  <si>
    <t>AUD-0095</t>
  </si>
  <si>
    <t>page path equals /men-apparel.html,/men-apparel.html/</t>
  </si>
  <si>
    <t>/men-apparel.html,/men-apparel.html/</t>
  </si>
  <si>
    <t>AUD-0096</t>
  </si>
  <si>
    <t>AUD-0097</t>
  </si>
  <si>
    <t>France Audience</t>
  </si>
  <si>
    <t>geo country matches france</t>
  </si>
  <si>
    <t>france</t>
  </si>
  <si>
    <t>AUD-0098</t>
  </si>
  <si>
    <t>USA Audience</t>
  </si>
  <si>
    <t>geo country matches united states</t>
  </si>
  <si>
    <t>united states</t>
  </si>
  <si>
    <t>AUD-0099</t>
  </si>
  <si>
    <t>AUD-0100</t>
  </si>
  <si>
    <t>AUD-0101</t>
  </si>
  <si>
    <t>AUD-0102</t>
  </si>
  <si>
    <t>page path equals /customers/hitachi,/customers/hitachi/</t>
  </si>
  <si>
    <t>/customers/hitachi,/customers/hitachi/</t>
  </si>
  <si>
    <t>AUD-0103</t>
  </si>
  <si>
    <t>AUD-0104</t>
  </si>
  <si>
    <t>AUD-0105</t>
  </si>
  <si>
    <t>AUD-0106</t>
  </si>
  <si>
    <t>AUD-0107</t>
  </si>
  <si>
    <t>AUD-0108</t>
  </si>
  <si>
    <t>COO User</t>
  </si>
  <si>
    <t>mbox userGroup unknown</t>
  </si>
  <si>
    <t>userGroup</t>
  </si>
  <si>
    <t>AUD-0109</t>
  </si>
  <si>
    <t>Roll User</t>
  </si>
  <si>
    <t>AUD-0110</t>
  </si>
  <si>
    <t>page domain equals www.vikingrivercruises.com</t>
  </si>
  <si>
    <t>www.vikingrivercruises.com</t>
  </si>
  <si>
    <t>AUD-0111</t>
  </si>
  <si>
    <t>AUD-0112</t>
  </si>
  <si>
    <t>AUD-0113</t>
  </si>
  <si>
    <t>Parameter Mapping &amp; Validation</t>
  </si>
  <si>
    <t>Derived from meaningful audience rule conditions for approved activities. Confirm future data-layer source, Web SDK location, type, timing, and actual transmitted value.</t>
  </si>
  <si>
    <t>Mapping ID</t>
  </si>
  <si>
    <t>Parameter Type</t>
  </si>
  <si>
    <t>Parameter Name</t>
  </si>
  <si>
    <t>Legacy Source</t>
  </si>
  <si>
    <t>Future Data Layer Source</t>
  </si>
  <si>
    <t>Expected Web SDK Location</t>
  </si>
  <si>
    <t>Expected Data Type</t>
  </si>
  <si>
    <t>Expected Value Example</t>
  </si>
  <si>
    <t>Required for Audience</t>
  </si>
  <si>
    <t>Required for Rendering</t>
  </si>
  <si>
    <t>Required for Reporting</t>
  </si>
  <si>
    <t>Availability Timing</t>
  </si>
  <si>
    <t>Actual Request Value</t>
  </si>
  <si>
    <t>Legacy vs Web SDK Match</t>
  </si>
  <si>
    <t>PAR-0001</t>
  </si>
  <si>
    <t>Page Context</t>
  </si>
  <si>
    <t>Target audience rule</t>
  </si>
  <si>
    <t>Before Target decision request</t>
  </si>
  <si>
    <t>Audience 2625516; level Location; rule path targetRule.and[0]; parent operator AND.</t>
  </si>
  <si>
    <t>PAR-0002</t>
  </si>
  <si>
    <t>Audience 2625516; level Location; rule path targetRule.and[1]; parent operator AND.</t>
  </si>
  <si>
    <t>PAR-0003</t>
  </si>
  <si>
    <t>Other</t>
  </si>
  <si>
    <t>Audience 2625532; level Experience; rule path targetRule; parent operator UNKNOWN.</t>
  </si>
  <si>
    <t>PAR-0004</t>
  </si>
  <si>
    <t>Audience 3628737; level Location; rule path targetRule.and[0]; parent operator AND.</t>
  </si>
  <si>
    <t>PAR-0005</t>
  </si>
  <si>
    <t>Audience 3628737; level Location; rule path targetRule.and[1]; parent operator AND.</t>
  </si>
  <si>
    <t>PAR-0006</t>
  </si>
  <si>
    <t>Audience 2321320; level Location; rule path targetRule.and[0]; parent operator AND.</t>
  </si>
  <si>
    <t>PAR-0007</t>
  </si>
  <si>
    <t>Audience 2321320; level Location; rule path targetRule.and[1]; parent operator AND.</t>
  </si>
  <si>
    <t>PAR-0008</t>
  </si>
  <si>
    <t>No experience/location audience condition was resolved for this approved activity; complete parameter discovery before execution.</t>
  </si>
  <si>
    <t>PAR-0009</t>
  </si>
  <si>
    <t>Audience 3113043; level Location; rule path targetRule.or[0].and[0]; parent operator AND.</t>
  </si>
  <si>
    <t>PAR-0010</t>
  </si>
  <si>
    <t>Audience 3113043; level Location; rule path targetRule.or[0].and[1]; parent operator AND.</t>
  </si>
  <si>
    <t>PAR-0011</t>
  </si>
  <si>
    <t>Audience 3113043; level Location; rule path targetRule.or[1]; parent operator OR.</t>
  </si>
  <si>
    <t>PAR-0012</t>
  </si>
  <si>
    <t>PAR-0013</t>
  </si>
  <si>
    <t>Audience 3579967; level Location; rule path targetRule.and[0]; parent operator AND.</t>
  </si>
  <si>
    <t>PAR-0014</t>
  </si>
  <si>
    <t>Audience 3579967; level Location; rule path targetRule.and[1]; parent operator AND.</t>
  </si>
  <si>
    <t>PAR-0015</t>
  </si>
  <si>
    <t>Audience 3077294; level Location; rule path targetRule.and[0]; parent operator AND.</t>
  </si>
  <si>
    <t>PAR-0016</t>
  </si>
  <si>
    <t>Audience 3077294; level Location; rule path targetRule.and[1]; parent operator AND.</t>
  </si>
  <si>
    <t>PAR-0017</t>
  </si>
  <si>
    <t>Mbox Parameter</t>
  </si>
  <si>
    <t>Audience 3077299; level Location; rule path targetRule; parent operator UNKNOWN.</t>
  </si>
  <si>
    <t>PAR-0018</t>
  </si>
  <si>
    <t>Audience 3366129; level Location; rule path targetRule.and[0]; parent operator AND.</t>
  </si>
  <si>
    <t>PAR-0019</t>
  </si>
  <si>
    <t>Audience 3366129; level Location; rule path targetRule.and[1]; parent operator AND.</t>
  </si>
  <si>
    <t>PAR-0020</t>
  </si>
  <si>
    <t>Audience 3327195; level Experience; rule path targetRule.or[0]; parent operator OR.</t>
  </si>
  <si>
    <t>PAR-0021</t>
  </si>
  <si>
    <t>Audience 3327195; level Experience; rule path targetRule.or[1]; parent operator OR.</t>
  </si>
  <si>
    <t>PAR-0022</t>
  </si>
  <si>
    <t>Audience 3327196; level Experience; rule path targetRule.or[0]; parent operator OR.</t>
  </si>
  <si>
    <t>PAR-0023</t>
  </si>
  <si>
    <t>Audience 3327196; level Experience; rule path targetRule.or[1]; parent operator OR.</t>
  </si>
  <si>
    <t>PAR-0024</t>
  </si>
  <si>
    <t>Audience 2567148; level Location; rule path targetRule.or[0].and[0]; parent operator AND.</t>
  </si>
  <si>
    <t>PAR-0025</t>
  </si>
  <si>
    <t>Audience 2567148; level Location; rule path targetRule.or[0].and[1]; parent operator AND.</t>
  </si>
  <si>
    <t>PAR-0026</t>
  </si>
  <si>
    <t>Audience 2567148; level Location; rule path targetRule.or[1]; parent operator OR.</t>
  </si>
  <si>
    <t>PAR-0027</t>
  </si>
  <si>
    <t>Audience 3331104; level Location; rule path targetRule.or[0].and[0]; parent operator AND.</t>
  </si>
  <si>
    <t>PAR-0028</t>
  </si>
  <si>
    <t>Audience 3331104; level Location; rule path targetRule.or[0].and[1]; parent operator AND.</t>
  </si>
  <si>
    <t>PAR-0029</t>
  </si>
  <si>
    <t>Audience 3331104; level Location; rule path targetRule.or[1]; parent operator OR.</t>
  </si>
  <si>
    <t>PAR-0030</t>
  </si>
  <si>
    <t>Audience 3331549; level Location; rule path targetRule.and[0]; parent operator AND.</t>
  </si>
  <si>
    <t>PAR-0031</t>
  </si>
  <si>
    <t>Audience 3331549; level Location; rule path targetRule.and[1]; parent operator AND.</t>
  </si>
  <si>
    <t>PAR-0032</t>
  </si>
  <si>
    <t>Audience 3331549; level Location; rule path targetRule.and[3]; parent operator AND.</t>
  </si>
  <si>
    <t>PAR-0033</t>
  </si>
  <si>
    <t>Audience 3319837; level Experience; rule path targetRule; parent operator UNKNOWN.</t>
  </si>
  <si>
    <t>PAR-0034</t>
  </si>
  <si>
    <t>Audience 3319837; level Location; rule path targetRule; parent operator UNKNOWN.</t>
  </si>
  <si>
    <t>PAR-0035</t>
  </si>
  <si>
    <t>PAR-0036</t>
  </si>
  <si>
    <t>Audience 3321305; level Location; rule path targetRule.or[0].and[0]; parent operator AND.</t>
  </si>
  <si>
    <t>PAR-0037</t>
  </si>
  <si>
    <t>Audience 3321305; level Location; rule path targetRule.or[0].and[1]; parent operator AND.</t>
  </si>
  <si>
    <t>PAR-0038</t>
  </si>
  <si>
    <t>Audience 3321305; level Location; rule path targetRule.or[1].or[0]; parent operator OR.</t>
  </si>
  <si>
    <t>PAR-0039</t>
  </si>
  <si>
    <t>Audience 3321305; level Location; rule path targetRule.or[1].or[1]; parent operator OR.</t>
  </si>
  <si>
    <t>PAR-0040</t>
  </si>
  <si>
    <t>Audience 3317210; level Experience; rule path targetRule; parent operator UNKNOWN.</t>
  </si>
  <si>
    <t>PAR-0041</t>
  </si>
  <si>
    <t>Audience 3315731; level Location; rule path targetRule.or[0].and[0]; parent operator AND.</t>
  </si>
  <si>
    <t>PAR-0042</t>
  </si>
  <si>
    <t>Audience 3315731; level Location; rule path targetRule.or[0].and[1]; parent operator AND.</t>
  </si>
  <si>
    <t>PAR-0043</t>
  </si>
  <si>
    <t>Audience 3315731; level Location; rule path targetRule.or[1]; parent operator OR.</t>
  </si>
  <si>
    <t>PAR-0044</t>
  </si>
  <si>
    <t>Profile Parameter</t>
  </si>
  <si>
    <t>Audience 3318542; level Location; rule path targetRule; parent operator UNKNOWN.</t>
  </si>
  <si>
    <t>PAR-0045</t>
  </si>
  <si>
    <t>Audience 2717218; level Location; rule path targetRule.and[0]; parent operator AND.</t>
  </si>
  <si>
    <t>PAR-0046</t>
  </si>
  <si>
    <t>Audience 2717218; level Location; rule path targetRule.and[1]; parent operator AND.</t>
  </si>
  <si>
    <t>PAR-0047</t>
  </si>
  <si>
    <t>Audience 2887171; level Location; rule path targetRule.and[0]; parent operator AND.</t>
  </si>
  <si>
    <t>PAR-0048</t>
  </si>
  <si>
    <t>Audience 2887171; level Location; rule path targetRule.and[1]; parent operator AND.</t>
  </si>
  <si>
    <t>PAR-0049</t>
  </si>
  <si>
    <t>Audience 3158903; level Location; rule path targetRule; parent operator UNKNOWN.</t>
  </si>
  <si>
    <t>PAR-0050</t>
  </si>
  <si>
    <t>PAR-0051</t>
  </si>
  <si>
    <t>Audience 3316020; level Experience; rule path targetRule.and[0]; parent operator AND.</t>
  </si>
  <si>
    <t>PAR-0052</t>
  </si>
  <si>
    <t>Audience 3316020; level Experience; rule path targetRule.and[1]; parent operator AND.</t>
  </si>
  <si>
    <t>PAR-0053</t>
  </si>
  <si>
    <t>Audience 3316020; level Experience; rule path targetRule.and[2]; parent operator AND.</t>
  </si>
  <si>
    <t>PAR-0054</t>
  </si>
  <si>
    <t>Audience 3316020; level Experience; rule path targetRule.and[3]; parent operator AND.</t>
  </si>
  <si>
    <t>PAR-0055</t>
  </si>
  <si>
    <t>Audience 3316078; level Location; rule path targetRule.and[0]; parent operator AND.</t>
  </si>
  <si>
    <t>PAR-0056</t>
  </si>
  <si>
    <t>Audience 3316078; level Location; rule path targetRule.and[1]; parent operator AND.</t>
  </si>
  <si>
    <t>PAR-0057</t>
  </si>
  <si>
    <t>Audience 3319562; level Experience; rule path targetRule; parent operator UNKNOWN.</t>
  </si>
  <si>
    <t>PAR-0058</t>
  </si>
  <si>
    <t>Audience 3319567; level Experience; rule path targetRule; parent operator UNKNOWN.</t>
  </si>
  <si>
    <t>PAR-0059</t>
  </si>
  <si>
    <t>PAR-0060</t>
  </si>
  <si>
    <t>PAR-0061</t>
  </si>
  <si>
    <t>Audience 3621317; level Location; rule path targetRule.and[0]; parent operator AND.</t>
  </si>
  <si>
    <t>PAR-0062</t>
  </si>
  <si>
    <t>Audience 3621317; level Location; rule path targetRule.and[1]; parent operator AND.</t>
  </si>
  <si>
    <t>PAR-0063</t>
  </si>
  <si>
    <t>Audience 3621317; level Location; rule path targetRule.and[2]; parent operator AND.</t>
  </si>
  <si>
    <t>PAR-0064</t>
  </si>
  <si>
    <t>Audience 2321319; level Location; rule path targetRule.and[0]; parent operator AND.</t>
  </si>
  <si>
    <t>PAR-0065</t>
  </si>
  <si>
    <t>Audience 2321319; level Location; rule path targetRule.and[1]; parent operator AND.</t>
  </si>
  <si>
    <t>PAR-0066</t>
  </si>
  <si>
    <t>Audience 3629157; level Location; rule path targetRule.and[0]; parent operator AND.</t>
  </si>
  <si>
    <t>PAR-0067</t>
  </si>
  <si>
    <t>Audience 3629157; level Location; rule path targetRule.and[1]; parent operator AND.</t>
  </si>
  <si>
    <t>PAR-0068</t>
  </si>
  <si>
    <t>Audience 3582113; level Location; rule path targetRule.and[0]; parent operator AND.</t>
  </si>
  <si>
    <t>PAR-0069</t>
  </si>
  <si>
    <t>Audience 3582113; level Location; rule path targetRule.and[1]; parent operator AND.</t>
  </si>
  <si>
    <t>PAR-0070</t>
  </si>
  <si>
    <t>Audience 3186083; level Location; rule path targetRule.or[0].and[0]; parent operator AND.</t>
  </si>
  <si>
    <t>PAR-0071</t>
  </si>
  <si>
    <t>Audience 3186083; level Location; rule path targetRule.or[0].and[1]; parent operator AND.</t>
  </si>
  <si>
    <t>PAR-0072</t>
  </si>
  <si>
    <t>Audience 3186083; level Location; rule path targetRule.or[1]; parent operator OR.</t>
  </si>
  <si>
    <t>PAR-0073</t>
  </si>
  <si>
    <t>PAR-0074</t>
  </si>
  <si>
    <t>Audience 3625608; level Location; rule path targetRule.and[0]; parent operator AND.</t>
  </si>
  <si>
    <t>PAR-0075</t>
  </si>
  <si>
    <t>Audience 3625608; level Location; rule path targetRule.and[1]; parent operator AND.</t>
  </si>
  <si>
    <t>PAR-0076</t>
  </si>
  <si>
    <t>Audience 2978937; level Location; rule path targetRule.and[0]; parent operator AND.</t>
  </si>
  <si>
    <t>PAR-0077</t>
  </si>
  <si>
    <t>Audience 2978937; level Location; rule path targetRule.and[1]; parent operator AND.</t>
  </si>
  <si>
    <t>PAR-0078</t>
  </si>
  <si>
    <t>Audience 2952658; level Location; rule path targetRule; parent operator UNKNOWN.</t>
  </si>
  <si>
    <t>PAR-0079</t>
  </si>
  <si>
    <t>Audience 2953817; level Location; rule path targetRule.and[0]; parent operator AND.</t>
  </si>
  <si>
    <t>PAR-0080</t>
  </si>
  <si>
    <t>Audience 2953817; level Location; rule path targetRule.and[1]; parent operator AND.</t>
  </si>
  <si>
    <t>PAR-0081</t>
  </si>
  <si>
    <t>Audience 2968831; level Location; rule path targetRule.and[0]; parent operator AND.</t>
  </si>
  <si>
    <t>PAR-0082</t>
  </si>
  <si>
    <t>Audience 2968831; level Location; rule path targetRule.and[1]; parent operator AND.</t>
  </si>
  <si>
    <t>PAR-0083</t>
  </si>
  <si>
    <t>Audience 2951127; level Location; rule path targetRule.and[0]; parent operator AND.</t>
  </si>
  <si>
    <t>PAR-0084</t>
  </si>
  <si>
    <t>Audience 2951127; level Location; rule path targetRule.and[1]; parent operator AND.</t>
  </si>
  <si>
    <t>PAR-0085</t>
  </si>
  <si>
    <t>Audience 3766478; level Location; rule path targetRule.and[0]; parent operator AND.</t>
  </si>
  <si>
    <t>PAR-0086</t>
  </si>
  <si>
    <t>Audience 3766478; level Location; rule path targetRule.and[1]; parent operator AND.</t>
  </si>
  <si>
    <t>PAR-0087</t>
  </si>
  <si>
    <t>PAR-0088</t>
  </si>
  <si>
    <t>Audience 3787172; level Experience; rule path targetRule; parent operator UNKNOWN.</t>
  </si>
  <si>
    <t>PAR-0089</t>
  </si>
  <si>
    <t>Audience 3808030; level Experience; rule path targetRule; parent operator UNKNOWN.</t>
  </si>
  <si>
    <t>PAR-0090</t>
  </si>
  <si>
    <t>Audience 3808031; level Location; rule path targetRule.and[0]; parent operator AND.</t>
  </si>
  <si>
    <t>PAR-0091</t>
  </si>
  <si>
    <t>Audience 3808031; level Location; rule path targetRule.and[1]; parent operator AND.</t>
  </si>
  <si>
    <t>PAR-0092</t>
  </si>
  <si>
    <t>Audience 3288312; level Location; rule path targetRule.and[0]; parent operator AND.</t>
  </si>
  <si>
    <t>PAR-0093</t>
  </si>
  <si>
    <t>Audience 3288312; level Location; rule path targetRule.and[1]; parent operator AND.</t>
  </si>
  <si>
    <t>PAR-0094</t>
  </si>
  <si>
    <t>Audience 3317024; level Location; rule path targetRule.or[0].and[0]; parent operator AND.</t>
  </si>
  <si>
    <t>PAR-0095</t>
  </si>
  <si>
    <t>Audience 3317024; level Location; rule path targetRule.or[0].and[1]; parent operator AND.</t>
  </si>
  <si>
    <t>PAR-0096</t>
  </si>
  <si>
    <t>Audience 3317024; level Location; rule path targetRule.or[1]; parent operator OR.</t>
  </si>
  <si>
    <t>PAR-0097</t>
  </si>
  <si>
    <t>Audience 3317210; level Location; rule path targetRule; parent operator UNKNOWN.</t>
  </si>
  <si>
    <t>PAR-0098</t>
  </si>
  <si>
    <t>PAR-0099</t>
  </si>
  <si>
    <t>Audience 3458544; level Experience; rule path targetRule; parent operator UNKNOWN.</t>
  </si>
  <si>
    <t>PAR-0100</t>
  </si>
  <si>
    <t>Audience 3488235; level Experience; rule path targetRule; parent operator UNKNOWN.</t>
  </si>
  <si>
    <t>PAR-0101</t>
  </si>
  <si>
    <t>Audience 3285443; level Location; rule path targetRule.and[0]; parent operator AND.</t>
  </si>
  <si>
    <t>PAR-0102</t>
  </si>
  <si>
    <t>Audience 3285443; level Location; rule path targetRule.and[1]; parent operator AND.</t>
  </si>
  <si>
    <t>PAR-0103</t>
  </si>
  <si>
    <t>Audience 3621252; level Location; rule path targetRule.and[0]; parent operator AND.</t>
  </si>
  <si>
    <t>PAR-0104</t>
  </si>
  <si>
    <t>Audience 3621252; level Location; rule path targetRule.and[1]; parent operator AND.</t>
  </si>
  <si>
    <t>Test Case Master</t>
  </si>
  <si>
    <t>30 generic migration controls plus 43 activity-specific rows for all approved activities. Replace To Be Confirmed fields before execution and link every failure to a defect.</t>
  </si>
  <si>
    <t>Test Category</t>
  </si>
  <si>
    <t>Preconditions</t>
  </si>
  <si>
    <t>Test Data</t>
  </si>
  <si>
    <t>Execution Steps</t>
  </si>
  <si>
    <t>Expected Target Request</t>
  </si>
  <si>
    <t>Expected Parameters</t>
  </si>
  <si>
    <t>Expected Audience Result</t>
  </si>
  <si>
    <t>Expected Proposition</t>
  </si>
  <si>
    <t>Expected Rendering</t>
  </si>
  <si>
    <t>Expected Reporting</t>
  </si>
  <si>
    <t>Severity if Failed</t>
  </si>
  <si>
    <t>Tester</t>
  </si>
  <si>
    <t>Execution Date</t>
  </si>
  <si>
    <t>Retest Status</t>
  </si>
  <si>
    <t>Approver</t>
  </si>
  <si>
    <t>TGT-REQ-001</t>
  </si>
  <si>
    <t>Web SDK library loads successfully</t>
  </si>
  <si>
    <t>Target Request</t>
  </si>
  <si>
    <t>Generic migration control</t>
  </si>
  <si>
    <t>Target / Analytics as applicable</t>
  </si>
  <si>
    <t>Migration build deployed; required access, test data, consent state, and identity state are available.</t>
  </si>
  <si>
    <t>Load the page in a clean profile; inspect network and console; confirm one supported Web SDK instance.</t>
  </si>
  <si>
    <t>Library loads without error and is available before the intended decision event.</t>
  </si>
  <si>
    <t>Validate applicable inventory and mapping dependencies.</t>
  </si>
  <si>
    <t>Validate qualified and non-qualified behavior where applicable.</t>
  </si>
  <si>
    <t>Validate the applicable activity and experience identifiers where a decision is expected.</t>
  </si>
  <si>
    <t>Validate visible rendering only where the scenario produces an experience.</t>
  </si>
  <si>
    <t>Validate applicable reporting behavior and absence of duplicate calls.</t>
  </si>
  <si>
    <t>Generic migration test; replace To Be Confirmed fields before execution.</t>
  </si>
  <si>
    <t>TGT-REQ-002</t>
  </si>
  <si>
    <t>Correct datastream is used</t>
  </si>
  <si>
    <t>Trigger the page event; inspect the Edge request and environment metadata; compare with the approved environment matrix.</t>
  </si>
  <si>
    <t>Request is sent through the approved environment-specific datastream.</t>
  </si>
  <si>
    <t>TGT-REQ-003</t>
  </si>
  <si>
    <t>Initial page-view event is sent once</t>
  </si>
  <si>
    <t>Load the page once; filter Edge and Analytics requests; count the defined initial event and associated Target decision.</t>
  </si>
  <si>
    <t>Exactly one initial event and one intended decision request are sent.</t>
  </si>
  <si>
    <t>TGT-SPA-001</t>
  </si>
  <si>
    <t>SPA route event is sent once</t>
  </si>
  <si>
    <t>SPA</t>
  </si>
  <si>
    <t>Navigate internally to a qualifying route; inspect route context and request count without a full reload.</t>
  </si>
  <si>
    <t>Exactly one route event is sent with the correct route context.</t>
  </si>
  <si>
    <t>TGT-PAR-001</t>
  </si>
  <si>
    <t>Required mbox parameters are present</t>
  </si>
  <si>
    <t>Parameter</t>
  </si>
  <si>
    <t>Use the parameter mapping sheet; inspect the actual Target data in the Edge request.</t>
  </si>
  <si>
    <t>Validate the request applicable to the scenario; no environment-specific value is available.</t>
  </si>
  <si>
    <t>Every required mbox parameter has the expected name, value, type, and timing.</t>
  </si>
  <si>
    <t>TGT-PAR-002</t>
  </si>
  <si>
    <t>Required profile parameters are present</t>
  </si>
  <si>
    <t>Use a controlled visitor; inspect the request and subsequent qualification behavior.</t>
  </si>
  <si>
    <t>Required profile parameters are available before qualification and persist as designed.</t>
  </si>
  <si>
    <t>TGT-PAR-003</t>
  </si>
  <si>
    <t>Parameter values match the legacy implementation</t>
  </si>
  <si>
    <t>Execute matched legacy and Web SDK scenarios; compare transmitted values and timing.</t>
  </si>
  <si>
    <t>Values match or an approved intentional mapping difference is documented.</t>
  </si>
  <si>
    <t>TGT-IDN-001</t>
  </si>
  <si>
    <t>Identity is available before Target decisioning</t>
  </si>
  <si>
    <t>Identity</t>
  </si>
  <si>
    <t>Load or authenticate using masked test identity; inspect identityMap and request sequence.</t>
  </si>
  <si>
    <t>Required identity namespaces are present before dependent decisioning.</t>
  </si>
  <si>
    <t>TGT-PRP-001</t>
  </si>
  <si>
    <t>Correct activity is returned</t>
  </si>
  <si>
    <t>Proposition</t>
  </si>
  <si>
    <t>Meet the selected activity conditions; inspect the returned proposition identifiers.</t>
  </si>
  <si>
    <t>The expected activity ID is returned for the qualified visitor.</t>
  </si>
  <si>
    <t>TGT-PRP-002</t>
  </si>
  <si>
    <t>Correct experience is returned</t>
  </si>
  <si>
    <t>Force or qualify for the expected experience; inspect response and visible result.</t>
  </si>
  <si>
    <t>The expected experience is returned and identified separately from the default.</t>
  </si>
  <si>
    <t>TGT-AUD-001</t>
  </si>
  <si>
    <t>Default experience is returned for a non-qualified visitor</t>
  </si>
  <si>
    <t>Audience</t>
  </si>
  <si>
    <t>Use negative test data; clear profile state where required; request the decision.</t>
  </si>
  <si>
    <t>Visitor does not receive the personalized experience and receives the configured default/no offer.</t>
  </si>
  <si>
    <t>TGT-AUD-002</t>
  </si>
  <si>
    <t>Personalized experience is returned for a qualified visitor</t>
  </si>
  <si>
    <t>Use positive test data matching the complete audience rule; request the decision.</t>
  </si>
  <si>
    <t>Visitor qualifies and receives the expected personalized experience.</t>
  </si>
  <si>
    <t>TGT-RND-001</t>
  </si>
  <si>
    <t>Correct offer renders</t>
  </si>
  <si>
    <t>Rendering</t>
  </si>
  <si>
    <t>Capture proposition; wait for container availability; compare the visible content with the configured offer.</t>
  </si>
  <si>
    <t>The correct offer is visibly rendered once in the intended page context.</t>
  </si>
  <si>
    <t>TGT-RND-002</t>
  </si>
  <si>
    <t>Correct selector or container is used</t>
  </si>
  <si>
    <t>Inspect configured location and DOM; verify selector/skeleton availability and insertion point.</t>
  </si>
  <si>
    <t>Content renders in the intended selector, mbox, scope, or skeleton without layout damage.</t>
  </si>
  <si>
    <t>TGT-RND-003</t>
  </si>
  <si>
    <t>No duplicate rendering occurs</t>
  </si>
  <si>
    <t>Repeat the trigger and route; inspect DOM markers, nodes, timers, and event listeners.</t>
  </si>
  <si>
    <t>Only one current instance is visible and stale instances are removed.</t>
  </si>
  <si>
    <t>TGT-FLK-001</t>
  </si>
  <si>
    <t>No flicker occurs beyond the accepted threshold</t>
  </si>
  <si>
    <t>Flicker</t>
  </si>
  <si>
    <t>Record normal and throttled loads; measure default flash, blank duration, and layout shift.</t>
  </si>
  <si>
    <t>Measured behavior remains within the approved threshold and fallback is usable.</t>
  </si>
  <si>
    <t>TGT-COL-001</t>
  </si>
  <si>
    <t>Competing activity priority works correctly</t>
  </si>
  <si>
    <t>Collision</t>
  </si>
  <si>
    <t>Qualify for competing activities sharing a location; repeat under delayed conditions.</t>
  </si>
  <si>
    <t>The expected higher-priority experience wins and lower-priority content/reporting is suppressed.</t>
  </si>
  <si>
    <t>TGT-ANA-001</t>
  </si>
  <si>
    <t>Impression event fires after rendering</t>
  </si>
  <si>
    <t>Analytics/A4T</t>
  </si>
  <si>
    <t>Analytics</t>
  </si>
  <si>
    <t>Render the activity; compare render timestamp with the Analytics/A4T impression request.</t>
  </si>
  <si>
    <t>One impression is sent after the user-visible experience is displayed.</t>
  </si>
  <si>
    <t>TGT-ANA-002</t>
  </si>
  <si>
    <t>Click event fires after interaction</t>
  </si>
  <si>
    <t>Click the configured CTA once; inspect the resulting Analytics/A4T request.</t>
  </si>
  <si>
    <t>One correct interaction event is sent after the intended action.</t>
  </si>
  <si>
    <t>TGT-ANA-003</t>
  </si>
  <si>
    <t>Conversion event fires at the expected action</t>
  </si>
  <si>
    <t>Complete the documented objective; inspect request variables and timing.</t>
  </si>
  <si>
    <t>The configured conversion is sent once at the expected action.</t>
  </si>
  <si>
    <t>TGT-ANA-004</t>
  </si>
  <si>
    <t>No duplicate Analytics events are sent</t>
  </si>
  <si>
    <t>Execute initial, route, render, click, and conversion actions while monitoring both legacy and Web SDK paths.</t>
  </si>
  <si>
    <t>No unintended duplicate page, impression, interaction, or conversion events occur.</t>
  </si>
  <si>
    <t>TGT-ANA-005</t>
  </si>
  <si>
    <t>Analytics report suite or dataset is correct</t>
  </si>
  <si>
    <t>Inspect destination metadata and verify the result in the approved reporting/debug tool.</t>
  </si>
  <si>
    <t>The request reaches the approved report suite/dataset for the environment.</t>
  </si>
  <si>
    <t>TGT-TRP-001</t>
  </si>
  <si>
    <t>Target metric mbox, selector, and success event work</t>
  </si>
  <si>
    <t>Target Reporting</t>
  </si>
  <si>
    <t>Target</t>
  </si>
  <si>
    <t>Execute the configured Target metric action; inspect metric call and Target report after latency.</t>
  </si>
  <si>
    <t>The configured metric location and success event record against the intended activity.</t>
  </si>
  <si>
    <t>TGT-CNS-001</t>
  </si>
  <si>
    <t>Consent rejection is respected</t>
  </si>
  <si>
    <t>Consent</t>
  </si>
  <si>
    <t>Set the denied consent state; load and navigate; inspect Target, Analytics, identity, and payload behavior.</t>
  </si>
  <si>
    <t>Calls and data are suppressed or limited exactly as defined by the approved consent design.</t>
  </si>
  <si>
    <t>TGT-CNS-002</t>
  </si>
  <si>
    <t>Consent acceptance enables expected behavior</t>
  </si>
  <si>
    <t>Set full consent; load and navigate; inspect decisioning, rendering, and reporting.</t>
  </si>
  <si>
    <t>Approved Target and Analytics behavior occurs without duplicate initialization.</t>
  </si>
  <si>
    <t>TGT-IDN-002</t>
  </si>
  <si>
    <t>Logged-in identity is handled correctly</t>
  </si>
  <si>
    <t>Authenticate with a masked test account; inspect identity timing, qualification, rendering, and persistence.</t>
  </si>
  <si>
    <t>The intended authenticated identity is used without exposing sensitive values.</t>
  </si>
  <si>
    <t>TGT-IDN-003</t>
  </si>
  <si>
    <t>Logged-out visitor is handled correctly</t>
  </si>
  <si>
    <t>Use a clean anonymous profile and navigate the same journey.</t>
  </si>
  <si>
    <t>Anonymous behavior, ECID, qualification, and defaults match the approved design.</t>
  </si>
  <si>
    <t>TGT-REG-001</t>
  </si>
  <si>
    <t>Existing page functionality is unaffected</t>
  </si>
  <si>
    <t>Regression</t>
  </si>
  <si>
    <t>Exercise core page, navigation, forms, and interactions with the migration build and selected activity.</t>
  </si>
  <si>
    <t>No functional, visual, console, or performance regression is introduced.</t>
  </si>
  <si>
    <t>TGT-REG-002</t>
  </si>
  <si>
    <t>Existing Analytics implementation is not duplicated</t>
  </si>
  <si>
    <t>Compare legacy baseline and migration network calls for page and interaction events.</t>
  </si>
  <si>
    <t>The future implementation preserves measurement without unintended dual collection.</t>
  </si>
  <si>
    <t>TGT-PRD-001</t>
  </si>
  <si>
    <t>Production smoke test passes</t>
  </si>
  <si>
    <t>Production Smoke</t>
  </si>
  <si>
    <t>After release, execute the approved smoke set and validate request, parameters, decision, render, reporting, errors, and duplication.</t>
  </si>
  <si>
    <t>Critical production checks pass and monitoring begins with no release-stopping issue.</t>
  </si>
  <si>
    <t>TGT-RND-101</t>
  </si>
  <si>
    <t>Activity-specific end-to-end qualification, proposition, rendering, and reporting validation</t>
  </si>
  <si>
    <t>Experience A, Experience B, Experience C</t>
  </si>
  <si>
    <t>Approved activity; Target QA URL, route, positive/negative audience data, consent state, and identity state are available.</t>
  </si>
  <si>
    <t>Open the page/route with positive test data; inspect Web SDK request and Target response; confirm visible offer; execute applicable interaction/conversion; validate reporting; repeat with negative data and on route revisit.</t>
  </si>
  <si>
    <t>One intended Target decision for location type(s) selector and location(s) Location 0 - HTML &gt; BODY &gt; HEADER:nth-of-type(1) &gt; DIV:nth-of-type(1) &gt; DIV:nth-of-type(1) &gt; DIV:nth-of-type(1) &gt; DIV:nth-of-type(1) &gt; DIV:nth-of-type(1) &gt; IMG:nth-of-type(1), Location 1 - HTML &gt; BODY &gt; NAV:nth-of-type(1) &gt; DIV:nth-of-type(1) &gt; A:nth-of-type(1).</t>
  </si>
  <si>
    <t>Inventory-linked audience parameters: country, domain, path. Validate exact names, values, types, and timing.</t>
  </si>
  <si>
    <t>Validate positive and negative qualification for audience ID(s) 2625515, 2625516, 2625532.</t>
  </si>
  <si>
    <t>Returned proposition identifies activity 238801 and configured experience(s): Experience A, Experience B, Experience C.</t>
  </si>
  <si>
    <t>Render configured offer(s) 0 - Offer2, Offer3, Offer4 in location(s) Location 0 - HTML &gt; BODY &gt; HEADER:nth-of-type(1) &gt; DIV:nth-of-type(1) &gt; DIV:nth-of-type(1) &gt; DIV:nth-of-type(1) &gt; DIV:nth-of-type(1) &gt; DIV:nth-of-type(1) &gt; IMG:nth-of-type(1), Location 1 - HTML &gt; BODY &gt; NAV:nth-of-type(1) &gt; DIV:nth-of-type(1) &gt; A:nth-of-type(1) once, without stale or duplicate content.</t>
  </si>
  <si>
    <t>Validate Target metric(s) MY PRIMARY GOAL; action count_once; location mbox / target-global-mbox; success event mbox_shown.</t>
  </si>
  <si>
    <t>Inventory-derived planning row. Risk: High. Custom code: Yes - offer template evidence. Shared-location activity count indicator: 3.</t>
  </si>
  <si>
    <t>TGT-RND-102</t>
  </si>
  <si>
    <t>Experience A, Experience B</t>
  </si>
  <si>
    <t>One intended Target decision for location type(s) selector and location(s) Location 1 - HTML &gt; BODY &gt; DIV:nth-of-type(1) &gt; DIV:nth-of-type(1) &gt; DIV:nth-of-type(1) &gt; DIV:nth-of-type(2) &gt; DIV:nth-of-type(1) &gt; DIV:nth-of-type(1) &gt; DIV:nth-of-type(1) &gt; P:nth-of-type(2) &gt; A:nth-of-type(1).</t>
  </si>
  <si>
    <t>Inventory-linked audience parameters: domain, path. Validate exact names, values, types, and timing.</t>
  </si>
  <si>
    <t>Validate positive and negative qualification for audience ID(s) 3628737.</t>
  </si>
  <si>
    <t>Returned proposition identifies activity 319925 and configured experience(s): Experience A, Experience B.</t>
  </si>
  <si>
    <t>Render configured offer(s) 0 - Default Content, Offer 2 in location(s) Location 1 - HTML &gt; BODY &gt; DIV:nth-of-type(1) &gt; DIV:nth-of-type(1) &gt; DIV:nth-of-type(1) &gt; DIV:nth-of-type(2) &gt; DIV:nth-of-type(1) &gt; DIV:nth-of-type(1) &gt; DIV:nth-of-type(1) &gt; P:nth-of-type(2) &gt; A:nth-of-type(1) once, without stale or duplicate content.</t>
  </si>
  <si>
    <t>Validate Target metric(s) ADDITIONAL GOAL 1,ADDITIONAL GOAL 2,MY PRIMARY GOAL; action count_once; location mbox / target-global-mbox1,target-global-mbox; success event mbox_shown.</t>
  </si>
  <si>
    <t>Inventory-derived planning row. Risk: High. Custom code: Yes - offer template evidence. Shared-location activity count indicator: 2.</t>
  </si>
  <si>
    <t>TGT-RND-103</t>
  </si>
  <si>
    <t>One intended Target decision for location type(s) selector and location(s) Location 0 - HTML &gt; BODY &gt; DIV.container:eq(0) &gt; DIV.root:eq(0) &gt; DIV.aem-Grid:eq(0) &gt; DIV.responsivegrid:eq(0) &gt; DIV.aem-Grid:eq(0) &gt; DIV.we-carousel:eq(0) &gt; DIV.cmp-carousel:eq(0) &gt; DIV.cmp-carousel__content:eq(0) &gt; DIV.cmp-carousel__item:eq(0) &gt; DIV.teaser:eq(0) &gt; DIV.cmp-teaser:eq(0) &gt; DIV.cmp-teaser__content:eq(0) &gt; DIV.cmp-teaser__action-container:eq(0) &gt; A.cmp-teaser__action-link:eq(0), Location 1 - HTML &gt; BODY &gt; DIV.container:eq(0) &gt; DIV.root:eq(0) &gt; DIV.aem-Grid:eq(0) &gt; DIV.responsivegrid:eq(0) &gt; DIV.aem-Grid:eq(0) &gt; DIV.we-carousel:eq(0) &gt; DIV.cmp-carousel:eq(0) &gt; DIV.cmp-carousel__content:eq(0) &gt; DIV.cmp-carousel__item:eq(0) &gt; DIV.teaser:eq(0) &gt; DIV.cmp-teaser:eq(0) &gt; DIV.cmp-teaser__content:eq(0) &gt; DIV.cmp-teaser__action-container:eq(0) &gt; A.cmp-teaser__action-link:eq(0), Location 2 - HTML &gt; BODY &gt; DIV.container:eq(0) &gt; DIV.root:eq(0) &gt; DIV.aem-Grid:eq(0) &gt; DIV.responsivegr....</t>
  </si>
  <si>
    <t>Validate positive and negative qualification for audience ID(s) 2321320, 2321342, 2321343.</t>
  </si>
  <si>
    <t>Returned proposition identifies activity 215656 and configured experience(s): Experience A, Experience B.</t>
  </si>
  <si>
    <t>Render configured offer(s) 0 - Offer2, Offer3, Offer4, Offer5, Offer6, Offer7, Offer8, Offer9 in location(s) Location 0 - HTML &gt; BODY &gt; DIV.container:eq(0) &gt; DIV.root:eq(0) &gt; DIV.aem-Grid:eq(0) &gt; DIV.responsivegrid:eq(0) &gt; DIV.aem-Grid:eq(0) &gt; DIV.we-carousel:eq(0) &gt; DIV.cmp-carousel:eq(0) &gt; DIV.cmp-carousel__content:eq(0) &gt; DIV.cmp-carousel__item:eq(0) &gt; DIV.teaser:eq(0) &gt; DIV.cmp-teaser:eq(0) &gt; DIV.cmp-teaser__content:eq(0) &gt; DIV.cmp-teaser__action-container:eq(0) &gt; A.cmp-teaser__action-link:eq(0), Location 1 - HTML &gt; BODY &gt; DIV.container:eq(0) &gt; DIV.root:eq(0) &gt; DIV.aem-Grid:eq(0) &gt; DIV.responsivegrid:eq(0) &gt; DIV.aem-Grid:eq(0) &gt; DIV.we-carousel:eq(0) &gt; DIV.cmp-carousel:eq(0) &gt; DIV.cmp-carousel__content:eq(0) &gt; DIV.cmp-carousel__item:eq(0) &gt; DIV.teaser:eq(0) &gt; DIV.cmp-teaser:eq(0) &gt; DIV.cmp-teaser__content:eq(0) &gt; DIV.cmp-teaser__action-container:eq(0) &gt; A.cmp-teaser__action-link:eq(0), Location 2 - HTML &gt; BODY &gt; DIV.container:eq(0) &gt; DIV.root:eq(0) &gt; DIV.aem-Grid:eq(0) &gt; DIV.responsivegr... once, without stale or duplicate content.</t>
  </si>
  <si>
    <t>Validate Target metric(s) MY PRIMARY GOAL; action count_once; location - / -; success event -.</t>
  </si>
  <si>
    <t>Inventory-derived planning row. Risk: High. Custom code: Yes - offer template evidence. Shared-location activity count indicator: 1.</t>
  </si>
  <si>
    <t>TGT-RND-104</t>
  </si>
  <si>
    <t>One intended Target decision for location type(s) - and location(s) -.</t>
  </si>
  <si>
    <t>No meaningful parameter name resolved from the inventory; complete parameter discovery before execution.</t>
  </si>
  <si>
    <t>Validate configured activity/default qualification; audience detail is To Be Confirmed.</t>
  </si>
  <si>
    <t>Returned proposition identifies activity 319918 and configured experience(s): -.</t>
  </si>
  <si>
    <t>Render configured offer(s) - - - in location(s) - once, without stale or duplicate content.</t>
  </si>
  <si>
    <t>Validate Target metric(s) -; action -; location - / -; success event -.</t>
  </si>
  <si>
    <t>Inventory-derived planning row. Risk: Medium. Custom code: No evidence in inventory. Shared-location activity count indicator: 1.</t>
  </si>
  <si>
    <t>TGT-RND-105</t>
  </si>
  <si>
    <t>One intended Target decision for location type(s) selector and location(s) Location 0 - HTML &gt; BODY &gt; DIV:nth-of-type(1) &gt; DIV:nth-of-type(1) &gt; DIV:nth-of-type(1) &gt; HEADER:nth-of-type(1) &gt; DIV:nth-of-type(1) &gt; DIV:nth-of-type(2) &gt; DIV:nth-of-type(1) &gt; DIV:nth-of-type(1) &gt; DIV:nth-of-type(1) &gt; DIV:nth-of-type(1) &gt; H1:nth-of-type(1).</t>
  </si>
  <si>
    <t>Inventory-linked audience parameters: domain, path, url. Validate exact names, values, types, and timing.</t>
  </si>
  <si>
    <t>Validate positive and negative qualification for audience ID(s) 3113043.</t>
  </si>
  <si>
    <t>Returned proposition identifies activity 276577 and configured experience(s): Experience A, Experience B.</t>
  </si>
  <si>
    <t>Render configured offer(s) 0 - Offer2, Offer3 in location(s) Location 0 - HTML &gt; BODY &gt; DIV:nth-of-type(1) &gt; DIV:nth-of-type(1) &gt; DIV:nth-of-type(1) &gt; HEADER:nth-of-type(1) &gt; DIV:nth-of-type(1) &gt; DIV:nth-of-type(2) &gt; DIV:nth-of-type(1) &gt; DIV:nth-of-type(1) &gt; DIV:nth-of-type(1) &gt; DIV:nth-of-type(1) &gt; H1:nth-of-type(1) once, without stale or duplicate content.</t>
  </si>
  <si>
    <t>TGT-RND-106</t>
  </si>
  <si>
    <t>Experience A</t>
  </si>
  <si>
    <t>One intended Target decision for location type(s) mbox and location(s) target-global-mbox.</t>
  </si>
  <si>
    <t>Returned proposition identifies activity 320308 and configured experience(s): Experience A.</t>
  </si>
  <si>
    <t>Render configured offer(s) 851447 - CAP Gender Personalization in location(s) target-global-mbox once, without stale or duplicate content.</t>
  </si>
  <si>
    <t>Inventory-derived planning row. Risk: High. Custom code: Yes - script evidence. Shared-location activity count indicator: 11.</t>
  </si>
  <si>
    <t>TGT-RND-107</t>
  </si>
  <si>
    <t>Experience A, Experience B, Experience C, Experience D, Experience E</t>
  </si>
  <si>
    <t>One intended Target decision for location type(s) selector and location(s) Location 1 - HTML &gt; BODY &gt; DIV:nth-of-type(1) &gt; DIV:nth-of-type(1) &gt; DIV:nth-of-type(3), Location 10 - HTML &gt; BODY &gt; DIV:nth-of-type(1) &gt; DIV:nth-of-type(1) &gt; DIV:nth-of-type(8), Location 15 - HTML &gt; BODY &gt; DIV:nth-of-type(1) &gt; DIV:nth-of-type(1) &gt; DIV:nth-of-type(6), Location 21 - HTML &gt; BODY &gt; DIV:nth-of-type(1) &gt; DIV:nth-of-type(1) &gt; DIV:nth-of-type(7), Location 28 - HTML &gt; BODY &gt; DIV:nth-of-type(1) &gt; DIV:nth-of-type(1) &gt; DIV:nth-of-type(5), Location 3 - HTML &gt; BODY &gt; DIV:nth-of-type(1) &gt; DIV:nth-of-type(1) &gt; DIV:nth-of-type(2), Location 36 - HTML &gt; BODY &gt; DIV:nth-of-type(1) &gt; DIV:nth-of-type(1) &gt; DIV:nth-of-type(1) &gt; H3:nth-of-type(1), Location 45 - HTML &gt; BODY &gt; DIV:nth-of-type(1) &gt; DIV:nth-of-type(1) &gt; DIV:nth-of-type(1) &gt; P:nth-of-type(1), Location 46 - HEAD, Location 47 - HTML &gt; BODY &gt; HEADER:nth-of-type(1), Location 6 - HTML &gt; BODY &gt; DIV:nth-of-type(1) &gt; DIV:nth-of-type(1) &gt;....</t>
  </si>
  <si>
    <t>Validate positive and negative qualification for audience ID(s) 3579933, 3579967, 3590354, 3590357, 3592993.</t>
  </si>
  <si>
    <t>Returned proposition identifies activity 315721 and configured experience(s): Experience A, Experience B, Experience C, Experience D, Experience E.</t>
  </si>
  <si>
    <t>Render configured offer(s) 0 - Default Content, Offer 11, Offer 16, Offer 2, Offer 22, Offer 29, Offer 37, Offer 4, Offer 46, Offer 47, Offer 48, Offer 50, Offer 52, Offer 7 in location(s) Location 1 - HTML &gt; BODY &gt; DIV:nth-of-type(1) &gt; DIV:nth-of-type(1) &gt; DIV:nth-of-type(3), Location 10 - HTML &gt; BODY &gt; DIV:nth-of-type(1) &gt; DIV:nth-of-type(1) &gt; DIV:nth-of-type(8), Location 15 - HTML &gt; BODY &gt; DIV:nth-of-type(1) &gt; DIV:nth-of-type(1) &gt; DIV:nth-of-type(6), Location 21 - HTML &gt; BODY &gt; DIV:nth-of-type(1) &gt; DIV:nth-of-type(1) &gt; DIV:nth-of-type(7), Location 28 - HTML &gt; BODY &gt; DIV:nth-of-type(1) &gt; DIV:nth-of-type(1) &gt; DIV:nth-of-type(5), Location 3 - HTML &gt; BODY &gt; DIV:nth-of-type(1) &gt; DIV:nth-of-type(1) &gt; DIV:nth-of-type(2), Location 36 - HTML &gt; BODY &gt; DIV:nth-of-type(1) &gt; DIV:nth-of-type(1) &gt; DIV:nth-of-type(1) &gt; H3:nth-of-type(1), Location 45 - HTML &gt; BODY &gt; DIV:nth-of-type(1) &gt; DIV:nth-of-type(1) &gt; DIV:nth-of-type(1) &gt; P:nth-of-type(1), Location 46 - HEAD, Location 47 - HTML &gt; BODY &gt; HEADER:nth-of-type(1), Location 6 - HTML &gt; BODY &gt; DIV:nth-of-type(1) &gt; DIV:nth-of-type(1) &gt;... once, without stale or duplicate content.</t>
  </si>
  <si>
    <t>TGT-RND-108</t>
  </si>
  <si>
    <t>One intended Target decision for location type(s) selector and location(s) Location 0 - HTML &gt; BODY &gt; MAIN:nth-of-type(1) &gt; DIV:nth-of-type(1) &gt; DIV:nth-of-type(1) &gt; DIV:nth-of-type(1) &gt; DIV:nth-of-type(1) &gt; DIV:nth-of-type(1) &gt; P:nth-of-type(1) &gt; H1:nth-of-type(1).</t>
  </si>
  <si>
    <t>Inventory-linked audience parameters: domain, path, profile. Validate exact names, values, types, and timing.</t>
  </si>
  <si>
    <t>Validate positive and negative qualification for audience ID(s) 3077294, 3077299.</t>
  </si>
  <si>
    <t>Returned proposition identifies activity 273952 and configured experience(s): Experience A, Experience B.</t>
  </si>
  <si>
    <t>Render configured offer(s) 0 - Offer2 in location(s) Location 0 - HTML &gt; BODY &gt; MAIN:nth-of-type(1) &gt; DIV:nth-of-type(1) &gt; DIV:nth-of-type(1) &gt; DIV:nth-of-type(1) &gt; DIV:nth-of-type(1) &gt; DIV:nth-of-type(1) &gt; P:nth-of-type(1) &gt; H1:nth-of-type(1) once, without stale or duplicate content.</t>
  </si>
  <si>
    <t>TGT-RND-109</t>
  </si>
  <si>
    <t>One intended Target decision for location type(s) selector and location(s) Location 1 - HEAD.</t>
  </si>
  <si>
    <t>Validate positive and negative qualification for audience ID(s) 3366129.</t>
  </si>
  <si>
    <t>Returned proposition identifies activity 297212 and configured experience(s): Experience A, Experience B.</t>
  </si>
  <si>
    <t>Render configured offer(s) 0 - Default Content, Offer 41 in location(s) Location 1 - HEAD once, without stale or duplicate content.</t>
  </si>
  <si>
    <t>Inventory-derived planning row. Risk: High. Custom code: Yes - offer template evidence. Shared-location activity count indicator: 8.</t>
  </si>
  <si>
    <t>TGT-RND-110</t>
  </si>
  <si>
    <t>One intended Target decision for location type(s) mbox and location(s) target-ew-mbox.</t>
  </si>
  <si>
    <t>Inventory-linked audience parameters: zip. Validate exact names, values, types, and timing.</t>
  </si>
  <si>
    <t>Validate positive and negative qualification for audience ID(s) 3327195, 3327196.</t>
  </si>
  <si>
    <t>Returned proposition identifies activity 300954 and configured experience(s): Experience A, Experience B.</t>
  </si>
  <si>
    <t>Render configured offer(s) 820844, 820845 - Chicago_region_offer, skokie_region_offer in location(s) target-ew-mbox once, without stale or duplicate content.</t>
  </si>
  <si>
    <t>Validate Target metric(s) MY PRIMARY GOAL; action count_once; location mbox / target-ew-mbox,target-global-mbox; success event mbox_shown.</t>
  </si>
  <si>
    <t>Inventory-derived planning row. Risk: High. Custom code: Yes - script evidence. Shared-location activity count indicator: 7.</t>
  </si>
  <si>
    <t>TGT-RND-111</t>
  </si>
  <si>
    <t>One intended Target decision for location type(s) selector and location(s) Location 0 - HTML &gt; BODY &gt; DIV:nth-of-type(3) &gt; DIV:nth-of-type(1) &gt; DIV:nth-of-type(2) &gt; DIV:nth-of-type(1) &gt; DIV:nth-of-type(2) &gt; H1:nth-of-type(1), Location 1 - HTML &gt; BODY &gt; DIV:nth-of-type(3) &gt; DIV:nth-of-type(1) &gt; DIV:nth-of-type(2) &gt; DIV:nth-of-type(1) &gt; DIV:nth-of-type(2) &gt; P:nth-of-type(1).</t>
  </si>
  <si>
    <t>Validate positive and negative qualification for audience ID(s) 2567148.</t>
  </si>
  <si>
    <t>Returned proposition identifies activity 234366 and configured experience(s): Experience A, Experience B.</t>
  </si>
  <si>
    <t>Render configured offer(s) 0 - Offer2, Offer3 in location(s) Location 0 - HTML &gt; BODY &gt; DIV:nth-of-type(3) &gt; DIV:nth-of-type(1) &gt; DIV:nth-of-type(2) &gt; DIV:nth-of-type(1) &gt; DIV:nth-of-type(2) &gt; H1:nth-of-type(1), Location 1 - HTML &gt; BODY &gt; DIV:nth-of-type(3) &gt; DIV:nth-of-type(1) &gt; DIV:nth-of-type(2) &gt; DIV:nth-of-type(1) &gt; DIV:nth-of-type(2) &gt; P:nth-of-type(1) once, without stale or duplicate content.</t>
  </si>
  <si>
    <t>TGT-RND-112</t>
  </si>
  <si>
    <t>GAQ, SATD</t>
  </si>
  <si>
    <t>One intended Target decision for location type(s) selector and location(s) Location 2 - BODY &gt; *:eq(0).</t>
  </si>
  <si>
    <t>Inventory-linked audience parameters: domain, path, region, url. Validate exact names, values, types, and timing.</t>
  </si>
  <si>
    <t>Validate positive and negative qualification for audience ID(s) 3331104, 3331549.</t>
  </si>
  <si>
    <t>Returned proposition identifies activity 293981 and configured experience(s): GAQ, SATD.</t>
  </si>
  <si>
    <t>Render configured offer(s) 0 - Default Content, Offer 5 in location(s) Location 2 - BODY &gt; *:eq(0) once, without stale or duplicate content.</t>
  </si>
  <si>
    <t>TGT-RND-113</t>
  </si>
  <si>
    <t>Inventory-linked audience parameters: url. Validate exact names, values, types, and timing.</t>
  </si>
  <si>
    <t>Validate positive and negative qualification for audience ID(s) 3319837.</t>
  </si>
  <si>
    <t>Returned proposition identifies activity 292990 and configured experience(s): Experience A.</t>
  </si>
  <si>
    <t>Render configured offer(s) 807475 - offer1 in location(s) target-global-mbox once, without stale or duplicate content.</t>
  </si>
  <si>
    <t>TGT-RND-114</t>
  </si>
  <si>
    <t>Validate positive and negative qualification for audience ID(s) 3319837, 3321305.</t>
  </si>
  <si>
    <t>Returned proposition identifies activity 293148 and configured experience(s): Experience A, Experience B.</t>
  </si>
  <si>
    <t>Render configured offer(s) 0 - Default Content, Offer 2 in location(s) Location 1 - HEAD once, without stale or duplicate content.</t>
  </si>
  <si>
    <t>TGT-RND-115</t>
  </si>
  <si>
    <t>One intended Target decision for location type(s) mbox and location(s) launch-trigger-mbox.</t>
  </si>
  <si>
    <t>Inventory-linked audience parameters: domain. Validate exact names, values, types, and timing.</t>
  </si>
  <si>
    <t>Validate positive and negative qualification for audience ID(s) 3317210.</t>
  </si>
  <si>
    <t>Returned proposition identifies activity 292739 and configured experience(s): Experience A.</t>
  </si>
  <si>
    <t>Render configured offer(s) 807069 - test_111_html in location(s) launch-trigger-mbox once, without stale or duplicate content.</t>
  </si>
  <si>
    <t>Validate Target metric(s) MY PRIMARY GOAL; action count_once; location mbox / launch-trigger-mbox,target-global-mbox; success event mbox_shown.</t>
  </si>
  <si>
    <t>Inventory-derived planning row. Risk: High. Custom code: Yes - script evidence. Shared-location activity count indicator: 1.</t>
  </si>
  <si>
    <t>TGT-RND-116</t>
  </si>
  <si>
    <t>One intended Target decision for location type(s) selector and location(s) Location 3 - HTML &gt; BODY &gt; DIV:nth-of-type(1) &gt; DIV:nth-of-type(1) &gt; DIV:nth-of-type(1) &gt; DIV:nth-of-type(2) &gt; DIV:nth-of-type(1) &gt; DIV:nth-of-type(1) &gt; DIV:nth-of-type(1) &gt; SECTION:nth-of-type(1) &gt; DIV:nth-of-type(1) &gt; DIV:nth-of-type(1) &gt; DIV:nth-of-type(1) &gt; DIV:nth-of-type(1) &gt; H1:nth-of-type(1).</t>
  </si>
  <si>
    <t>Inventory-linked audience parameters: domain, path, url, user.oktaTesting. Validate exact names, values, types, and timing.</t>
  </si>
  <si>
    <t>Validate positive and negative qualification for audience ID(s) 3315731, 3318542.</t>
  </si>
  <si>
    <t>Returned proposition identifies activity 292589 and configured experience(s): Experience A, Experience B.</t>
  </si>
  <si>
    <t>Render configured offer(s) 0 - Offer 6, Offer 7 in location(s) Location 3 - HTML &gt; BODY &gt; DIV:nth-of-type(1) &gt; DIV:nth-of-type(1) &gt; DIV:nth-of-type(1) &gt; DIV:nth-of-type(2) &gt; DIV:nth-of-type(1) &gt; DIV:nth-of-type(1) &gt; DIV:nth-of-type(1) &gt; SECTION:nth-of-type(1) &gt; DIV:nth-of-type(1) &gt; DIV:nth-of-type(1) &gt; DIV:nth-of-type(1) &gt; DIV:nth-of-type(1) &gt; H1:nth-of-type(1) once, without stale or duplicate content.</t>
  </si>
  <si>
    <t>TGT-RND-117</t>
  </si>
  <si>
    <t>One intended Target decision for location type(s) selector and location(s) Location 0 - HEAD.</t>
  </si>
  <si>
    <t>Validate positive and negative qualification for audience ID(s) 2717218.</t>
  </si>
  <si>
    <t>Returned proposition identifies activity 245616 and configured experience(s): Experience A, Experience B.</t>
  </si>
  <si>
    <t>Render configured offer(s) 0 - Offer2, Offer3 in location(s) Location 0 - HEAD once, without stale or duplicate content.</t>
  </si>
  <si>
    <t>TGT-RND-118</t>
  </si>
  <si>
    <t>One intended Target decision for location type(s) selector and location(s) Location 0 - HTML &gt; BODY &gt; DIV:nth-of-type(1) &gt; DIV:nth-of-type(1) &gt; DIV:nth-of-type(1) &gt; MAIN:nth-of-type(1) &gt; DIV:nth-of-type(1) &gt; DIV:nth-of-type(1) &gt; DIV:nth-of-type(2) &gt; DIV:nth-of-type(1) &gt; DIV:nth-of-type(1) &gt; DIV:nth-of-type(2) &gt; DIV:nth-of-type(1) &gt; IMG:nth-of-type(1), Location 1 - HTML &gt; BODY &gt; DIV:nth-of-type(1) &gt; DIV:nth-of-type(1) &gt; DIV:nth-of-type(1) &gt; MAIN:nth-of-type(1) &gt; DIV:nth-of-type(1) &gt; DIV:nth-of-type(1) &gt; DIV:nth-of-type(2) &gt; DIV:nth-of-type(1) &gt; DIV:nth-of-type(1) &gt; DIV:nth-of-type(3), Location 2 - HTML &gt; BODY &gt; DIV:nth-of-type(1) &gt; DIV:nth-of-type(1) &gt; DIV:nth-of-type(1) &gt; MAIN:nth-of-type(1) &gt; DIV:nth-of-type(1) &gt; DIV:nth-of-type(1) &gt; DIV:nth-of-type(1) &gt; DIV:nth-of-type(1) &gt; H1:nth-of-type(1), Location 3 - HTML &gt; BODY &gt; DIV:nth-of-type(1) &gt; DIV:nth-of-type(1) &gt; DIV:nth-of-type(1) &gt; MAIN:nth-of-type(1) &gt; DIV:nth-of-type(1) &gt; DIV:nth-of-type(1) &gt; DIV:nth-of-t....</t>
  </si>
  <si>
    <t>Validate positive and negative qualification for audience ID(s) 2887171.</t>
  </si>
  <si>
    <t>Returned proposition identifies activity 258825 and configured experience(s): Experience A, Experience B.</t>
  </si>
  <si>
    <t>Render configured offer(s) 0 - Offer2, Offer3, Offer4, Offer5, Offer6, Offer7 in location(s) Location 0 - HTML &gt; BODY &gt; DIV:nth-of-type(1) &gt; DIV:nth-of-type(1) &gt; DIV:nth-of-type(1) &gt; MAIN:nth-of-type(1) &gt; DIV:nth-of-type(1) &gt; DIV:nth-of-type(1) &gt; DIV:nth-of-type(2) &gt; DIV:nth-of-type(1) &gt; DIV:nth-of-type(1) &gt; DIV:nth-of-type(2) &gt; DIV:nth-of-type(1) &gt; IMG:nth-of-type(1), Location 1 - HTML &gt; BODY &gt; DIV:nth-of-type(1) &gt; DIV:nth-of-type(1) &gt; DIV:nth-of-type(1) &gt; MAIN:nth-of-type(1) &gt; DIV:nth-of-type(1) &gt; DIV:nth-of-type(1) &gt; DIV:nth-of-type(2) &gt; DIV:nth-of-type(1) &gt; DIV:nth-of-type(1) &gt; DIV:nth-of-type(3), Location 2 - HTML &gt; BODY &gt; DIV:nth-of-type(1) &gt; DIV:nth-of-type(1) &gt; DIV:nth-of-type(1) &gt; MAIN:nth-of-type(1) &gt; DIV:nth-of-type(1) &gt; DIV:nth-of-type(1) &gt; DIV:nth-of-type(1) &gt; DIV:nth-of-type(1) &gt; H1:nth-of-type(1), Location 3 - HTML &gt; BODY &gt; DIV:nth-of-type(1) &gt; DIV:nth-of-type(1) &gt; DIV:nth-of-type(1) &gt; MAIN:nth-of-type(1) &gt; DIV:nth-of-type(1) &gt; DIV:nth-of-type(1) &gt; DIV:nth-of-t... once, without stale or duplicate content.</t>
  </si>
  <si>
    <t>Validate Target metric(s) MY PRIMARY GOAL; action count_once; location selector / HTML &gt; BODY &gt; A:nth-of-type(1),HTML &gt; BODY &gt; DIV:nth-of-type(1) &gt; DIV:nth-of-type(1) &gt; DIV:nth-of-type(1) &gt; MAIN:nth-of-type(1) &gt; DIV:nth-of-type(1) &gt; DIV:nth-of-type(1) &gt; DIV:nth-of-type(1) &gt; DIV:nth-of-type(1) &gt; H1:nth-of-type(1),HTML &gt; BODY &gt; DIV:nth-of-type(1) &gt; DIV:nth-of-type(1) &gt; DIV:nth-of-type(1) &gt; MAIN:nth-of-type(1) &gt; DIV:nth-of-type(1) &gt; DIV:nth-of-type(1) &gt; DIV:nth-of-type(2) &gt; DIV:nth-of-type(1) &gt; DIV:nth-of-type(1) &gt; IMG:nth-of-type(1); success event click.</t>
  </si>
  <si>
    <t>TGT-RND-119</t>
  </si>
  <si>
    <t>One intended Target decision for location type(s) mbox and location(s) homepage-offer.</t>
  </si>
  <si>
    <t>Inventory-linked audience parameters: visitorType. Validate exact names, values, types, and timing.</t>
  </si>
  <si>
    <t>Validate positive and negative qualification for audience ID(s) 3158903.</t>
  </si>
  <si>
    <t>Returned proposition identifies activity 280257 and configured experience(s): Experience A.</t>
  </si>
  <si>
    <t>Render configured offer(s) 780575 - Offer2 in location(s) homepage-offer once, without stale or duplicate content.</t>
  </si>
  <si>
    <t>Validate Target metric(s) MY PRIMARY GOAL; action count_once; location mbox / homepage-offer,target-global-mbox; success event mbox_shown.</t>
  </si>
  <si>
    <t>TGT-RND-120</t>
  </si>
  <si>
    <t>Returned proposition identifies activity 290338 and configured experience(s): -.</t>
  </si>
  <si>
    <t>TGT-RND-121</t>
  </si>
  <si>
    <t>$500 PO Form, $700 PO Form, 1000$ PO Form</t>
  </si>
  <si>
    <t>One intended Target decision for location type(s) selector and location(s) Location 1 - HTML &gt; BODY &gt; H2:nth-of-type(1), Location 11 - HTML &gt; BODY &gt; DIV:nth-of-type(1) &gt; DIV:nth-of-type(1) &gt; DIV:nth-of-type(1) &gt; DIV:nth-of-type(1) &gt; DIV:nth-of-type(1) &gt; DIV:nth-of-type(1) &gt; DIV:nth-of-type(1) &gt; DIV:nth-of-type(1) &gt; HEADER:nth-of-type(1) &gt; DIV:nth-of-type(2) &gt; H2:nth-of-type(1), Location 18 - HTML &gt; BODY &gt; DIV:nth-of-type(1) &gt; DIV:nth-of-type(1) &gt; DIV:nth-of-type(1) &gt; DIV:nth-of-type(2) &gt; DIV:nth-of-type(1) &gt; DIV:nth-of-type(1) &gt; DIV:nth-of-type(1) &gt; SECTION:nth-of-type(1) &gt; DIV:nth-of-type(1) &gt; DIV:nth-of-type(1) &gt; DIV:nth-of-type(1) &gt; DIV:nth-of-type(1) &gt; DIV:nth-of-type(1), Location 2 - HTML &gt; BODY &gt; DIV:nth-of-type(1) &gt; DIV:nth-of-type(1) &gt; H3:nth-of-type(1), Location 26 - HTML &gt; BODY &gt; DIV:nth-of-type(1) &gt; DIV:nth-of-type(1) &gt; DIV:nth-of-type(1) &gt; DIV:nth-of-type(2) &gt; DIV:nth-of-type(1) &gt; DIV:nth-of-type(1) &gt; DIV:nth-of-type(1) &gt; SECTION:nth-of-type(1) &gt;....</t>
  </si>
  <si>
    <t>Inventory-linked audience parameters: domain, path, region, test, url, user.Saket_segmentUserByPropensity. Validate exact names, values, types, and timing.</t>
  </si>
  <si>
    <t>Validate positive and negative qualification for audience ID(s) 3316020, 3316078, 3319562, 3319567.</t>
  </si>
  <si>
    <t>Returned proposition identifies activity 292626 and configured experience(s): $500 PO Form, $700 PO Form, 1000$ PO Form.</t>
  </si>
  <si>
    <t>Render configured offer(s) 0 - Default Content, Offer 219, Offer 229, Offer 240, Offer 288, Offer 59, Offer 60, Offer 61, Offer 62, Offer 63, Offer 69, Offer 76, Offer 84 in location(s) Location 1 - HTML &gt; BODY &gt; H2:nth-of-type(1), Location 11 - HTML &gt; BODY &gt; DIV:nth-of-type(1) &gt; DIV:nth-of-type(1) &gt; DIV:nth-of-type(1) &gt; DIV:nth-of-type(1) &gt; DIV:nth-of-type(1) &gt; DIV:nth-of-type(1) &gt; DIV:nth-of-type(1) &gt; DIV:nth-of-type(1) &gt; HEADER:nth-of-type(1) &gt; DIV:nth-of-type(2) &gt; H2:nth-of-type(1), Location 18 - HTML &gt; BODY &gt; DIV:nth-of-type(1) &gt; DIV:nth-of-type(1) &gt; DIV:nth-of-type(1) &gt; DIV:nth-of-type(2) &gt; DIV:nth-of-type(1) &gt; DIV:nth-of-type(1) &gt; DIV:nth-of-type(1) &gt; SECTION:nth-of-type(1) &gt; DIV:nth-of-type(1) &gt; DIV:nth-of-type(1) &gt; DIV:nth-of-type(1) &gt; DIV:nth-of-type(1) &gt; DIV:nth-of-type(1), Location 2 - HTML &gt; BODY &gt; DIV:nth-of-type(1) &gt; DIV:nth-of-type(1) &gt; H3:nth-of-type(1), Location 26 - HTML &gt; BODY &gt; DIV:nth-of-type(1) &gt; DIV:nth-of-type(1) &gt; DIV:nth-of-type(1) &gt; DIV:nth-of-type(2) &gt; DIV:nth-of-type(1) &gt; DIV:nth-of-type(1) &gt; DIV:nth-of-type(1) &gt; SECTION:nth-of-type(1) &gt;... once, without stale or duplicate content.</t>
  </si>
  <si>
    <t>TGT-RND-122</t>
  </si>
  <si>
    <t>Returned proposition identifies activity 275412 and configured experience(s): -.</t>
  </si>
  <si>
    <t>TGT-RND-123</t>
  </si>
  <si>
    <t>Returned proposition identifies activity 275457 and configured experience(s): -.</t>
  </si>
  <si>
    <t>TGT-RND-124</t>
  </si>
  <si>
    <t>One intended Target decision for location type(s) selector and location(s) Location 1 - HTML &gt; BODY &gt; MAIN:nth-of-type(1) &gt; DIV:nth-of-type(1) &gt; DIV:nth-of-type(1) &gt; DIV:nth-of-type(1) &gt; DIV:nth-of-type(1) &gt; DIV:nth-of-type(1) &gt; H1:nth-of-type(1), Location 3 - HTML &gt; BODY &gt; MAIN:nth-of-type(1) &gt; DIV:nth-of-type(1) &gt; DIV:nth-of-type(1) &gt; DIV:nth-of-type(1) &gt; DIV:nth-of-type(2) &gt; DIV:nth-of-type(1) &gt; DIV:nth-of-type(1) &gt; DIV:nth-of-type(2) &gt; H2:nth-of-type(1).</t>
  </si>
  <si>
    <t>Inventory-linked audience parameters: {"parameter":"websdk"}, domain, path. Validate exact names, values, types, and timing.</t>
  </si>
  <si>
    <t>Validate positive and negative qualification for audience ID(s) 3621317.</t>
  </si>
  <si>
    <t>Returned proposition identifies activity 319335 and configured experience(s): Experience A.</t>
  </si>
  <si>
    <t>Render configured offer(s) 0 - Offer 161, Offer 83 in location(s) Location 1 - HTML &gt; BODY &gt; MAIN:nth-of-type(1) &gt; DIV:nth-of-type(1) &gt; DIV:nth-of-type(1) &gt; DIV:nth-of-type(1) &gt; DIV:nth-of-type(1) &gt; DIV:nth-of-type(1) &gt; H1:nth-of-type(1), Location 3 - HTML &gt; BODY &gt; MAIN:nth-of-type(1) &gt; DIV:nth-of-type(1) &gt; DIV:nth-of-type(1) &gt; DIV:nth-of-type(1) &gt; DIV:nth-of-type(2) &gt; DIV:nth-of-type(1) &gt; DIV:nth-of-type(1) &gt; DIV:nth-of-type(2) &gt; H2:nth-of-type(1) once, without stale or duplicate content.</t>
  </si>
  <si>
    <t>TGT-RND-125</t>
  </si>
  <si>
    <t>One intended Target decision for location type(s) selector and location(s) Location 0 - HTML &gt; BODY &gt; DIV.container:eq(0) &gt; DIV.root:eq(0) &gt; DIV.aem-Grid:eq(0) &gt; DIV.responsivegrid:eq(0) &gt; DIV.aem-Grid:eq(0) &gt; DIV.title:eq(0) &gt; DIV.cmp-title:eq(0) &gt; H2.cmp-title__text:eq(0).</t>
  </si>
  <si>
    <t>Validate positive and negative qualification for audience ID(s) 2321319.</t>
  </si>
  <si>
    <t>Returned proposition identifies activity 215655 and configured experience(s): Experience A.</t>
  </si>
  <si>
    <t>Render configured offer(s) 0 - Offer2 in location(s) Location 0 - HTML &gt; BODY &gt; DIV.container:eq(0) &gt; DIV.root:eq(0) &gt; DIV.aem-Grid:eq(0) &gt; DIV.responsivegrid:eq(0) &gt; DIV.aem-Grid:eq(0) &gt; DIV.title:eq(0) &gt; DIV.cmp-title:eq(0) &gt; H2.cmp-title__text:eq(0) once, without stale or duplicate content.</t>
  </si>
  <si>
    <t>TGT-RND-126</t>
  </si>
  <si>
    <t>One intended Target decision for location type(s) selector and location(s) Location 1 - HTML &gt; BODY &gt; DIV:nth-of-type(1) &gt; H2:nth-of-type(1).</t>
  </si>
  <si>
    <t>Validate positive and negative qualification for audience ID(s) 3629157.</t>
  </si>
  <si>
    <t>Returned proposition identifies activity 319957 and configured experience(s): Experience A, Experience B.</t>
  </si>
  <si>
    <t>Render configured offer(s) 0 - Default Content, Offer 3 in location(s) Location 1 - HTML &gt; BODY &gt; DIV:nth-of-type(1) &gt; H2:nth-of-type(1) once, without stale or duplicate content.</t>
  </si>
  <si>
    <t>Validate Target metric(s) ADDITIONAL GOAL 1,MY PRIMARY GOAL; action count_once; location mbox / target-global-mbox; success event mbox_shown.</t>
  </si>
  <si>
    <t>TGT-RND-127</t>
  </si>
  <si>
    <t>Validate positive and negative qualification for audience ID(s) 3582113.</t>
  </si>
  <si>
    <t>Returned proposition identifies activity 315940 and configured experience(s): Experience A, Experience B.</t>
  </si>
  <si>
    <t>TGT-RND-128</t>
  </si>
  <si>
    <t>One intended Target decision for location type(s) selector and location(s) Location 0 - HTML &gt; BODY &gt; DIV:nth-of-type(4) &gt; FOOTER:nth-of-type(1) &gt; SECTION:nth-of-type(1) &gt; DIV:nth-of-type(1).</t>
  </si>
  <si>
    <t>Validate positive and negative qualification for audience ID(s) 3186071, 3186083.</t>
  </si>
  <si>
    <t>Returned proposition identifies activity 282625 and configured experience(s): Experience A.</t>
  </si>
  <si>
    <t>Render configured offer(s) 0 - Offer2 in location(s) Location 0 - HTML &gt; BODY &gt; DIV:nth-of-type(4) &gt; FOOTER:nth-of-type(1) &gt; SECTION:nth-of-type(1) &gt; DIV:nth-of-type(1) once, without stale or duplicate content.</t>
  </si>
  <si>
    <t>TGT-RND-129</t>
  </si>
  <si>
    <t>One intended Target decision for location type(s) mbox and location(s) homepage, target-global-mbox.</t>
  </si>
  <si>
    <t>Returned proposition identifies activity 332726 and configured experience(s): Experience A.</t>
  </si>
  <si>
    <t>Render configured offer(s) 871354, 871355 - Test Experiment, Test Experiment 2 in location(s) homepage, target-global-mbox once, without stale or duplicate content.</t>
  </si>
  <si>
    <t>TGT-RND-130</t>
  </si>
  <si>
    <t>One intended Target decision for location type(s) selector and location(s) Location 1 - HTML &gt; BODY &gt; DIV:nth-of-type(1) &gt; DIV:nth-of-type(1) &gt; DIV:nth-of-type(1) &gt; DIV:nth-of-type(2) &gt; DIV:nth-of-type(1) &gt; DIV:nth-of-type(1) &gt; DIV:nth-of-type(1) &gt; STRONG:nth-of-type(1), Location 3 - HTML &gt; BODY &gt; DIV:nth-of-type(1) &gt; DIV:nth-of-type(1) &gt; DIV:nth-of-type(1) &gt; DIV:nth-of-type(2) &gt; DIV:nth-of-type(1) &gt; DIV:nth-of-type(1) &gt; DIV:nth-of-type(1) &gt; P:nth-of-type(1).</t>
  </si>
  <si>
    <t>Validate positive and negative qualification for audience ID(s) 3625608.</t>
  </si>
  <si>
    <t>Returned proposition identifies activity 319734 and configured experience(s): Experience A.</t>
  </si>
  <si>
    <t>Render configured offer(s) 0 - Offer 31, Offer 9 in location(s) Location 1 - HTML &gt; BODY &gt; DIV:nth-of-type(1) &gt; DIV:nth-of-type(1) &gt; DIV:nth-of-type(1) &gt; DIV:nth-of-type(2) &gt; DIV:nth-of-type(1) &gt; DIV:nth-of-type(1) &gt; DIV:nth-of-type(1) &gt; STRONG:nth-of-type(1), Location 3 - HTML &gt; BODY &gt; DIV:nth-of-type(1) &gt; DIV:nth-of-type(1) &gt; DIV:nth-of-type(1) &gt; DIV:nth-of-type(2) &gt; DIV:nth-of-type(1) &gt; DIV:nth-of-type(1) &gt; DIV:nth-of-type(1) &gt; P:nth-of-type(1) once, without stale or duplicate content.</t>
  </si>
  <si>
    <t>TGT-RND-131</t>
  </si>
  <si>
    <t>One intended Target decision for location type(s) selector and location(s) Location 0 - HTML &gt; BODY &gt; DIV:nth-of-type(1) &gt; DIV:nth-of-type(1) &gt; DIV:nth-of-type(1) &gt; MAIN:nth-of-type(1) &gt; DIV:nth-of-type(1) &gt; DIV:nth-of-type(1) &gt; DIV:nth-of-type(1) &gt; DIV:nth-of-type(1) &gt; H1:nth-of-type(1).</t>
  </si>
  <si>
    <t>Validate positive and negative qualification for audience ID(s) 2978937.</t>
  </si>
  <si>
    <t>Returned proposition identifies activity 266572 and configured experience(s): Experience A, Experience B.</t>
  </si>
  <si>
    <t>Render configured offer(s) 0 - Offer2 in location(s) Location 0 - HTML &gt; BODY &gt; DIV:nth-of-type(1) &gt; DIV:nth-of-type(1) &gt; DIV:nth-of-type(1) &gt; MAIN:nth-of-type(1) &gt; DIV:nth-of-type(1) &gt; DIV:nth-of-type(1) &gt; DIV:nth-of-type(1) &gt; DIV:nth-of-type(1) &gt; H1:nth-of-type(1) once, without stale or duplicate content.</t>
  </si>
  <si>
    <t>Inventory-derived planning row. Risk: High. Custom code: Yes - offer template evidence. Shared-location activity count indicator: 4.</t>
  </si>
  <si>
    <t>TGT-RND-132</t>
  </si>
  <si>
    <t>One intended Target decision for location type(s) selector and location(s) Location 0 - HTML &gt; BODY &gt; DIV:nth-of-type(1) &gt; DIV:nth-of-type(1) &gt; DIV:nth-of-type(1) &gt; HEADER:nth-of-type(1) &gt; DIV:nth-of-type(1) &gt; DIV:nth-of-type(1) &gt; DIV:nth-of-type(1) &gt; DIV:nth-of-type(1) &gt; H1:nth-of-type(1), Location 1 - #title-298df4f1a0 &gt; H1.cmp-title__text:eq(0), Location 2 - #container-7e11811146 &gt; DIV.aem-Grid:eq(0) &gt; DIV.Productdetails:eq(0) &gt; DIV.clearfix:eq(0) &gt; DIV.img-container:eq(0) &gt; IMG:nth-of-type(1), Location 3 - #title-298df4f1a0 &gt; H1.cmp-title__text:eq(0), Location 4 - #title-12cdd5bcc5 &gt; H1.cmp-title__text:eq(0), Location 5 - #title-8acec29eb4 &gt; H1.cmp-title__text:eq(0), Location 6 - #container-7e11811146 &gt; DIV.aem-Grid:eq(0) &gt; DIV.Productdetails:eq(0) &gt; DIV.clearfix:eq(0) &gt; DIV.img-container:eq(0) &gt; H2:nth-of-type(1), Location 7 - #container-e2bd391a37 &gt; DIV.aem-Grid:eq(0) &gt; MAIN.container:eq(0).</t>
  </si>
  <si>
    <t>Validate positive and negative qualification for audience ID(s) 2952658, 2953817.</t>
  </si>
  <si>
    <t>Returned proposition identifies activity 264528 and configured experience(s): Experience A, Experience B.</t>
  </si>
  <si>
    <t>Render configured offer(s) 0 - Offer10, Offer2, Offer3, Offer4, Offer5, Offer6, Offer7, Offer8, Offer9 in location(s) Location 0 - HTML &gt; BODY &gt; DIV:nth-of-type(1) &gt; DIV:nth-of-type(1) &gt; DIV:nth-of-type(1) &gt; HEADER:nth-of-type(1) &gt; DIV:nth-of-type(1) &gt; DIV:nth-of-type(1) &gt; DIV:nth-of-type(1) &gt; DIV:nth-of-type(1) &gt; H1:nth-of-type(1), Location 1 - #title-298df4f1a0 &gt; H1.cmp-title__text:eq(0), Location 2 - #container-7e11811146 &gt; DIV.aem-Grid:eq(0) &gt; DIV.Productdetails:eq(0) &gt; DIV.clearfix:eq(0) &gt; DIV.img-container:eq(0) &gt; IMG:nth-of-type(1), Location 3 - #title-298df4f1a0 &gt; H1.cmp-title__text:eq(0), Location 4 - #title-12cdd5bcc5 &gt; H1.cmp-title__text:eq(0), Location 5 - #title-8acec29eb4 &gt; H1.cmp-title__text:eq(0), Location 6 - #container-7e11811146 &gt; DIV.aem-Grid:eq(0) &gt; DIV.Productdetails:eq(0) &gt; DIV.clearfix:eq(0) &gt; DIV.img-container:eq(0) &gt; H2:nth-of-type(1), Location 7 - #container-e2bd391a37 &gt; DIV.aem-Grid:eq(0) &gt; MAIN.container:eq(0) once, without stale or duplicate content.</t>
  </si>
  <si>
    <t>TGT-RND-133</t>
  </si>
  <si>
    <t>Experience A, Experience C</t>
  </si>
  <si>
    <t>One intended Target decision for location type(s) selector and location(s) Location 0 - HTML &gt; BODY &gt; DIV:nth-of-type(1) &gt; DIV:nth-of-type(1) &gt; DIV:nth-of-type(1) &gt; MAIN:nth-of-type(1) &gt; DIV:nth-of-type(1) &gt; DIV:nth-of-type(1) &gt; DIV:nth-of-type(1) &gt; DIV:nth-of-type(1) &gt; H1:nth-of-type(1), Location 1 - HTML &gt; BODY &gt; CQ\:INCLUDE:nth-of-type(1) &gt; DIV:nth-of-type(1) &gt; DIV:nth-of-type(1) &gt; DIV:nth-of-type(1) &gt; MAIN:nth-of-type(1) &gt; DIV:nth-of-type(1) &gt; DIV:nth-of-type(1) &gt; DIV:nth-of-type(1) &gt; DIV:nth-of-type(1) &gt; H1:nth-of-type(1), Location 2 - #container-849452f118 &gt; DIV.aem-Grid:eq(0) &gt; DIV.Productdetails:eq(0), Location 3 - #title-ff63462713 &gt; H1.cmp-title__text:eq(0), Location 4 - #container-849452f118 &gt; DIV.aem-Grid:eq(0) &gt; DIV.Productdetails:eq(1), Location 5 - #container-849452f118 &gt; DIV.aem-Grid:eq(0) &gt; DIV.Productdetails:eq(0) &gt; DIV.clearfix:eq(0) &gt; DIV.img-container:eq(4), Location 6 - #container-849452f118 &gt; DIV.aem-Grid:eq(0) &gt; DIV.Productdetails:eq(....</t>
  </si>
  <si>
    <t>Validate positive and negative qualification for audience ID(s) 2968831.</t>
  </si>
  <si>
    <t>Returned proposition identifies activity 265784 and configured experience(s): Experience A, Experience C.</t>
  </si>
  <si>
    <t>Render configured offer(s) 0 - Offer2, Offer3, Offer4, Offer5, Offer6, Offer7, Offer8 in location(s) Location 0 - HTML &gt; BODY &gt; DIV:nth-of-type(1) &gt; DIV:nth-of-type(1) &gt; DIV:nth-of-type(1) &gt; MAIN:nth-of-type(1) &gt; DIV:nth-of-type(1) &gt; DIV:nth-of-type(1) &gt; DIV:nth-of-type(1) &gt; DIV:nth-of-type(1) &gt; H1:nth-of-type(1), Location 1 - HTML &gt; BODY &gt; CQ\:INCLUDE:nth-of-type(1) &gt; DIV:nth-of-type(1) &gt; DIV:nth-of-type(1) &gt; DIV:nth-of-type(1) &gt; MAIN:nth-of-type(1) &gt; DIV:nth-of-type(1) &gt; DIV:nth-of-type(1) &gt; DIV:nth-of-type(1) &gt; DIV:nth-of-type(1) &gt; H1:nth-of-type(1), Location 2 - #container-849452f118 &gt; DIV.aem-Grid:eq(0) &gt; DIV.Productdetails:eq(0), Location 3 - #title-ff63462713 &gt; H1.cmp-title__text:eq(0), Location 4 - #container-849452f118 &gt; DIV.aem-Grid:eq(0) &gt; DIV.Productdetails:eq(1), Location 5 - #container-849452f118 &gt; DIV.aem-Grid:eq(0) &gt; DIV.Productdetails:eq(0) &gt; DIV.clearfix:eq(0) &gt; DIV.img-container:eq(4), Location 6 - #container-849452f118 &gt; DIV.aem-Grid:eq(0) &gt; DIV.Productdetails:eq(... once, without stale or duplicate content.</t>
  </si>
  <si>
    <t>TGT-RND-134</t>
  </si>
  <si>
    <t>One intended Target decision for location type(s) selector and location(s) Location 0 - HTML &gt; BODY &gt; DIV:nth-of-type(1) &gt; DIV:nth-of-type(1) &gt; DIV:nth-of-type(1) &gt; MAIN:nth-of-type(1) &gt; DIV:nth-of-type(1) &gt; DIV:nth-of-type(1) &gt; DIV:nth-of-type(1) &gt; DIV:nth-of-type(1) &gt; H1:nth-of-type(1), Location 1 - HTML &gt; BODY &gt; DIV:nth-of-type(1) &gt; DIV:nth-of-type(1) &gt; DIV:nth-of-type(1) &gt; MAIN:nth-of-type(1) &gt; DIV:nth-of-type(1) &gt; DIV:nth-of-type(1) &gt; DIV:nth-of-type(2) &gt; DIV:nth-of-type(1) &gt; DIV:nth-of-type(1) &gt; DIV:nth-of-type(2) &gt; H2:nth-of-type(1), Location 10 - #container-849452f118 &gt; DIV.aem-Grid:eq(0) &gt; DIV.Productdetails:eq(0) &gt; H2:nth-of-type(1), Location 11 - HTML &gt; BODY &gt; DIV:nth-of-type(1) &gt; DIV:nth-of-type(1) &gt; DIV:nth-of-type(1) &gt; HEADER:nth-of-type(1) &gt; DIV:nth-of-type(1) &gt; DIV:nth-of-type(1) &gt; DIV:nth-of-type(1) &gt; DIV:nth-of-type(1) &gt; H1:nth-of-type(1), Location 12 - HTML &gt; BODY &gt; DIV:nth-of-type(1) &gt; DIV:nth-of-type(1) &gt; DIV:nth-of-type(1) &gt; MAIN:nth-of....</t>
  </si>
  <si>
    <t>Validate positive and negative qualification for audience ID(s) 2951127.</t>
  </si>
  <si>
    <t>Returned proposition identifies activity 264292 and configured experience(s): Experience A, Experience B.</t>
  </si>
  <si>
    <t>Render configured offer(s) 0 - Offer10, Offer11, Offer12, Offer13, Offer14, Offer15, Offer16, Offer17, Offer2, Offer3, Offer4, Offer5, Offer6, Offer7, Offer8, Offer9 in location(s) Location 0 - HTML &gt; BODY &gt; DIV:nth-of-type(1) &gt; DIV:nth-of-type(1) &gt; DIV:nth-of-type(1) &gt; MAIN:nth-of-type(1) &gt; DIV:nth-of-type(1) &gt; DIV:nth-of-type(1) &gt; DIV:nth-of-type(1) &gt; DIV:nth-of-type(1) &gt; H1:nth-of-type(1), Location 1 - HTML &gt; BODY &gt; DIV:nth-of-type(1) &gt; DIV:nth-of-type(1) &gt; DIV:nth-of-type(1) &gt; MAIN:nth-of-type(1) &gt; DIV:nth-of-type(1) &gt; DIV:nth-of-type(1) &gt; DIV:nth-of-type(2) &gt; DIV:nth-of-type(1) &gt; DIV:nth-of-type(1) &gt; DIV:nth-of-type(2) &gt; H2:nth-of-type(1), Location 10 - #container-849452f118 &gt; DIV.aem-Grid:eq(0) &gt; DIV.Productdetails:eq(0) &gt; H2:nth-of-type(1), Location 11 - HTML &gt; BODY &gt; DIV:nth-of-type(1) &gt; DIV:nth-of-type(1) &gt; DIV:nth-of-type(1) &gt; HEADER:nth-of-type(1) &gt; DIV:nth-of-type(1) &gt; DIV:nth-of-type(1) &gt; DIV:nth-of-type(1) &gt; DIV:nth-of-type(1) &gt; H1:nth-of-type(1), Location 12 - HTML &gt; BODY &gt; DIV:nth-of-type(1) &gt; DIV:nth-of-type(1) &gt; DIV:nth-of-type(1) &gt; MAIN:nth-of... once, without stale or duplicate content.</t>
  </si>
  <si>
    <t>TGT-RND-135</t>
  </si>
  <si>
    <t>One intended Target decision for location type(s) selector and location(s) Location 1 - HTML &gt; BODY &gt; MAIN:nth-of-type(1) &gt; SECTION:nth-of-type(1) &gt; H2:nth-of-type(1).</t>
  </si>
  <si>
    <t>Validate positive and negative qualification for audience ID(s) 3730185, 3766478.</t>
  </si>
  <si>
    <t>Returned proposition identifies activity 329797 and configured experience(s): Experience A.</t>
  </si>
  <si>
    <t>Render configured offer(s) 0 - Offer 5 in location(s) Location 1 - HTML &gt; BODY &gt; MAIN:nth-of-type(1) &gt; SECTION:nth-of-type(1) &gt; H2:nth-of-type(1) once, without stale or duplicate content.</t>
  </si>
  <si>
    <t>TGT-RND-136</t>
  </si>
  <si>
    <t>One intended Target decision for location type(s) mbox and location(s) hero-banner.</t>
  </si>
  <si>
    <t>Returned proposition identifies activity 320521 and configured experience(s): Experience A, Experience B.</t>
  </si>
  <si>
    <t>Render configured offer(s) 851933, 851934 - version 1, Version 2 in location(s) hero-banner once, without stale or duplicate content.</t>
  </si>
  <si>
    <t>Validate Target metric(s) MY PRIMARY GOAL; action count_once; location mbox / hero-banner,target-global-mbox; success event mbox_shown.</t>
  </si>
  <si>
    <t>Inventory-derived planning row. Risk: High. Custom code: No evidence in inventory. Shared-location activity count indicator: 2.</t>
  </si>
  <si>
    <t>TGT-RND-137</t>
  </si>
  <si>
    <t>One intended Target decision for location type(s) selector and location(s) Location 1 - HTML &gt; BODY &gt; SECTION:nth-of-type(4) &gt; DIV:nth-of-type(1) &gt; DIV:nth-of-type(1) &gt; H2:nth-of-type(1).</t>
  </si>
  <si>
    <t>Validate positive and negative qualification for audience ID(s) 3787172, 3808030, 3808031.</t>
  </si>
  <si>
    <t>Returned proposition identifies activity 332626 and configured experience(s): Experience A, Experience B, Experience C.</t>
  </si>
  <si>
    <t>Render configured offer(s) 0 - Offer 2, Offer 3, Offer 4 in location(s) Location 1 - HTML &gt; BODY &gt; SECTION:nth-of-type(4) &gt; DIV:nth-of-type(1) &gt; DIV:nth-of-type(1) &gt; H2:nth-of-type(1) once, without stale or duplicate content.</t>
  </si>
  <si>
    <t>TGT-RND-138</t>
  </si>
  <si>
    <t>One intended Target decision for location type(s) selector and location(s) Location 1 - HTML &gt; BODY &gt; DIV:nth-of-type(1) &gt; DIV:nth-of-type(1) &gt; DIV:nth-of-type(1) &gt; DIV:nth-of-type(2) &gt; SECTION:nth-of-type(1) &gt; DIV:nth-of-type(1) &gt; DIV:nth-of-type(1) &gt; DIV:nth-of-type(1) &gt; DIV:nth-of-type(2) &gt; H1:nth-of-type(1).</t>
  </si>
  <si>
    <t>Validate positive and negative qualification for audience ID(s) 3288312.</t>
  </si>
  <si>
    <t>Returned proposition identifies activity 290127 and configured experience(s): Experience A.</t>
  </si>
  <si>
    <t>Render configured offer(s) 0 - Offer 2 in location(s) Location 1 - HTML &gt; BODY &gt; DIV:nth-of-type(1) &gt; DIV:nth-of-type(1) &gt; DIV:nth-of-type(1) &gt; DIV:nth-of-type(2) &gt; SECTION:nth-of-type(1) &gt; DIV:nth-of-type(1) &gt; DIV:nth-of-type(1) &gt; DIV:nth-of-type(1) &gt; DIV:nth-of-type(2) &gt; H1:nth-of-type(1) once, without stale or duplicate content.</t>
  </si>
  <si>
    <t>TGT-RND-139</t>
  </si>
  <si>
    <t>Validate positive and negative qualification for audience ID(s) 3317024, 3317210.</t>
  </si>
  <si>
    <t>Returned proposition identifies activity 292722 and configured experience(s): Experience A, Experience B.</t>
  </si>
  <si>
    <t>Render configured offer(s) 0 - Offer 2, Offer 8 in location(s) Location 1 - HEAD once, without stale or duplicate content.</t>
  </si>
  <si>
    <t>TGT-RND-140</t>
  </si>
  <si>
    <t>One intended Target decision for location type(s) mbox and location(s) homepage.</t>
  </si>
  <si>
    <t>Returned proposition identifies activity 303264 and configured experience(s): Experience A.</t>
  </si>
  <si>
    <t>Render configured offer(s) 824438 - Variation 3 in location(s) homepage once, without stale or duplicate content.</t>
  </si>
  <si>
    <t>Validate Target metric(s) MY PRIMARY GOAL; action count_once; location mbox / homepage,target-global-mbox; success event mbox_shown.</t>
  </si>
  <si>
    <t>Inventory-derived planning row. Risk: High. Custom code: No evidence in inventory. Shared-location activity count indicator: 5.</t>
  </si>
  <si>
    <t>TGT-RND-141</t>
  </si>
  <si>
    <t>Inventory-linked audience parameters: userGroup. Validate exact names, values, types, and timing.</t>
  </si>
  <si>
    <t>Validate positive and negative qualification for audience ID(s) 3458544, 3488235.</t>
  </si>
  <si>
    <t>Returned proposition identifies activity 305162 and configured experience(s): Experience A, Experience B, Experience C.</t>
  </si>
  <si>
    <t>Render configured offer(s) 823474, 826967, 826968 - AEP 1, AEP 2, sample content block in location(s) homepage once, without stale or duplicate content.</t>
  </si>
  <si>
    <t>TGT-RND-142</t>
  </si>
  <si>
    <t>One intended Target decision for location type(s) selector and location(s) Location 1 - HTML &gt; BODY &gt; DIV:nth-of-type(2), Location 3 - HTML &gt; BODY &gt; DIV:nth-of-type(1) &gt; DIV:nth-of-type(2) &gt; DIV:nth-of-type(1).</t>
  </si>
  <si>
    <t>Validate positive and negative qualification for audience ID(s) 3285443.</t>
  </si>
  <si>
    <t>Returned proposition identifies activity 289953 and configured experience(s): Experience A, Experience B.</t>
  </si>
  <si>
    <t>Render configured offer(s) 0 - Default Content, Offer 2, Offer 6 in location(s) Location 1 - HTML &gt; BODY &gt; DIV:nth-of-type(2), Location 3 - HTML &gt; BODY &gt; DIV:nth-of-type(1) &gt; DIV:nth-of-type(2) &gt; DIV:nth-of-type(1) once, without stale or duplicate content.</t>
  </si>
  <si>
    <t>TGT-RND-143</t>
  </si>
  <si>
    <t>One intended Target decision for location type(s) selector and location(s) Location 1 - HTML &gt; BODY &gt; DIV:nth-of-type(1) &gt; DIV:nth-of-type(1) &gt; DIV:nth-of-type(1) &gt; DIV:nth-of-type(2) &gt; DIV:nth-of-type(1) &gt; DIV:nth-of-type(1) &gt; DIV:nth-of-type(1) &gt; STRONG:nth-of-type(1), Location 10 - HTML &gt; BODY &gt; DIV:nth-of-type(1) &gt; DIV:nth-of-type(1) &gt; DIV:nth-of-type(1) &gt; DIV:nth-of-type(2) &gt; DIV:nth-of-type(1) &gt; DIV:nth-of-type(1) &gt; DIV:nth-of-type(1) &gt; STRONG:nth-of-type(1), Location 3 - HTML &gt; BODY &gt; DIV:nth-of-type(1) &gt; DIV:nth-of-type(1) &gt; DIV:nth-of-type(1) &gt; DIV:nth-of-type(3) &gt; DIV:nth-of-type(1) &gt; DIV:nth-of-type(8) &gt; DIV:nth-of-type(1) &gt; H2:nth-of-type(1), Location 6 - HTML &gt; BODY &gt; DIV:nth-of-type(1) &gt; DIV:nth-of-type(1) &gt; DIV:nth-of-type(1) &gt; DIV:nth-of-type(3) &gt; DIV:nth-of-type(1) &gt; DIV:nth-of-type(8) &gt; DIV:nth-of-type(1) &gt; H2:nth-of-type(1).</t>
  </si>
  <si>
    <t>Validate positive and negative qualification for audience ID(s) 3621252.</t>
  </si>
  <si>
    <t>Returned proposition identifies activity 319331 and configured experience(s): Experience A.</t>
  </si>
  <si>
    <t>Render configured offer(s) 0 - Offer 25, Offer 39, Offer 42, Offer 50 in location(s) Location 1 - HTML &gt; BODY &gt; DIV:nth-of-type(1) &gt; DIV:nth-of-type(1) &gt; DIV:nth-of-type(1) &gt; DIV:nth-of-type(2) &gt; DIV:nth-of-type(1) &gt; DIV:nth-of-type(1) &gt; DIV:nth-of-type(1) &gt; STRONG:nth-of-type(1), Location 10 - HTML &gt; BODY &gt; DIV:nth-of-type(1) &gt; DIV:nth-of-type(1) &gt; DIV:nth-of-type(1) &gt; DIV:nth-of-type(2) &gt; DIV:nth-of-type(1) &gt; DIV:nth-of-type(1) &gt; DIV:nth-of-type(1) &gt; STRONG:nth-of-type(1), Location 3 - HTML &gt; BODY &gt; DIV:nth-of-type(1) &gt; DIV:nth-of-type(1) &gt; DIV:nth-of-type(1) &gt; DIV:nth-of-type(3) &gt; DIV:nth-of-type(1) &gt; DIV:nth-of-type(8) &gt; DIV:nth-of-type(1) &gt; H2:nth-of-type(1), Location 6 - HTML &gt; BODY &gt; DIV:nth-of-type(1) &gt; DIV:nth-of-type(1) &gt; DIV:nth-of-type(1) &gt; DIV:nth-of-type(3) &gt; DIV:nth-of-type(1) &gt; DIV:nth-of-type(8) &gt; DIV:nth-of-type(1) &gt; H2:nth-of-type(1) once, without stale or duplicate content.</t>
  </si>
  <si>
    <t>Activity Coverage Matrix</t>
  </si>
  <si>
    <t>One row per activity, experience, and option-location mapping from the 22-column Activity Details Inventory. Audience levels remain separated in the displayed value.</t>
  </si>
  <si>
    <t>Coverage ID</t>
  </si>
  <si>
    <t>Activity Type</t>
  </si>
  <si>
    <t>Activity State</t>
  </si>
  <si>
    <t>Business Criticality</t>
  </si>
  <si>
    <t>Experience Name</t>
  </si>
  <si>
    <t>Audience IDs</t>
  </si>
  <si>
    <t>Location Name</t>
  </si>
  <si>
    <t>Offer ID</t>
  </si>
  <si>
    <t>Offer Name</t>
  </si>
  <si>
    <t>SPA Dependency</t>
  </si>
  <si>
    <t>Custom Code</t>
  </si>
  <si>
    <t>Profile Parameter Dependency</t>
  </si>
  <si>
    <t>Mbox Parameter Dependency</t>
  </si>
  <si>
    <t>Analytics Event Dependency</t>
  </si>
  <si>
    <t>Target Metric Dependency</t>
  </si>
  <si>
    <t>Risk Rating</t>
  </si>
  <si>
    <t>Selected for Detailed Testing</t>
  </si>
  <si>
    <t>Selection Reason</t>
  </si>
  <si>
    <t>Test Case IDs</t>
  </si>
  <si>
    <t>Coverage Status</t>
  </si>
  <si>
    <t>COV-0001</t>
  </si>
  <si>
    <t>xt</t>
  </si>
  <si>
    <t>saved</t>
  </si>
  <si>
    <t>Location: 3028922</t>
  </si>
  <si>
    <t>Location 0 - h1</t>
  </si>
  <si>
    <t>Yes - offer template evidence</t>
  </si>
  <si>
    <t>No evidence in inventory</t>
  </si>
  <si>
    <t>Medium</t>
  </si>
  <si>
    <t>Saved/inactive; retain for traceability and select if reactivated or confirmed business-critical.</t>
  </si>
  <si>
    <t>No shared-location evidence found for this activity.</t>
  </si>
  <si>
    <t>COV-0002</t>
  </si>
  <si>
    <t>Location: 2943176</t>
  </si>
  <si>
    <t>Location 0 - header</t>
  </si>
  <si>
    <t>COV-0003</t>
  </si>
  <si>
    <t>Location 1 - HTML &gt; BODY &gt; DIV:nth-of-type(1) &gt; DIV:nth-of-type(1) &gt; DIV:nth-of-type(1) &gt; DIV:nth-of-type(1) &gt; DIV:nth-of-type(1) &gt; DIV:nth-of-type(3) &gt; DIV:nth-of-type(1) &gt; DIV:nth-of-type(1) &gt; DIV:nth-of-type(1) &gt; DIV:nth-of-type(1) &gt; DIV:nth-of-type(1) &gt; DIV:nth-of-type(1) &gt; DIV:nth-of-type(1) &gt; DIV:nth-of-type(1) &gt; DIV:nth-of-type(1) &gt; DIV:nth-of-type(1) &gt; DIV:nth-of-type(1) &gt; H1:nth-of-type(1)</t>
  </si>
  <si>
    <t>COV-0004</t>
  </si>
  <si>
    <t>approved</t>
  </si>
  <si>
    <t>Location: 2625516</t>
  </si>
  <si>
    <t>High</t>
  </si>
  <si>
    <t>Approved/active activity; inventory risk High.</t>
  </si>
  <si>
    <t>Shared-location indicator: up to 3 activity IDs use at least one same-named location.</t>
  </si>
  <si>
    <t>COV-0005</t>
  </si>
  <si>
    <t>COV-0006</t>
  </si>
  <si>
    <t>Experience B</t>
  </si>
  <si>
    <t>Experience: 2625515 | Location: 2625516</t>
  </si>
  <si>
    <t>COV-0007</t>
  </si>
  <si>
    <t>COV-0008</t>
  </si>
  <si>
    <t>Experience C</t>
  </si>
  <si>
    <t>Experience: 2625532 | Location: 2625516</t>
  </si>
  <si>
    <t>COV-0009</t>
  </si>
  <si>
    <t>COV-0010</t>
  </si>
  <si>
    <t>Location: 2961698</t>
  </si>
  <si>
    <t>Location 0 - HTML &gt; BODY &gt; HEADER:nth-of-type(1)</t>
  </si>
  <si>
    <t>COV-0011</t>
  </si>
  <si>
    <t>Location 1 - HTML &gt; BODY &gt; HEADER:nth-of-type(1)</t>
  </si>
  <si>
    <t>COV-0012</t>
  </si>
  <si>
    <t>ab</t>
  </si>
  <si>
    <t>Location: 3628737</t>
  </si>
  <si>
    <t>Shared-location indicator: up to 2 activity IDs use at least one same-named location.</t>
  </si>
  <si>
    <t>COV-0013</t>
  </si>
  <si>
    <t>COV-0014</t>
  </si>
  <si>
    <t>Experience: 2321343 | Location: 2321320</t>
  </si>
  <si>
    <t>COV-0015</t>
  </si>
  <si>
    <t>COV-0016</t>
  </si>
  <si>
    <t>COV-0017</t>
  </si>
  <si>
    <t>COV-0018</t>
  </si>
  <si>
    <t>Experience: 2321342 | Location: 2321320</t>
  </si>
  <si>
    <t>COV-0019</t>
  </si>
  <si>
    <t>COV-0020</t>
  </si>
  <si>
    <t>COV-0021</t>
  </si>
  <si>
    <t>COV-0022</t>
  </si>
  <si>
    <t>abt</t>
  </si>
  <si>
    <t>Approved/active activity; inventory risk Medium.</t>
  </si>
  <si>
    <t>No shared-location evidence found for this activity. Placeholder activity detail row; route, location, and offer require confirmation.</t>
  </si>
  <si>
    <t>COV-0023</t>
  </si>
  <si>
    <t>Location: 2531029</t>
  </si>
  <si>
    <t>Location 0 - HTML &gt; BODY &gt; DIV:nth-of-type(1) &gt; DIV:nth-of-type(1) &gt; DIV:nth-of-type(1) &gt; DIV:nth-of-type(2) &gt; DIV:nth-of-type(1) &gt; DIV:nth-of-type(1) &gt; DIV:nth-of-type(1) &gt; P:nth-of-type(2) &gt; A:nth-of-type(1)</t>
  </si>
  <si>
    <t>COV-0024</t>
  </si>
  <si>
    <t>COV-0025</t>
  </si>
  <si>
    <t>Location: 3113043</t>
  </si>
  <si>
    <t>COV-0026</t>
  </si>
  <si>
    <t>COV-0027</t>
  </si>
  <si>
    <t>Experience: 3631673 | Location: 3631680</t>
  </si>
  <si>
    <t>Location 1 - HTML &gt; BODY &gt; SECTION:nth-of-type(1) &gt; DIV:nth-of-type(1) &gt; H1:nth-of-type(1)</t>
  </si>
  <si>
    <t>Offer 18</t>
  </si>
  <si>
    <t>COV-0028</t>
  </si>
  <si>
    <t>Experience D</t>
  </si>
  <si>
    <t>Experience: 3635114 | Location: 3631680</t>
  </si>
  <si>
    <t>Offer 19</t>
  </si>
  <si>
    <t>COV-0029</t>
  </si>
  <si>
    <t>Location: 3625512</t>
  </si>
  <si>
    <t>Offer 496</t>
  </si>
  <si>
    <t>COV-0030</t>
  </si>
  <si>
    <t>Location 10 - HTML &gt; BODY &gt; SECTION:nth-of-type(1) &gt; DIV:nth-of-type(1) &gt; H1:nth-of-type(1)</t>
  </si>
  <si>
    <t>COV-0031</t>
  </si>
  <si>
    <t>Location 16 - HTML &gt; BODY &gt; SECTION:nth-of-type(1) &gt; DIV:nth-of-type(1) &gt; H2:nth-of-type(1)</t>
  </si>
  <si>
    <t>Offer 524</t>
  </si>
  <si>
    <t>COV-0032</t>
  </si>
  <si>
    <t>Location 22 - HTML &gt; BODY &gt; SECTION:nth-of-type(1) &gt; DIV:nth-of-type(1) &gt; H6:nth-of-type(1)</t>
  </si>
  <si>
    <t>Offer 530</t>
  </si>
  <si>
    <t>COV-0033</t>
  </si>
  <si>
    <t>Location 4 - HTML &gt; BODY &gt; SECTION:nth-of-type(1)</t>
  </si>
  <si>
    <t>Offer 526</t>
  </si>
  <si>
    <t>COV-0034</t>
  </si>
  <si>
    <t>Location 9 - HTML &gt; BODY &gt; SECTION:nth-of-type(1) &gt; DIV:nth-of-type(1) &gt; H1:nth-of-type(1)</t>
  </si>
  <si>
    <t>COV-0035</t>
  </si>
  <si>
    <t>CAP Test offer 1</t>
  </si>
  <si>
    <t>COV-0036</t>
  </si>
  <si>
    <t>Yes - script evidence</t>
  </si>
  <si>
    <t>Shared-location indicator: up to 11 activity IDs use at least one same-named location.</t>
  </si>
  <si>
    <t>COV-0037</t>
  </si>
  <si>
    <t>Experience: 3579933 | Location: 3579967</t>
  </si>
  <si>
    <t>COV-0038</t>
  </si>
  <si>
    <t>COV-0039</t>
  </si>
  <si>
    <t>COV-0040</t>
  </si>
  <si>
    <t>COV-0041</t>
  </si>
  <si>
    <t>COV-0042</t>
  </si>
  <si>
    <t>COV-0043</t>
  </si>
  <si>
    <t>COV-0044</t>
  </si>
  <si>
    <t>COV-0045</t>
  </si>
  <si>
    <t>COV-0046</t>
  </si>
  <si>
    <t>COV-0047</t>
  </si>
  <si>
    <t>COV-0048</t>
  </si>
  <si>
    <t>Location: 3579967</t>
  </si>
  <si>
    <t>COV-0049</t>
  </si>
  <si>
    <t>COV-0050</t>
  </si>
  <si>
    <t>COV-0051</t>
  </si>
  <si>
    <t>COV-0052</t>
  </si>
  <si>
    <t>COV-0053</t>
  </si>
  <si>
    <t>COV-0054</t>
  </si>
  <si>
    <t>COV-0055</t>
  </si>
  <si>
    <t>COV-0056</t>
  </si>
  <si>
    <t>COV-0057</t>
  </si>
  <si>
    <t>COV-0058</t>
  </si>
  <si>
    <t>COV-0059</t>
  </si>
  <si>
    <t>Experience: 3590357 | Location: 3579967</t>
  </si>
  <si>
    <t>COV-0060</t>
  </si>
  <si>
    <t>COV-0061</t>
  </si>
  <si>
    <t>COV-0062</t>
  </si>
  <si>
    <t>COV-0063</t>
  </si>
  <si>
    <t>COV-0064</t>
  </si>
  <si>
    <t>COV-0065</t>
  </si>
  <si>
    <t>COV-0066</t>
  </si>
  <si>
    <t>COV-0067</t>
  </si>
  <si>
    <t>COV-0068</t>
  </si>
  <si>
    <t>COV-0069</t>
  </si>
  <si>
    <t>COV-0070</t>
  </si>
  <si>
    <t>Experience: 3590354 | Location: 3579967</t>
  </si>
  <si>
    <t>COV-0071</t>
  </si>
  <si>
    <t>COV-0072</t>
  </si>
  <si>
    <t>COV-0073</t>
  </si>
  <si>
    <t>COV-0074</t>
  </si>
  <si>
    <t>COV-0075</t>
  </si>
  <si>
    <t>COV-0076</t>
  </si>
  <si>
    <t>COV-0077</t>
  </si>
  <si>
    <t>COV-0078</t>
  </si>
  <si>
    <t>COV-0079</t>
  </si>
  <si>
    <t>COV-0080</t>
  </si>
  <si>
    <t>COV-0081</t>
  </si>
  <si>
    <t>Experience E</t>
  </si>
  <si>
    <t>Experience: 3592993 | Location: 3579967</t>
  </si>
  <si>
    <t>COV-0082</t>
  </si>
  <si>
    <t>COV-0083</t>
  </si>
  <si>
    <t>COV-0084</t>
  </si>
  <si>
    <t>COV-0085</t>
  </si>
  <si>
    <t>COV-0086</t>
  </si>
  <si>
    <t>COV-0087</t>
  </si>
  <si>
    <t>COV-0088</t>
  </si>
  <si>
    <t>COV-0089</t>
  </si>
  <si>
    <t>COV-0090</t>
  </si>
  <si>
    <t>COV-0091</t>
  </si>
  <si>
    <t>COV-0092</t>
  </si>
  <si>
    <t>Location: 3077294,3077299</t>
  </si>
  <si>
    <t>COV-0093</t>
  </si>
  <si>
    <t>COV-0094</t>
  </si>
  <si>
    <t>Location: 3357356</t>
  </si>
  <si>
    <t>COV-0095</t>
  </si>
  <si>
    <t>COV-0096</t>
  </si>
  <si>
    <t>Location: 3366129</t>
  </si>
  <si>
    <t>Shared-location indicator: up to 8 activity IDs use at least one same-named location.</t>
  </si>
  <si>
    <t>COV-0097</t>
  </si>
  <si>
    <t>COV-0098</t>
  </si>
  <si>
    <t>Experience: 3327195</t>
  </si>
  <si>
    <t>Shared-location indicator: up to 7 activity IDs use at least one same-named location.</t>
  </si>
  <si>
    <t>COV-0099</t>
  </si>
  <si>
    <t>Experience: 3327196</t>
  </si>
  <si>
    <t>COV-0100</t>
  </si>
  <si>
    <t>Location: 3357394,3357356</t>
  </si>
  <si>
    <t>Location 1 - HTML &gt; BODY &gt; DIV:nth-of-type(2) &gt; DIV:nth-of-type(1) &gt; DIV:nth-of-type(1) &gt; DIV:nth-of-type(2) &gt; DIV:nth-of-type(1) &gt; DIV:nth-of-type(1) &gt; DIV:nth-of-type(1) &gt; DIV:nth-of-type(3) &gt; H5:nth-of-type(1)</t>
  </si>
  <si>
    <t>Offer 10</t>
  </si>
  <si>
    <t>COV-0101</t>
  </si>
  <si>
    <t>Location 2 - HEAD</t>
  </si>
  <si>
    <t>COV-0102</t>
  </si>
  <si>
    <t>COV-0103</t>
  </si>
  <si>
    <t>COV-0104</t>
  </si>
  <si>
    <t>Location: 2567148</t>
  </si>
  <si>
    <t>COV-0105</t>
  </si>
  <si>
    <t>COV-0106</t>
  </si>
  <si>
    <t>COV-0107</t>
  </si>
  <si>
    <t>COV-0108</t>
  </si>
  <si>
    <t>Location: 2531079</t>
  </si>
  <si>
    <t>Location 0 - HTML &gt; BODY &gt; DIV:nth-of-type(1) &gt; DIV:nth-of-type(1) &gt; DIV:nth-of-type(1) &gt; DIV:nth-of-type(1) &gt; DIV:nth-of-type(1) &gt; DIV:nth-of-type(1) &gt; DIV:nth-of-type(1) &gt; DIV:nth-of-type(1) &gt; DIV:nth-of-type(1) &gt; DIV:nth-of-type(1) &gt; DIV:nth-of-type(2) &gt; DIV:nth-of-type(1) &gt; DIV:nth-of-type(1) &gt; H2:nth-of-type(1)</t>
  </si>
  <si>
    <t>COV-0109</t>
  </si>
  <si>
    <t>COV-0110</t>
  </si>
  <si>
    <t>GAQ</t>
  </si>
  <si>
    <t>Location: 3331104,3331549</t>
  </si>
  <si>
    <t>COV-0111</t>
  </si>
  <si>
    <t>SATD</t>
  </si>
  <si>
    <t>COV-0112</t>
  </si>
  <si>
    <t>Experience: 3319837 | Location: 3319837</t>
  </si>
  <si>
    <t>COV-0113</t>
  </si>
  <si>
    <t>Location: 3321305,3319837</t>
  </si>
  <si>
    <t>COV-0114</t>
  </si>
  <si>
    <t>COV-0115</t>
  </si>
  <si>
    <t>Location: 3417327</t>
  </si>
  <si>
    <t>Location 1 - HTML &gt; BODY &gt; DIV:nth-of-type(1) &gt; DIV:nth-of-type(1) &gt; DIV:nth-of-type(1) &gt; DIV:nth-of-type(1) &gt; DIV:nth-of-type(1) &gt; DIV:nth-of-type(2)</t>
  </si>
  <si>
    <t>COV-0116</t>
  </si>
  <si>
    <t>Location 10 - HTML &gt; BODY &gt; DIV:nth-of-type(1) &gt; DIV:nth-of-type(1) &gt; DIV:nth-of-type(1) &gt; DIV:nth-of-type(1) &gt; DIV:nth-of-type(1) &gt; DIV:nth-of-type(2)</t>
  </si>
  <si>
    <t>COV-0117</t>
  </si>
  <si>
    <t>Location 15 - HTML &gt; BODY &gt; DIV:nth-of-type(1) &gt; DIV:nth-of-type(1) &gt; DIV:nth-of-type(1) &gt; DIV:nth-of-type(1) &gt; DIV:nth-of-type(1) &gt; DIV:nth-of-type(2)</t>
  </si>
  <si>
    <t>COV-0118</t>
  </si>
  <si>
    <t>Location 21 - HTML &gt; BODY &gt; DIV:nth-of-type(1) &gt; DIV:nth-of-type(1) &gt; DIV:nth-of-type(1) &gt; DIV:nth-of-type(1) &gt; DIV:nth-of-type(1) &gt; DIV:nth-of-type(2) &gt; NAV:nth-of-type(1) &gt; H4:nth-of-type(1)</t>
  </si>
  <si>
    <t>COV-0119</t>
  </si>
  <si>
    <t>Location 28 - HTML &gt; BODY &gt; DIV:nth-of-type(1) &gt; DIV:nth-of-type(1) &gt; DIV:nth-of-type(1) &gt; DIV:nth-of-type(1) &gt; DIV:nth-of-type(1) &gt; DIV:nth-of-type(2) &gt; NAV:nth-of-type(1) &gt; H4:nth-of-type(1)</t>
  </si>
  <si>
    <t>COV-0120</t>
  </si>
  <si>
    <t>Location 3 - HTML &gt; BODY &gt; DIV:nth-of-type(1) &gt; DIV:nth-of-type(1) &gt; DIV:nth-of-type(1) &gt; DIV:nth-of-type(1) &gt; DIV:nth-of-type(1) &gt; DIV:nth-of-type(2) &gt; NAV:nth-of-type(1) &gt; DIV:nth-of-type(1)</t>
  </si>
  <si>
    <t>COV-0121</t>
  </si>
  <si>
    <t>Location 36 - HTML &gt; BODY &gt; DIV:nth-of-type(1) &gt; DIV:nth-of-type(1) &gt; DIV:nth-of-type(1) &gt; DIV:nth-of-type(1) &gt; DIV:nth-of-type(1) &gt; DIV:nth-of-type(2) &gt; NAV:nth-of-type(1) &gt; H4:nth-of-type(1)</t>
  </si>
  <si>
    <t>COV-0122</t>
  </si>
  <si>
    <t>Location 45 - HTML &gt; BODY &gt; DIV:nth-of-type(1) &gt; DIV:nth-of-type(1) &gt; DIV:nth-of-type(1) &gt; DIV:nth-of-type(1) &gt; DIV:nth-of-type(1) &gt; DIV:nth-of-type(2) &gt; NAV:nth-of-type(1) &gt; H4:nth-of-type(1)</t>
  </si>
  <si>
    <t>COV-0123</t>
  </si>
  <si>
    <t>Location 55 - HTML &gt; BODY &gt; DIV:nth-of-type(1) &gt; DIV:nth-of-type(1) &gt; DIV:nth-of-type(1) &gt; DIV:nth-of-type(1) &gt; DIV:nth-of-type(1) &gt; DIV:nth-of-type(2) &gt; NAV:nth-of-type(1) &gt; H4:nth-of-type(1)</t>
  </si>
  <si>
    <t>COV-0124</t>
  </si>
  <si>
    <t>Location 6 - HTML &gt; BODY &gt; DIV:nth-of-type(1) &gt; DIV:nth-of-type(1) &gt; DIV:nth-of-type(1) &gt; DIV:nth-of-type(1) &gt; DIV:nth-of-type(1) &gt; DIV:nth-of-type(2) &gt; NAV:nth-of-type(1) &gt; H2:nth-of-type(1)</t>
  </si>
  <si>
    <t>COV-0125</t>
  </si>
  <si>
    <t>Location 66 - HTML &gt; BODY &gt; DIV:nth-of-type(1) &gt; DIV:nth-of-type(1) &gt; DIV:nth-of-type(1) &gt; DIV:nth-of-type(1) &gt; DIV:nth-of-type(1) &gt; DIV:nth-of-type(2) &gt; NAV:nth-of-type(1)</t>
  </si>
  <si>
    <t>COV-0126</t>
  </si>
  <si>
    <t>COV-0127</t>
  </si>
  <si>
    <t>Offer 70</t>
  </si>
  <si>
    <t>COV-0128</t>
  </si>
  <si>
    <t>Offer 75</t>
  </si>
  <si>
    <t>COV-0129</t>
  </si>
  <si>
    <t>Offer 81</t>
  </si>
  <si>
    <t>COV-0130</t>
  </si>
  <si>
    <t>Offer 123</t>
  </si>
  <si>
    <t>COV-0131</t>
  </si>
  <si>
    <t>COV-0132</t>
  </si>
  <si>
    <t>Offer 131</t>
  </si>
  <si>
    <t>COV-0133</t>
  </si>
  <si>
    <t>Offer 140</t>
  </si>
  <si>
    <t>COV-0134</t>
  </si>
  <si>
    <t>Offer 150</t>
  </si>
  <si>
    <t>COV-0135</t>
  </si>
  <si>
    <t>COV-0136</t>
  </si>
  <si>
    <t>COV-0137</t>
  </si>
  <si>
    <t>Location: 3123894</t>
  </si>
  <si>
    <t>Location 0 - HTML &gt; BODY &gt; DIV:nth-of-type(1) &gt; DIV:nth-of-type(1) &gt; DIV:nth-of-type(1) &gt; DIV:nth-of-type(2) &gt; DIV:nth-of-type(1) &gt; DIV:nth-of-type(1) &gt; DIV:nth-of-type(1) &gt; P:nth-of-type(1)</t>
  </si>
  <si>
    <t>COV-0138</t>
  </si>
  <si>
    <t>COV-0139</t>
  </si>
  <si>
    <t>Location 2 - HTML &gt; BODY &gt; DIV:nth-of-type(1) &gt; DIV:nth-of-type(1) &gt; DIV:nth-of-type(1) &gt; DIV:nth-of-type(2) &gt; DIV:nth-of-type(1) &gt; DIV:nth-of-type(1) &gt; DIV:nth-of-type(1) &gt; P:nth-of-type(2) &gt; A:nth-of-type(1)</t>
  </si>
  <si>
    <t>COV-0140</t>
  </si>
  <si>
    <t>COV-0141</t>
  </si>
  <si>
    <t>COV-0142</t>
  </si>
  <si>
    <t>COV-0143</t>
  </si>
  <si>
    <t>mvt</t>
  </si>
  <si>
    <t>Low</t>
  </si>
  <si>
    <t>COV-0144</t>
  </si>
  <si>
    <t>Experience: 3123899 | Location: 3123901</t>
  </si>
  <si>
    <t>COV-0145</t>
  </si>
  <si>
    <t>Experience: 3123900 | Location: 3123901</t>
  </si>
  <si>
    <t>COV-0146</t>
  </si>
  <si>
    <t>Location: 3550328</t>
  </si>
  <si>
    <t>emptyNoSelector - emptyNoSelector</t>
  </si>
  <si>
    <t>COV-0147</t>
  </si>
  <si>
    <t>COV-0148</t>
  </si>
  <si>
    <t>Experience: 3317210</t>
  </si>
  <si>
    <t>COV-0149</t>
  </si>
  <si>
    <t>Location: 3315731,3318542</t>
  </si>
  <si>
    <t>COV-0150</t>
  </si>
  <si>
    <t>COV-0151</t>
  </si>
  <si>
    <t>Location: 2717218</t>
  </si>
  <si>
    <t>COV-0152</t>
  </si>
  <si>
    <t>COV-0153</t>
  </si>
  <si>
    <t>Location: 2887171</t>
  </si>
  <si>
    <t>COV-0154</t>
  </si>
  <si>
    <t>COV-0155</t>
  </si>
  <si>
    <t>COV-0156</t>
  </si>
  <si>
    <t>COV-0157</t>
  </si>
  <si>
    <t>COV-0158</t>
  </si>
  <si>
    <t>COV-0159</t>
  </si>
  <si>
    <t>COV-0160</t>
  </si>
  <si>
    <t>COV-0161</t>
  </si>
  <si>
    <t>Location: 3158903</t>
  </si>
  <si>
    <t>COV-0162</t>
  </si>
  <si>
    <t>Location: 2560539</t>
  </si>
  <si>
    <t>Location 0 - HTML &gt; BODY &gt; DIV:nth-of-type(1)</t>
  </si>
  <si>
    <t>COV-0163</t>
  </si>
  <si>
    <t>COV-0164</t>
  </si>
  <si>
    <t>recs</t>
  </si>
  <si>
    <t>COV-0165</t>
  </si>
  <si>
    <t>COV-0166</t>
  </si>
  <si>
    <t>Location: 3693039</t>
  </si>
  <si>
    <t>Location 1 - HTML &gt; BODY &gt; SECTION:nth-of-type(1) &gt; DIV:nth-of-type(1) &gt; DIV:nth-of-type(1) &gt; H1:nth-of-type(1)</t>
  </si>
  <si>
    <t>COV-0167</t>
  </si>
  <si>
    <t>COV-0168</t>
  </si>
  <si>
    <t>experienceAcontent</t>
  </si>
  <si>
    <t>COV-0169</t>
  </si>
  <si>
    <t>$500 PO Form</t>
  </si>
  <si>
    <t>Experience: 3319562 | Location: 3316078</t>
  </si>
  <si>
    <t>COV-0170</t>
  </si>
  <si>
    <t>COV-0171</t>
  </si>
  <si>
    <t>COV-0172</t>
  </si>
  <si>
    <t>COV-0173</t>
  </si>
  <si>
    <t>COV-0174</t>
  </si>
  <si>
    <t>COV-0175</t>
  </si>
  <si>
    <t>COV-0176</t>
  </si>
  <si>
    <t>COV-0177</t>
  </si>
  <si>
    <t>COV-0178</t>
  </si>
  <si>
    <t>COV-0179</t>
  </si>
  <si>
    <t>COV-0180</t>
  </si>
  <si>
    <t>COV-0181</t>
  </si>
  <si>
    <t>COV-0182</t>
  </si>
  <si>
    <t>$700 PO Form</t>
  </si>
  <si>
    <t>Experience: 3319567 | Location: 3316078</t>
  </si>
  <si>
    <t>COV-0183</t>
  </si>
  <si>
    <t>COV-0184</t>
  </si>
  <si>
    <t>COV-0185</t>
  </si>
  <si>
    <t>COV-0186</t>
  </si>
  <si>
    <t>COV-0187</t>
  </si>
  <si>
    <t>COV-0188</t>
  </si>
  <si>
    <t>COV-0189</t>
  </si>
  <si>
    <t>COV-0190</t>
  </si>
  <si>
    <t>COV-0191</t>
  </si>
  <si>
    <t>COV-0192</t>
  </si>
  <si>
    <t>COV-0193</t>
  </si>
  <si>
    <t>COV-0194</t>
  </si>
  <si>
    <t>COV-0195</t>
  </si>
  <si>
    <t>1000$ PO Form</t>
  </si>
  <si>
    <t>Experience: 3316020 | Location: 3316078</t>
  </si>
  <si>
    <t>COV-0196</t>
  </si>
  <si>
    <t>COV-0197</t>
  </si>
  <si>
    <t>COV-0198</t>
  </si>
  <si>
    <t>COV-0199</t>
  </si>
  <si>
    <t>COV-0200</t>
  </si>
  <si>
    <t>COV-0201</t>
  </si>
  <si>
    <t>COV-0202</t>
  </si>
  <si>
    <t>COV-0203</t>
  </si>
  <si>
    <t>COV-0204</t>
  </si>
  <si>
    <t>COV-0205</t>
  </si>
  <si>
    <t>COV-0206</t>
  </si>
  <si>
    <t>COV-0207</t>
  </si>
  <si>
    <t>COV-0208</t>
  </si>
  <si>
    <t>Say hello</t>
  </si>
  <si>
    <t>COV-0209</t>
  </si>
  <si>
    <t>COV-0210</t>
  </si>
  <si>
    <t>COV-0211</t>
  </si>
  <si>
    <t>Location: 3096651</t>
  </si>
  <si>
    <t>Location 0 - HTML &gt; BODY &gt; DIV:nth-of-type(1) &gt; SECTION:nth-of-type(1) &gt; H2:nth-of-type(1)</t>
  </si>
  <si>
    <t>COV-0212</t>
  </si>
  <si>
    <t>COV-0213</t>
  </si>
  <si>
    <t>Location: 3621317</t>
  </si>
  <si>
    <t>COV-0214</t>
  </si>
  <si>
    <t>COV-0215</t>
  </si>
  <si>
    <t>Location: 2321319</t>
  </si>
  <si>
    <t>COV-0216</t>
  </si>
  <si>
    <t>Location: 2496369</t>
  </si>
  <si>
    <t>Location 0 - HTML &gt; BODY &gt; DIV:nth-of-type(1) &gt; DIV:nth-of-type(2) &gt; DIV:nth-of-type(1) &gt; A:nth-of-type(1) &gt; BUTTON:nth-of-type(1)</t>
  </si>
  <si>
    <t>COV-0217</t>
  </si>
  <si>
    <t>COV-0218</t>
  </si>
  <si>
    <t>Location: 2866086</t>
  </si>
  <si>
    <t>Location 0 - HTML &gt; BODY &gt; MAIN:nth-of-type(1) &gt; DIV:nth-of-type(1) &gt; DIV:nth-of-type(1) &gt; H2:nth-of-type(1)</t>
  </si>
  <si>
    <t>COV-0219</t>
  </si>
  <si>
    <t>COV-0220</t>
  </si>
  <si>
    <t>Location: 2866081</t>
  </si>
  <si>
    <t>Location 0 - HTML &gt; BODY &gt; MAIN:nth-of-type(1) &gt; DIV:nth-of-type(1) &gt; DIV:nth-of-type(1) &gt; DIV:nth-of-type(1) &gt; DIV:nth-of-type(1) &gt; DIV:nth-of-type(1) &gt; H1:nth-of-type(1)</t>
  </si>
  <si>
    <t>COV-0221</t>
  </si>
  <si>
    <t>COV-0222</t>
  </si>
  <si>
    <t>COV-0223</t>
  </si>
  <si>
    <t>COV-0224</t>
  </si>
  <si>
    <t>Adventure-Seeker</t>
  </si>
  <si>
    <t>Experience: 3331345</t>
  </si>
  <si>
    <t>Adventure-Seeker-HTML</t>
  </si>
  <si>
    <t>COV-0225</t>
  </si>
  <si>
    <t>Family-Oriented</t>
  </si>
  <si>
    <t>Experience: 3331377</t>
  </si>
  <si>
    <t>Family-Oriented-HTML</t>
  </si>
  <si>
    <t>COV-0226</t>
  </si>
  <si>
    <t>auto_allocate</t>
  </si>
  <si>
    <t>COV-0227</t>
  </si>
  <si>
    <t>Experience: 3321907 | Location: 3326984</t>
  </si>
  <si>
    <t>COV-0228</t>
  </si>
  <si>
    <t>Experience: 3321907 | Location: 3321907</t>
  </si>
  <si>
    <t>Target_EW_Offer</t>
  </si>
  <si>
    <t>COV-0229</t>
  </si>
  <si>
    <t>Experience B1</t>
  </si>
  <si>
    <t>Experience: 3326984 | Location: 3326984</t>
  </si>
  <si>
    <t>Bye offer</t>
  </si>
  <si>
    <t>COV-0230</t>
  </si>
  <si>
    <t>Experience: 3326984 | Location: 3321907</t>
  </si>
  <si>
    <t>COV-0231</t>
  </si>
  <si>
    <t>COV-0232</t>
  </si>
  <si>
    <t>COV-0233</t>
  </si>
  <si>
    <t>COV-0234</t>
  </si>
  <si>
    <t>Texas GAQ Test Offer</t>
  </si>
  <si>
    <t>COV-0235</t>
  </si>
  <si>
    <t>Target-EW-Offer</t>
  </si>
  <si>
    <t>COV-0236</t>
  </si>
  <si>
    <t>EdgeTargetTestOfferOne</t>
  </si>
  <si>
    <t>COV-0237</t>
  </si>
  <si>
    <t>Florida</t>
  </si>
  <si>
    <t>Experience: 3327083 | Location: 3324697</t>
  </si>
  <si>
    <t>FLL offer</t>
  </si>
  <si>
    <t>COV-0238</t>
  </si>
  <si>
    <t>Texas</t>
  </si>
  <si>
    <t>Experience: 3324697 | Location: 3324697</t>
  </si>
  <si>
    <t>ALL offer</t>
  </si>
  <si>
    <t>COV-0239</t>
  </si>
  <si>
    <t>Chicago</t>
  </si>
  <si>
    <t>Experience: 3327196 | Location: 3327195</t>
  </si>
  <si>
    <t>chico</t>
  </si>
  <si>
    <t>COV-0240</t>
  </si>
  <si>
    <t>Skokie</t>
  </si>
  <si>
    <t>Experience: 3327195 | Location: 3327195</t>
  </si>
  <si>
    <t>Content Offer</t>
  </si>
  <si>
    <t>COV-0241</t>
  </si>
  <si>
    <t>chicago User</t>
  </si>
  <si>
    <t>Experience: 3327196 | Location: 3327083</t>
  </si>
  <si>
    <t>CO_Offer</t>
  </si>
  <si>
    <t>COV-0242</t>
  </si>
  <si>
    <t>Florida User</t>
  </si>
  <si>
    <t>Experience: 3327083 | Location: 3327083</t>
  </si>
  <si>
    <t>FL_Offer Copy</t>
  </si>
  <si>
    <t>COV-0243</t>
  </si>
  <si>
    <t>Banner</t>
  </si>
  <si>
    <t>Location: 3173591</t>
  </si>
  <si>
    <t>Location 0 - HTML &gt; BODY &gt; DIV:nth-of-type(4) &gt; FOOTER:nth-of-type(1) &gt; SECTION:nth-of-type(1) &gt; DIV:nth-of-type(1) &gt; DIV:nth-of-type(3) &gt; H3:nth-of-type(1)</t>
  </si>
  <si>
    <t>COV-0244</t>
  </si>
  <si>
    <t>Control</t>
  </si>
  <si>
    <t>COV-0245</t>
  </si>
  <si>
    <t>Location: 3632325</t>
  </si>
  <si>
    <t>COV-0246</t>
  </si>
  <si>
    <t>Location: 3629157</t>
  </si>
  <si>
    <t>COV-0247</t>
  </si>
  <si>
    <t>COV-0248</t>
  </si>
  <si>
    <t>Location: 2459827</t>
  </si>
  <si>
    <t>Location 0 - HTML &gt; BODY &gt; DIV:nth-of-type(1) &gt; DIV:nth-of-type(1) &gt; MAIN:nth-of-type(1) &gt; DIV:nth-of-type(1) &gt; DIV:nth-of-type(1) &gt; DIV:nth-of-type(1) &gt; DIV:nth-of-type(1) &gt; DIV:nth-of-type(1) &gt; DIV:nth-of-type(1) &gt; DIV:nth-of-type(1) &gt; DIV:nth-of-type(1) &gt; DIV:nth-of-type(1) &gt; DIV:nth-of-type(1) &gt; DIV:nth-of-type(1) &gt; DIV:nth-of-type(1) &gt; DIV:nth-of-type(1) &gt; DIV:nth-of-type(2) &gt; DIV:nth-of-type(1) &gt; DIV:nth-of-type(1) &gt; DIV:nth-of-type(1) &gt; DIV:nth-of-type(1) &gt; DIV:nth-of-type(1) &gt; DIV:nth-of-type(1) &gt; DIV:nth-of-type(1) &gt; DIV:nth-of-type(1) &gt; DIV:nth-of-type(1) &gt; DIV:nth-of-type(1) &gt; DIV:nth-of-type(1) &gt; DIV:nth-of-type(1)</t>
  </si>
  <si>
    <t>COV-0249</t>
  </si>
  <si>
    <t>COV-0250</t>
  </si>
  <si>
    <t>COV-0251</t>
  </si>
  <si>
    <t>Location: 3582113</t>
  </si>
  <si>
    <t>COV-0252</t>
  </si>
  <si>
    <t>COV-0253</t>
  </si>
  <si>
    <t>Location: 2531126</t>
  </si>
  <si>
    <t>Location 0 - HTML &gt; BODY &gt; DIV:nth-of-type(2) &gt; MAIN:nth-of-type(1) &gt; DIV:nth-of-type(1) &gt; DIV:nth-of-type(1) &gt; DIV:nth-of-type(1) &gt; DIV:nth-of-type(1) &gt; DIV:nth-of-type(1) &gt; UL:nth-of-type(1) &gt; LI:nth-of-type(1) &gt; A:nth-of-type(1) &gt; DIV:nth-of-type(1)</t>
  </si>
  <si>
    <t>COV-0254</t>
  </si>
  <si>
    <t>Location 1 - HTML &gt; BODY &gt; DIV:nth-of-type(2) &gt; MAIN:nth-of-type(1) &gt; DIV:nth-of-type(1) &gt; DIV:nth-of-type(1) &gt; DIV:nth-of-type(1) &gt; DIV:nth-of-type(1) &gt; DIV:nth-of-type(1) &gt; UL:nth-of-type(1) &gt; LI:nth-of-type(1) &gt; A:nth-of-type(1) &gt; DIV:nth-of-type(1)</t>
  </si>
  <si>
    <t>COV-0255</t>
  </si>
  <si>
    <t>COV-0256</t>
  </si>
  <si>
    <t>COV-0257</t>
  </si>
  <si>
    <t>Experience: 3186071 | Location: 3186083</t>
  </si>
  <si>
    <t>COV-0258</t>
  </si>
  <si>
    <t>COV-0259</t>
  </si>
  <si>
    <t>COV-0260</t>
  </si>
  <si>
    <t>Location: 3625608</t>
  </si>
  <si>
    <t>COV-0261</t>
  </si>
  <si>
    <t>COV-0262</t>
  </si>
  <si>
    <t>Location: 2978937</t>
  </si>
  <si>
    <t>Shared-location indicator: up to 4 activity IDs use at least one same-named location.</t>
  </si>
  <si>
    <t>COV-0263</t>
  </si>
  <si>
    <t>COV-0264</t>
  </si>
  <si>
    <t>Location: 2953817,2952658</t>
  </si>
  <si>
    <t>COV-0265</t>
  </si>
  <si>
    <t>COV-0266</t>
  </si>
  <si>
    <t>COV-0267</t>
  </si>
  <si>
    <t>COV-0268</t>
  </si>
  <si>
    <t>COV-0269</t>
  </si>
  <si>
    <t>COV-0270</t>
  </si>
  <si>
    <t>COV-0271</t>
  </si>
  <si>
    <t>COV-0272</t>
  </si>
  <si>
    <t>COV-0273</t>
  </si>
  <si>
    <t>COV-0274</t>
  </si>
  <si>
    <t>COV-0275</t>
  </si>
  <si>
    <t>COV-0276</t>
  </si>
  <si>
    <t>COV-0277</t>
  </si>
  <si>
    <t>COV-0278</t>
  </si>
  <si>
    <t>COV-0279</t>
  </si>
  <si>
    <t>COV-0280</t>
  </si>
  <si>
    <t>Location: 2575595</t>
  </si>
  <si>
    <t>Location 0 - HTML &gt; BODY &gt; MAIN:nth-of-type(1) &gt; DIV:nth-of-type(1) &gt; DIV:nth-of-type(4) &gt; DIV:nth-of-type(1) &gt; DIV:nth-of-type(1) &gt; DIV:nth-of-type(1)</t>
  </si>
  <si>
    <t>COV-0281</t>
  </si>
  <si>
    <t>Location 1 - HTML &gt; BODY &gt; MAIN:nth-of-type(1) &gt; DIV:nth-of-type(1) &gt; DIV:nth-of-type(4) &gt; DIV:nth-of-type(1) &gt; DIV:nth-of-type(1) &gt; DIV:nth-of-type(1) &gt; DIV:nth-of-type(1) &gt; H2:nth-of-type(1)</t>
  </si>
  <si>
    <t>COV-0282</t>
  </si>
  <si>
    <t>Experience: 2575548 | Location: 2575595</t>
  </si>
  <si>
    <t>COV-0283</t>
  </si>
  <si>
    <t>COV-0284</t>
  </si>
  <si>
    <t>COV-0285</t>
  </si>
  <si>
    <t>Location 3 - HTML &gt; BODY &gt; DIV:nth-of-type(16) &gt; DIV:nth-of-type(1) &gt; DIV:nth-of-type(1) &gt; DIV:nth-of-type(1) &gt; DIV:nth-of-type(1) &gt; DIV:nth-of-type(2) &gt; DIV:nth-of-type(1) &gt; DIV:nth-of-type(2) &gt; DIV:nth-of-type(1) &gt; DIV:nth-of-type(1) &gt; DIV:nth-of-type(1) &gt; DIV:nth-of-type(1) &gt; DIV:nth-of-type(1) &gt; FORM:nth-of-type(1) &gt; DIV:nth-of-type(1) &gt; DIV:nth-of-type(5) &gt; DIV:nth-of-type(1) &gt; DIV:nth-of-type(1) &gt; DIV:nth-of-type(1) &gt; DIV:nth-of-type(1) &gt; DIV:nth-of-type(1) &gt; DIV:nth-of-type(1) &gt; DIV:nth-of-type(2) &gt; SELECT:nth-of-type(1)</t>
  </si>
  <si>
    <t>COV-0286</t>
  </si>
  <si>
    <t>COV-0287</t>
  </si>
  <si>
    <t>COV-0288</t>
  </si>
  <si>
    <t>Location: 2968831</t>
  </si>
  <si>
    <t>COV-0289</t>
  </si>
  <si>
    <t>COV-0290</t>
  </si>
  <si>
    <t>COV-0291</t>
  </si>
  <si>
    <t>COV-0292</t>
  </si>
  <si>
    <t>COV-0293</t>
  </si>
  <si>
    <t>COV-0294</t>
  </si>
  <si>
    <t>COV-0295</t>
  </si>
  <si>
    <t>COV-0296</t>
  </si>
  <si>
    <t>COV-0297</t>
  </si>
  <si>
    <t>COV-0298</t>
  </si>
  <si>
    <t>COV-0299</t>
  </si>
  <si>
    <t>COV-0300</t>
  </si>
  <si>
    <t>COV-0301</t>
  </si>
  <si>
    <t>COV-0302</t>
  </si>
  <si>
    <t>Location: 2955875</t>
  </si>
  <si>
    <t>COV-0303</t>
  </si>
  <si>
    <t>Location: 2951127</t>
  </si>
  <si>
    <t>COV-0304</t>
  </si>
  <si>
    <t>COV-0305</t>
  </si>
  <si>
    <t>COV-0306</t>
  </si>
  <si>
    <t>COV-0307</t>
  </si>
  <si>
    <t>COV-0308</t>
  </si>
  <si>
    <t>COV-0309</t>
  </si>
  <si>
    <t>COV-0310</t>
  </si>
  <si>
    <t>COV-0311</t>
  </si>
  <si>
    <t>COV-0312</t>
  </si>
  <si>
    <t>COV-0313</t>
  </si>
  <si>
    <t>COV-0314</t>
  </si>
  <si>
    <t>COV-0315</t>
  </si>
  <si>
    <t>COV-0316</t>
  </si>
  <si>
    <t>COV-0317</t>
  </si>
  <si>
    <t>COV-0318</t>
  </si>
  <si>
    <t>COV-0319</t>
  </si>
  <si>
    <t>COV-0320</t>
  </si>
  <si>
    <t>COV-0321</t>
  </si>
  <si>
    <t>COV-0322</t>
  </si>
  <si>
    <t>COV-0323</t>
  </si>
  <si>
    <t>COV-0324</t>
  </si>
  <si>
    <t>COV-0325</t>
  </si>
  <si>
    <t>COV-0326</t>
  </si>
  <si>
    <t>COV-0327</t>
  </si>
  <si>
    <t>COV-0328</t>
  </si>
  <si>
    <t>COV-0329</t>
  </si>
  <si>
    <t>COV-0330</t>
  </si>
  <si>
    <t>COV-0331</t>
  </si>
  <si>
    <t>COV-0332</t>
  </si>
  <si>
    <t>COV-0333</t>
  </si>
  <si>
    <t>Experience: 3695084 | Location: 3695133</t>
  </si>
  <si>
    <t>COV-0334</t>
  </si>
  <si>
    <t>Location 2 - HTML &gt; BODY &gt; SECTION:nth-of-type(1)</t>
  </si>
  <si>
    <t>COV-0335</t>
  </si>
  <si>
    <t>Experience: 3695088 | Location: 3695133</t>
  </si>
  <si>
    <t>COV-0336</t>
  </si>
  <si>
    <t>COV-0337</t>
  </si>
  <si>
    <t>Experience: 3730185 | Location: 3766478</t>
  </si>
  <si>
    <t>COV-0338</t>
  </si>
  <si>
    <t>Shared-location indicator: up to 5 activity IDs use at least one same-named location.</t>
  </si>
  <si>
    <t>COV-0339</t>
  </si>
  <si>
    <t>COV-0340</t>
  </si>
  <si>
    <t>COV-0341</t>
  </si>
  <si>
    <t>Location: 3417338</t>
  </si>
  <si>
    <t>Location 101 - HTML &gt; BODY &gt; HEADER:nth-of-type(1) &gt; DIV:nth-of-type(1) &gt; DIV:nth-of-type(1) &gt; SECTION:nth-of-type(1) &gt; DIV:nth-of-type(7) &gt; UL:nth-of-type(1) &gt; LI:nth-of-type(2) &gt; BUTTON:nth-of-type(1) &gt; I:nth-of-type(1)</t>
  </si>
  <si>
    <t>COV-0342</t>
  </si>
  <si>
    <t>Location 11 - HTML &gt; BODY &gt; MAIN:nth-of-type(1) &gt; DIV:nth-of-type(1) &gt; DIV:nth-of-type(1) &gt; DIV:nth-of-type(1) &gt; DIV:nth-of-type(1)</t>
  </si>
  <si>
    <t>COV-0343</t>
  </si>
  <si>
    <t>Location 115 - HTML &gt; BODY &gt; HEADER:nth-of-type(1) &gt; DIV:nth-of-type(1) &gt; DIV:nth-of-type(1) &gt; SECTION:nth-of-type(1) &gt; DIV:nth-of-type(7) &gt; UL:nth-of-type(1) &gt; LI:nth-of-type(2) &gt; BUTTON:nth-of-type(1) &gt; SPAN:nth-of-type(2)</t>
  </si>
  <si>
    <t>COV-0344</t>
  </si>
  <si>
    <t>Location 13 - HTML &gt; BODY &gt; MAIN:nth-of-type(1) &gt; DIV:nth-of-type(1) &gt; DIV:nth-of-type(1) &gt; DIV:nth-of-type(1) &gt; H2:nth-of-type(1)</t>
  </si>
  <si>
    <t>COV-0345</t>
  </si>
  <si>
    <t>Location 130 - HTML &gt; BODY &gt; HEADER:nth-of-type(1) &gt; DIV:nth-of-type(1) &gt; DIV:nth-of-type(1) &gt; SECTION:nth-of-type(1) &gt; DIV:nth-of-type(7) &gt; UL:nth-of-type(1) &gt; LI:nth-of-type(2) &gt; BUTTON:nth-of-type(1)</t>
  </si>
  <si>
    <t>COV-0346</t>
  </si>
  <si>
    <t>Location 146 - HTML &gt; BODY &gt; HEADER:nth-of-type(1) &gt; DIV:nth-of-type(1) &gt; DIV:nth-of-type(1) &gt; SECTION:nth-of-type(1) &gt; DIV:nth-of-type(7) &gt; UL:nth-of-type(1) &gt; LI:nth-of-type(1) &gt; BUTTON:nth-of-type(1)</t>
  </si>
  <si>
    <t>COV-0347</t>
  </si>
  <si>
    <t>Location 16 - HTML &gt; BODY &gt; MAIN:nth-of-type(1) &gt; DIV:nth-of-type(1) &gt; DIV:nth-of-type(1) &gt; DIV:nth-of-type(1) &gt; H2:nth-of-type(1)</t>
  </si>
  <si>
    <t>COV-0348</t>
  </si>
  <si>
    <t>Location 163 - HTML &gt; BODY &gt; HEADER:nth-of-type(1) &gt; DIV:nth-of-type(1) &gt; DIV:nth-of-type(1) &gt; SECTION:nth-of-type(1) &gt; DIV:nth-of-type(7) &gt; UL:nth-of-type(1) &gt; LI:nth-of-type(1)</t>
  </si>
  <si>
    <t>COV-0349</t>
  </si>
  <si>
    <t>Location 20 - HTML &gt; BODY &gt; MAIN:nth-of-type(1) &gt; DIV:nth-of-type(1) &gt; DIV:nth-of-type(1) &gt; DIV:nth-of-type(1) &gt; H2:nth-of-type(1)</t>
  </si>
  <si>
    <t>COV-0350</t>
  </si>
  <si>
    <t>Location 25 - HTML &gt; BODY &gt; MAIN:nth-of-type(1) &gt; DIV:nth-of-type(1) &gt; DIV:nth-of-type(1) &gt; DIV:nth-of-type(1)</t>
  </si>
  <si>
    <t>COV-0351</t>
  </si>
  <si>
    <t>Location 31 - HTML &gt; BODY &gt; MAIN:nth-of-type(1) &gt; DIV:nth-of-type(1) &gt; DIV:nth-of-type(1) &gt; DIV:nth-of-type(1) &gt; H2:nth-of-type(1)</t>
  </si>
  <si>
    <t>COV-0352</t>
  </si>
  <si>
    <t>Location 38 - HTML &gt; BODY &gt; MAIN:nth-of-type(1) &gt; DIV:nth-of-type(1) &gt; DIV:nth-of-type(1) &gt; DIV:nth-of-type(1)</t>
  </si>
  <si>
    <t>COV-0353</t>
  </si>
  <si>
    <t>Location 46 - HTML &gt; BODY &gt; MAIN:nth-of-type(1) &gt; DIV:nth-of-type(1) &gt; DIV:nth-of-type(1) &gt; DIV:nth-of-type(1) &gt; H2:nth-of-type(1)</t>
  </si>
  <si>
    <t>COV-0354</t>
  </si>
  <si>
    <t>Location 55 - HTML &gt; BODY &gt; MAIN:nth-of-type(1) &gt; DIV:nth-of-type(1) &gt; DIV:nth-of-type(1) &gt; DIV:nth-of-type(1) &gt; H2:nth-of-type(1)</t>
  </si>
  <si>
    <t>COV-0355</t>
  </si>
  <si>
    <t>Location 65 - HTML &gt; BODY &gt; MAIN:nth-of-type(1) &gt; DIV:nth-of-type(1) &gt; DIV:nth-of-type(1) &gt; DIV:nth-of-type(1) &gt; H2:nth-of-type(1)</t>
  </si>
  <si>
    <t>COV-0356</t>
  </si>
  <si>
    <t>Location 76 - HTML &gt; BODY &gt; HEADER:nth-of-type(1) &gt; DIV:nth-of-type(1) &gt; DIV:nth-of-type(1) &gt; SECTION:nth-of-type(1) &gt; DIV:nth-of-type(7) &gt; UL:nth-of-type(1) &gt; LI:nth-of-type(2) &gt; BUTTON:nth-of-type(1) &gt; SPAN:nth-of-type(2)</t>
  </si>
  <si>
    <t>COV-0357</t>
  </si>
  <si>
    <t>Location 88 - HTML &gt; BODY &gt; HEADER:nth-of-type(1) &gt; DIV:nth-of-type(1) &gt; DIV:nth-of-type(1) &gt; SECTION:nth-of-type(1) &gt; DIV:nth-of-type(7) &gt; UL:nth-of-type(1) &gt; LI:nth-of-type(2) &gt; BUTTON:nth-of-type(1) &gt; SPAN:nth-of-type(2)</t>
  </si>
  <si>
    <t>COV-0358</t>
  </si>
  <si>
    <t>Offer 193</t>
  </si>
  <si>
    <t>COV-0359</t>
  </si>
  <si>
    <t>Offer 12</t>
  </si>
  <si>
    <t>COV-0360</t>
  </si>
  <si>
    <t>Offer 249</t>
  </si>
  <si>
    <t>COV-0361</t>
  </si>
  <si>
    <t>Offer 24</t>
  </si>
  <si>
    <t>COV-0362</t>
  </si>
  <si>
    <t>Offer 264</t>
  </si>
  <si>
    <t>COV-0363</t>
  </si>
  <si>
    <t>Offer 280</t>
  </si>
  <si>
    <t>COV-0364</t>
  </si>
  <si>
    <t>Offer 27</t>
  </si>
  <si>
    <t>COV-0365</t>
  </si>
  <si>
    <t>Offer 297</t>
  </si>
  <si>
    <t>COV-0366</t>
  </si>
  <si>
    <t>COV-0367</t>
  </si>
  <si>
    <t>Offer 36</t>
  </si>
  <si>
    <t>COV-0368</t>
  </si>
  <si>
    <t>COV-0369</t>
  </si>
  <si>
    <t>Offer 55</t>
  </si>
  <si>
    <t>COV-0370</t>
  </si>
  <si>
    <t>Offer 87</t>
  </si>
  <si>
    <t>COV-0371</t>
  </si>
  <si>
    <t>Offer 114</t>
  </si>
  <si>
    <t>COV-0372</t>
  </si>
  <si>
    <t>Offer 124</t>
  </si>
  <si>
    <t>COV-0373</t>
  </si>
  <si>
    <t>Offer 168</t>
  </si>
  <si>
    <t>COV-0374</t>
  </si>
  <si>
    <t>Offer 180</t>
  </si>
  <si>
    <t>COV-0375</t>
  </si>
  <si>
    <t>homepage1</t>
  </si>
  <si>
    <t>COV-0376</t>
  </si>
  <si>
    <t>COV-0377</t>
  </si>
  <si>
    <t>Location: 3468592</t>
  </si>
  <si>
    <t>Location 1 - HTML &gt; BODY &gt; DIV:nth-of-type(3) &gt; MAIN:nth-of-type(1) &gt; DIV:nth-of-type(1) &gt; DIV:nth-of-type(2) &gt; DIV:nth-of-type(1) &gt; DIV:nth-of-type(1) &gt; DIV:nth-of-type(1) &gt; DIV:nth-of-type(1) &gt; DIV:nth-of-type(1) &gt; DIV:nth-of-type(1) &gt; DIV:nth-of-type(2) &gt; DIV:nth-of-type(1) &gt; DIV:nth-of-type(1) &gt; DIV:nth-of-type(1) &gt; DIV:nth-of-type(1) &gt; DIV:nth-of-type(1) &gt; DIV:nth-of-type(1) &gt; DIV:nth-of-type(1) &gt; DIV:nth-of-type(1) &gt; DIV:nth-of-type(1) &gt; DIV:nth-of-type(1) &gt; DIV:nth-of-type(1) &gt; DIV:nth-of-type(1) &gt; DIV:nth-of-type(3) &gt; H3:nth-of-type(1)</t>
  </si>
  <si>
    <t>COV-0378</t>
  </si>
  <si>
    <t>Location 3 - HTML &gt; BODY &gt; MAIN:nth-of-type(1) &gt; DIV:nth-of-type(1) &gt; DIV:nth-of-type(1) &gt; DIV:nth-of-type(1) &gt; DIV:nth-of-type(1) &gt; DIV:nth-of-type(1) &gt; DIV:nth-of-type(1) &gt; P:nth-of-type(1)</t>
  </si>
  <si>
    <t>COV-0379</t>
  </si>
  <si>
    <t>Experience: 3468560 | Location: 3468592</t>
  </si>
  <si>
    <t>COV-0380</t>
  </si>
  <si>
    <t>COV-0381</t>
  </si>
  <si>
    <t>Location: 3621022</t>
  </si>
  <si>
    <t>COV-0382</t>
  </si>
  <si>
    <t>COV-0383</t>
  </si>
  <si>
    <t>Location: 3634506</t>
  </si>
  <si>
    <t>COV-0384</t>
  </si>
  <si>
    <t>COV-0385</t>
  </si>
  <si>
    <t>Location: 3637371</t>
  </si>
  <si>
    <t>COV-0386</t>
  </si>
  <si>
    <t>Location 3 - HTML &gt; BODY &gt; NAV:nth-of-type(1)</t>
  </si>
  <si>
    <t>COV-0387</t>
  </si>
  <si>
    <t>COV-0388</t>
  </si>
  <si>
    <t>COV-0389</t>
  </si>
  <si>
    <t>Location: 3639624</t>
  </si>
  <si>
    <t>Location 1 - HTML &gt; BODY &gt; SECTION:nth-of-type(1)</t>
  </si>
  <si>
    <t>COV-0390</t>
  </si>
  <si>
    <t>COV-0391</t>
  </si>
  <si>
    <t>COV-0392</t>
  </si>
  <si>
    <t>GRE Test JSON Offer</t>
  </si>
  <si>
    <t>COV-0393</t>
  </si>
  <si>
    <t>Location: 3789090,3787172</t>
  </si>
  <si>
    <t>Location 1 - HTML &gt; BODY &gt; SECTION:nth-of-type(1) &gt; DIV:nth-of-type(1) &gt; DIV:nth-of-type(1) &gt; A:nth-of-type(1)</t>
  </si>
  <si>
    <t>COV-0394</t>
  </si>
  <si>
    <t>Location 3 - HTML &gt; BODY &gt; SECTION:nth-of-type(1) &gt; DIV:nth-of-type(1) &gt; DIV:nth-of-type(1) &gt; A:nth-of-type(1)</t>
  </si>
  <si>
    <t>COV-0395</t>
  </si>
  <si>
    <t>COV-0396</t>
  </si>
  <si>
    <t>COV-0397</t>
  </si>
  <si>
    <t>COV-0398</t>
  </si>
  <si>
    <t>Location: 3808031</t>
  </si>
  <si>
    <t>COV-0399</t>
  </si>
  <si>
    <t>Experience: 3808030 | Location: 3808031</t>
  </si>
  <si>
    <t>COV-0400</t>
  </si>
  <si>
    <t>Experience: 3787172 | Location: 3808031</t>
  </si>
  <si>
    <t>COV-0401</t>
  </si>
  <si>
    <t>Location: 3547102</t>
  </si>
  <si>
    <t>COV-0402</t>
  </si>
  <si>
    <t>COV-0403</t>
  </si>
  <si>
    <t>Location: 3288312</t>
  </si>
  <si>
    <t>COV-0404</t>
  </si>
  <si>
    <t>Default_Experience</t>
  </si>
  <si>
    <t>Location: 3334023</t>
  </si>
  <si>
    <t>COV-0405</t>
  </si>
  <si>
    <t>showGAQForm</t>
  </si>
  <si>
    <t>Experience: 3331549 | Location: 3334023</t>
  </si>
  <si>
    <t>COV-0406</t>
  </si>
  <si>
    <t>Location: 3314998</t>
  </si>
  <si>
    <t>COV-0407</t>
  </si>
  <si>
    <t>COV-0408</t>
  </si>
  <si>
    <t>Location: 3317024,3317210</t>
  </si>
  <si>
    <t>COV-0409</t>
  </si>
  <si>
    <t>COV-0410</t>
  </si>
  <si>
    <t>Location: 3354337,3354343</t>
  </si>
  <si>
    <t>Location 1 - HTML &gt; BODY &gt; DIV:nth-of-type(1) &gt; DIV:nth-of-type(1) &gt; DIV:nth-of-type(1) &gt; DIV:nth-of-type(2) &gt; DIV:nth-of-type(1) &gt; DIV:nth-of-type(1) &gt; DIV:nth-of-type(1) &gt; SECTION:nth-of-type(1) &gt; DIV:nth-of-type(1) &gt; DIV:nth-of-type(1) &gt; DIV:nth-of-type(1) &gt; DIV:nth-of-type(1) &gt; H1:nth-of-type(1)</t>
  </si>
  <si>
    <t>COV-0411</t>
  </si>
  <si>
    <t>COV-0412</t>
  </si>
  <si>
    <t>COV-0413</t>
  </si>
  <si>
    <t>COV-0414</t>
  </si>
  <si>
    <t>banner</t>
  </si>
  <si>
    <t>exp-a-data</t>
  </si>
  <si>
    <t>COV-0415</t>
  </si>
  <si>
    <t>Experience: 3442673</t>
  </si>
  <si>
    <t>COV-0416</t>
  </si>
  <si>
    <t>Experience: 3458544</t>
  </si>
  <si>
    <t>coo-user-content</t>
  </si>
  <si>
    <t>COV-0417</t>
  </si>
  <si>
    <t>COV-0418</t>
  </si>
  <si>
    <t>COV-0419</t>
  </si>
  <si>
    <t>Experience: 3488235</t>
  </si>
  <si>
    <t>COV-0420</t>
  </si>
  <si>
    <t>COV-0421</t>
  </si>
  <si>
    <t>keypageBanner</t>
  </si>
  <si>
    <t>COV-0422</t>
  </si>
  <si>
    <t>Location: 3285443</t>
  </si>
  <si>
    <t>COV-0423</t>
  </si>
  <si>
    <t>COV-0424</t>
  </si>
  <si>
    <t>COV-0425</t>
  </si>
  <si>
    <t>COV-0426</t>
  </si>
  <si>
    <t>Location: 3621252</t>
  </si>
  <si>
    <t>COV-0427</t>
  </si>
  <si>
    <t>COV-0428</t>
  </si>
  <si>
    <t>COV-0429</t>
  </si>
  <si>
    <t>COV-0430</t>
  </si>
  <si>
    <t>Experience: 3182115 | Location: 3182117</t>
  </si>
  <si>
    <t>COV-0431</t>
  </si>
  <si>
    <t>Experience: 3182116 | Location: 3182117</t>
  </si>
  <si>
    <t>Adobe Target Web SDK Test Summary Dashboard</t>
  </si>
  <si>
    <t>Formula-driven execution view. Activities Covered/Not Covered use the selected approved production-smoke population; business-group values remain To Be Confirmed until confirmed by owners.</t>
  </si>
  <si>
    <t>Test Execution</t>
  </si>
  <si>
    <t>Count</t>
  </si>
  <si>
    <t>Total Test Cases</t>
  </si>
  <si>
    <t>In Progress</t>
  </si>
  <si>
    <t>Pass</t>
  </si>
  <si>
    <t>Fail</t>
  </si>
  <si>
    <t>Blocked</t>
  </si>
  <si>
    <t>N/A</t>
  </si>
  <si>
    <t>Pass Percentage</t>
  </si>
  <si>
    <t>Readiness &amp; Coverage</t>
  </si>
  <si>
    <t>Value</t>
  </si>
  <si>
    <t>Inventory Activities</t>
  </si>
  <si>
    <t>Selected Active Activities</t>
  </si>
  <si>
    <t>Activities Covered</t>
  </si>
  <si>
    <t>Activities Not Covered</t>
  </si>
  <si>
    <t>Open Defects</t>
  </si>
  <si>
    <t>Open Critical Defects</t>
  </si>
  <si>
    <t>Open High Defects</t>
  </si>
  <si>
    <t>Open Medium Defects</t>
  </si>
  <si>
    <t>Open Low Defects</t>
  </si>
  <si>
    <t>Readiness Status</t>
  </si>
  <si>
    <t>Profile Script Rows</t>
  </si>
  <si>
    <t>Business Group Coverage</t>
  </si>
  <si>
    <t>Planned Activity Tests</t>
  </si>
  <si>
    <t>Passed</t>
  </si>
  <si>
    <t>CT</t>
  </si>
  <si>
    <t>OAO</t>
  </si>
  <si>
    <t>D1</t>
  </si>
  <si>
    <t>Coverage Segment</t>
  </si>
  <si>
    <t>Inventory / Planned</t>
  </si>
  <si>
    <t>Analytics reporting</t>
  </si>
  <si>
    <t>Target reporting</t>
  </si>
  <si>
    <t>SPA activities</t>
  </si>
  <si>
    <t>Custom-code mapping rows</t>
  </si>
  <si>
    <t>Browser matrix</t>
  </si>
  <si>
    <t>Adobe Target Web SDK End-to-End Test Checklist</t>
  </si>
  <si>
    <t>Operational QA tracker based on the latest available Target inventory. Preserve IDs as text, replace To Be Confirmed values with approved facts, and link every failure to a defect and evidence.</t>
  </si>
  <si>
    <t>Purpose</t>
  </si>
  <si>
    <t>Use this workbook to plan, execute, evidence, reconcile, and approve Adobe Target continuity testing during migration to Adobe Experience Platform Web SDK.</t>
  </si>
  <si>
    <t>How to use</t>
  </si>
  <si>
    <t>1. Confirm open items and environment values. 2. Review risk-based activity selection. 3. Complete parameter and audience test data. 4. Execute Test Case Master rows. 5. Update supporting validation sheets. 6. Link evidence and defects. 7. Complete production smoke. 8. Obtain sign-off.</t>
  </si>
  <si>
    <t>Traceability</t>
  </si>
  <si>
    <t>Every test case is linked to a generic migration risk or an approved activity. Every Fail should have a Defect ID and evidence. A proposition response alone is not proof of visible rendering.</t>
  </si>
  <si>
    <t>Data quality</t>
  </si>
  <si>
    <t>Source inventory: 106 activities, 431 detail mappings, 117 offers, 292 audiences. Reconciliation parity passes. Profile script rows: 0.</t>
  </si>
  <si>
    <t>Definition</t>
  </si>
  <si>
    <t>Use</t>
  </si>
  <si>
    <t>Execution has not begun.</t>
  </si>
  <si>
    <t>Initial status for planned rows.</t>
  </si>
  <si>
    <t>Execution or evidence collection is underway.</t>
  </si>
  <si>
    <t>Use until all expected results and evidence are complete.</t>
  </si>
  <si>
    <t>Expected result is met with sufficient evidence.</t>
  </si>
  <si>
    <t>Use only after request, response, rendering, and reporting checks applicable to the row pass.</t>
  </si>
  <si>
    <t>Expected result is not met.</t>
  </si>
  <si>
    <t>Create or link a defect and evidence.</t>
  </si>
  <si>
    <t>Execution cannot proceed because access, data, environment, or dependency is unavailable.</t>
  </si>
  <si>
    <t>Record blocker, owner, and next action.</t>
  </si>
  <si>
    <t>The control is demonstrably not applicable.</t>
  </si>
  <si>
    <t>Record the reason; do not use N/A to avoid unavailable data.</t>
  </si>
  <si>
    <t>Example</t>
  </si>
  <si>
    <t>Critical</t>
  </si>
  <si>
    <t>Release-stopping privacy, broad site failure, severe data loss, or critical personalization/reporting failure.</t>
  </si>
  <si>
    <t>Unauthorized data, site outage, or widespread duplicate conversion reporting.</t>
  </si>
  <si>
    <t>Major qualification, rendering, or reporting failure with significant business impact.</t>
  </si>
  <si>
    <t>Approved critical activity does not qualify, render, or report.</t>
  </si>
  <si>
    <t>Limited issue with a workaround or constrained impact.</t>
  </si>
  <si>
    <t>Browser-specific visual or interaction issue.</t>
  </si>
  <si>
    <t>Minor visual, documentation, or low-impact inconsistency.</t>
  </si>
  <si>
    <t>Small spacing issue with no functional/reporting impact.</t>
  </si>
  <si>
    <t>Evidence standard</t>
  </si>
  <si>
    <t>Capture URL, environment, timestamp, activity/experience/audience IDs, scope/selector, masked payload, proposition, rendered screenshot, reporting call/result, consent, browser, and tester as applicable.</t>
  </si>
  <si>
    <t>Name screenshots TC_&lt;TestCaseID&gt;_&lt;ActivityID&gt;_&lt;ValidationArea&gt;_&lt;Date&gt;.png</t>
  </si>
  <si>
    <t>Readiness</t>
  </si>
  <si>
    <t>Ready requires no open Critical or High defects, all mandatory tests Pass or approved N/A, and production smoke rows complete.</t>
  </si>
  <si>
    <t>The dashboard formula remains Not Ready until these conditions are met.</t>
  </si>
  <si>
    <t>Risk indicators</t>
  </si>
  <si>
    <t>Risk ratings use inventory evidence: approved state, custom-code evidence, profile dependency, shared location, and high priority. Business criticality, SPA dependency, and history require confirmation.</t>
  </si>
  <si>
    <t>Planning indicator only; owners may revise with documented evidence.</t>
  </si>
  <si>
    <t>Security</t>
  </si>
  <si>
    <t>Mask customer identifiers, access tokens, cookies, emails, and sensitive profile values. Do not paste secrets into workbook cells or evidence links.</t>
  </si>
  <si>
    <t>Use stable approved evidence 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</si>
</sst>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
    <numFmt numFmtId="165" formatCode="yyyy/mm/dd"/>
  </numFmts>
  <fonts count="10" x14ac:knownFonts="1">
    <font>
      <sz val="11"/>
      <color theme="1"/>
      <name val="Aptos Narrow"/>
      <family val="2"/>
      <scheme val="minor"/>
    </font>
    <font>
      <b/>
      <sz val="11"/>
      <color theme="1"/>
      <name val="Aptos Narrow"/>
      <family val="2"/>
      <scheme val="minor"/>
    </font>
    <font>
      <sz val="11"/>
      <color theme="1"/>
      <name val="Calibri"/>
      <family val="2"/>
    </font>
    <font>
      <b/>
      <sz val="18"/>
      <color rgb="FFFFFFFF"/>
      <name val="Calibri"/>
      <family val="2"/>
    </font>
    <font>
      <sz val="9"/>
      <color theme="1"/>
      <name val="Calibri"/>
      <family val="2"/>
    </font>
    <font>
      <sz val="9"/>
      <color rgb="FF17365D"/>
      <name val="Calibri"/>
      <family val="2"/>
    </font>
    <font>
      <b/>
      <sz val="11"/>
      <color rgb="FFFFFFFF"/>
      <name val="Aptos Narrow"/>
      <family val="2"/>
      <scheme val="minor"/>
    </font>
    <font>
      <b/>
      <sz val="9"/>
      <color rgb="FFFFFFFF"/>
      <name val="Aptos Narrow"/>
      <family val="2"/>
      <scheme val="minor"/>
    </font>
    <font>
      <b/>
      <sz val="11"/>
      <color rgb="FFFFFFFF"/>
      <name val="Calibri"/>
      <family val="2"/>
    </font>
    <font>
      <b/>
      <sz val="11"/>
      <color theme="1"/>
      <name val="Calibri"/>
      <family val="2"/>
    </font>
  </fonts>
  <fills count="12">
    <fill>
      <patternFill patternType="none"/>
    </fill>
    <fill>
      <patternFill patternType="gray125"/>
    </fill>
    <fill>
      <patternFill patternType="solid">
        <fgColor rgb="FF17365D"/>
        <bgColor indexed="64"/>
      </patternFill>
    </fill>
    <fill>
      <patternFill patternType="solid">
        <fgColor rgb="FFEAF2F8"/>
        <bgColor indexed="64"/>
      </patternFill>
    </fill>
    <fill>
      <patternFill patternType="solid">
        <fgColor rgb="FF0F6B78"/>
        <bgColor indexed="64"/>
      </patternFill>
    </fill>
    <fill>
      <patternFill patternType="solid">
        <fgColor rgb="FF1F4E78"/>
        <bgColor indexed="64"/>
      </patternFill>
    </fill>
    <fill>
      <patternFill patternType="solid">
        <fgColor rgb="FFE7E6E6"/>
        <bgColor indexed="64"/>
      </patternFill>
    </fill>
    <fill>
      <patternFill patternType="solid">
        <fgColor rgb="FFF4CCCC"/>
        <bgColor indexed="64"/>
      </patternFill>
    </fill>
    <fill>
      <patternFill patternType="solid">
        <fgColor rgb="FFFCE4D6"/>
        <bgColor indexed="64"/>
      </patternFill>
    </fill>
    <fill>
      <patternFill patternType="solid">
        <fgColor rgb="FFC6E0B4"/>
        <bgColor indexed="64"/>
      </patternFill>
    </fill>
    <fill>
      <patternFill patternType="solid">
        <fgColor rgb="FFDDEBF7"/>
        <bgColor indexed="64"/>
      </patternFill>
    </fill>
    <fill>
      <patternFill patternType="solid">
        <fgColor rgb="FFFFF2CC"/>
        <bgColor indexed="64"/>
      </patternFill>
    </fill>
  </fills>
  <borders count="2">
    <border>
      <left/>
      <right/>
      <top/>
      <bottom/>
      <diagonal/>
    </border>
    <border>
      <left style="thin">
        <color rgb="FF666666"/>
      </left>
      <right style="thin">
        <color rgb="FF666666"/>
      </right>
      <top style="thin">
        <color rgb="FF666666"/>
      </top>
      <bottom style="thin">
        <color rgb="FF666666"/>
      </bottom>
      <diagonal/>
    </border>
  </borders>
  <cellStyleXfs count="1">
    <xf numFmtId="0" fontId="0" fillId="0" borderId="0"/>
  </cellStyleXfs>
  <cellXfs count="37">
    <xf numFmtId="0" fontId="0" fillId="0" borderId="0" xfId="0"/>
    <xf numFmtId="0" fontId="3" fillId="2" borderId="0" xfId="0" applyFont="1" applyFill="1" applyAlignment="1">
      <alignment horizontal="left" vertical="center"/>
    </xf>
    <xf numFmtId="0" fontId="5" fillId="3" borderId="0" xfId="0" applyFont="1" applyFill="1" applyAlignment="1">
      <alignment wrapText="1"/>
    </xf>
    <xf numFmtId="0" fontId="6" fillId="4" borderId="0" xfId="0" applyFont="1" applyFill="1"/>
    <xf numFmtId="0" fontId="0" fillId="0" borderId="0" xfId="0" applyAlignment="1">
      <alignment vertical="top" wrapText="1"/>
    </xf>
    <xf numFmtId="0" fontId="6" fillId="4" borderId="0" xfId="0" applyFont="1" applyFill="1" applyAlignment="1">
      <alignment vertical="top" wrapText="1"/>
    </xf>
    <xf numFmtId="0" fontId="6" fillId="5" borderId="0" xfId="0" applyFont="1" applyFill="1" applyAlignment="1">
      <alignment vertical="top" wrapText="1"/>
    </xf>
    <xf numFmtId="0" fontId="7" fillId="5" borderId="0" xfId="0" applyFont="1" applyFill="1" applyAlignment="1">
      <alignment horizontal="center" vertical="center" wrapText="1"/>
    </xf>
    <xf numFmtId="0" fontId="4" fillId="0" borderId="0" xfId="0" applyFont="1" applyAlignment="1">
      <alignment vertical="top" wrapText="1"/>
    </xf>
    <xf numFmtId="49" fontId="7" fillId="5" borderId="0" xfId="0" applyNumberFormat="1" applyFont="1" applyFill="1" applyAlignment="1">
      <alignment horizontal="center" vertical="center" wrapText="1"/>
    </xf>
    <xf numFmtId="49" fontId="4" fillId="0" borderId="0" xfId="0" applyNumberFormat="1" applyFont="1" applyAlignment="1">
      <alignment vertical="top" wrapText="1"/>
    </xf>
    <xf numFmtId="49" fontId="0" fillId="0" borderId="0" xfId="0" applyNumberFormat="1"/>
    <xf numFmtId="164" fontId="7" fillId="5" borderId="0" xfId="0" applyNumberFormat="1" applyFont="1" applyFill="1" applyAlignment="1">
      <alignment horizontal="center" vertical="center" wrapText="1"/>
    </xf>
    <xf numFmtId="164" fontId="4" fillId="0" borderId="0" xfId="0" applyNumberFormat="1" applyFont="1" applyAlignment="1">
      <alignment vertical="top" wrapText="1"/>
    </xf>
    <xf numFmtId="164" fontId="0" fillId="0" borderId="0" xfId="0" applyNumberFormat="1"/>
    <xf numFmtId="165" fontId="7" fillId="5" borderId="0" xfId="0" applyNumberFormat="1" applyFont="1" applyFill="1" applyAlignment="1">
      <alignment horizontal="center" vertical="center" wrapText="1"/>
    </xf>
    <xf numFmtId="165" fontId="4" fillId="0" borderId="0" xfId="0" applyNumberFormat="1" applyFont="1" applyAlignment="1">
      <alignment vertical="top" wrapText="1"/>
    </xf>
    <xf numFmtId="165" fontId="0" fillId="0" borderId="0" xfId="0" applyNumberFormat="1"/>
    <xf numFmtId="0" fontId="5" fillId="3" borderId="0" xfId="0" applyFont="1" applyFill="1" applyAlignment="1">
      <alignment vertical="center" wrapText="1"/>
    </xf>
    <xf numFmtId="0" fontId="2" fillId="0" borderId="0" xfId="0" applyFont="1" applyAlignment="1">
      <alignment vertical="center"/>
    </xf>
    <xf numFmtId="0" fontId="8" fillId="5" borderId="1" xfId="0" applyFont="1" applyFill="1" applyBorder="1" applyAlignment="1">
      <alignment horizontal="center" vertical="center" wrapText="1"/>
    </xf>
    <xf numFmtId="0" fontId="2" fillId="0" borderId="1" xfId="0" applyFont="1" applyBorder="1" applyAlignment="1">
      <alignment vertical="center" wrapText="1"/>
    </xf>
    <xf numFmtId="9" fontId="2" fillId="0" borderId="1" xfId="0" applyNumberFormat="1" applyFont="1" applyBorder="1" applyAlignment="1">
      <alignment vertical="center" wrapText="1"/>
    </xf>
    <xf numFmtId="0" fontId="9" fillId="0" borderId="1" xfId="0" applyFont="1" applyBorder="1" applyAlignment="1">
      <alignment horizontal="center" vertical="center" wrapText="1"/>
    </xf>
    <xf numFmtId="0" fontId="1" fillId="0" borderId="0" xfId="0" applyFont="1" applyAlignment="1">
      <alignment vertical="top" wrapText="1"/>
    </xf>
    <xf numFmtId="0" fontId="1" fillId="7" borderId="0" xfId="0" applyFont="1" applyFill="1" applyAlignment="1">
      <alignment vertical="top" wrapText="1"/>
    </xf>
    <xf numFmtId="0" fontId="0" fillId="7" borderId="0" xfId="0" applyFill="1" applyAlignment="1">
      <alignment vertical="top" wrapText="1"/>
    </xf>
    <xf numFmtId="0" fontId="1" fillId="6" borderId="0" xfId="0" applyFont="1" applyFill="1" applyAlignment="1">
      <alignment vertical="top" wrapText="1"/>
    </xf>
    <xf numFmtId="0" fontId="0" fillId="6" borderId="0" xfId="0" applyFill="1" applyAlignment="1">
      <alignment vertical="top" wrapText="1"/>
    </xf>
    <xf numFmtId="0" fontId="1" fillId="8" borderId="0" xfId="0" applyFont="1" applyFill="1" applyAlignment="1">
      <alignment vertical="top" wrapText="1"/>
    </xf>
    <xf numFmtId="0" fontId="0" fillId="8" borderId="0" xfId="0" applyFill="1" applyAlignment="1">
      <alignment vertical="top" wrapText="1"/>
    </xf>
    <xf numFmtId="0" fontId="1" fillId="9" borderId="0" xfId="0" applyFont="1" applyFill="1" applyAlignment="1">
      <alignment vertical="top" wrapText="1"/>
    </xf>
    <xf numFmtId="0" fontId="0" fillId="9" borderId="0" xfId="0" applyFill="1" applyAlignment="1">
      <alignment vertical="top" wrapText="1"/>
    </xf>
    <xf numFmtId="0" fontId="1" fillId="10" borderId="0" xfId="0" applyFont="1" applyFill="1" applyAlignment="1">
      <alignment vertical="top" wrapText="1"/>
    </xf>
    <xf numFmtId="0" fontId="0" fillId="10" borderId="0" xfId="0" applyFill="1" applyAlignment="1">
      <alignment vertical="top" wrapText="1"/>
    </xf>
    <xf numFmtId="0" fontId="1" fillId="11" borderId="0" xfId="0" applyFont="1" applyFill="1" applyAlignment="1">
      <alignment vertical="top" wrapText="1"/>
    </xf>
    <xf numFmtId="0" fontId="0" fillId="11" borderId="0" xfId="0" applyFill="1" applyAlignment="1">
      <alignment vertical="top" wrapText="1"/>
    </xf>
  </cellXfs>
  <cellStyles count="1">
    <cellStyle name="Normal" xfId="0" builtinId="0"/>
  </cellStyles>
  <dxfs count="403">
    <dxf>
      <font>
        <b/>
        <i val="0"/>
        <color rgb="FF9C0006"/>
      </font>
      <fill>
        <patternFill>
          <bgColor rgb="FFF4CCCC"/>
        </patternFill>
      </fill>
    </dxf>
    <dxf>
      <font>
        <b/>
        <i val="0"/>
        <color rgb="FF2E7D32"/>
      </font>
      <fill>
        <patternFill>
          <bgColor rgb="FFC6E0B4"/>
        </patternFill>
      </fill>
    </dxf>
    <dxf>
      <font>
        <b/>
        <i val="0"/>
        <color rgb="FF666666"/>
      </font>
      <fill>
        <patternFill>
          <bgColor rgb="FFE7E6E6"/>
        </patternFill>
      </fill>
    </dxf>
    <dxf>
      <font>
        <b/>
        <i val="0"/>
        <color rgb="FF666666"/>
      </font>
      <fill>
        <patternFill>
          <bgColor rgb="FFE7E6E6"/>
        </patternFill>
      </fill>
    </dxf>
    <dxf>
      <font>
        <b/>
        <i val="0"/>
        <color rgb="FF1F4E78"/>
      </font>
      <fill>
        <patternFill>
          <bgColor rgb="FFDDEBF7"/>
        </patternFill>
      </fill>
    </dxf>
    <dxf>
      <font>
        <b/>
        <i val="0"/>
        <color rgb="FFC65911"/>
      </font>
      <fill>
        <patternFill>
          <bgColor rgb="FFFCE4D6"/>
        </patternFill>
      </fill>
    </dxf>
    <dxf>
      <font>
        <b/>
        <i val="0"/>
        <color rgb="FF9C0006"/>
      </font>
      <fill>
        <patternFill>
          <bgColor rgb="FFF4CCCC"/>
        </patternFill>
      </fill>
    </dxf>
    <dxf>
      <font>
        <b/>
        <i val="0"/>
        <color rgb="FF2E7D32"/>
      </font>
      <fill>
        <patternFill>
          <bgColor rgb="FFC6E0B4"/>
        </patternFill>
      </fill>
    </dxf>
    <dxf>
      <font>
        <b val="0"/>
        <i val="0"/>
        <strike val="0"/>
        <outline val="0"/>
        <shadow val="0"/>
        <u val="none"/>
        <vertAlign val="baseline"/>
        <sz val="9"/>
        <color theme="1"/>
        <name val="Calibri"/>
        <family val="2"/>
        <scheme val="none"/>
      </font>
      <numFmt numFmtId="30" formatCode="@"/>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numFmt numFmtId="30" formatCode="@"/>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i val="0"/>
        <color rgb="FF9C0006"/>
      </font>
      <fill>
        <patternFill>
          <bgColor rgb="FFF4CCCC"/>
        </patternFill>
      </fill>
    </dxf>
    <dxf>
      <font>
        <b/>
        <i val="0"/>
        <color rgb="FF2E7D32"/>
      </font>
      <fill>
        <patternFill>
          <bgColor rgb="FFC6E0B4"/>
        </patternFill>
      </fill>
    </dxf>
    <dxf>
      <font>
        <b/>
        <i val="0"/>
        <color rgb="FF666666"/>
      </font>
      <fill>
        <patternFill>
          <bgColor rgb="FFE7E6E6"/>
        </patternFill>
      </fill>
    </dxf>
    <dxf>
      <font>
        <b/>
        <i val="0"/>
        <color rgb="FF666666"/>
      </font>
      <fill>
        <patternFill>
          <bgColor rgb="FFE7E6E6"/>
        </patternFill>
      </fill>
    </dxf>
    <dxf>
      <font>
        <b/>
        <i val="0"/>
        <color rgb="FF1F4E78"/>
      </font>
      <fill>
        <patternFill>
          <bgColor rgb="FFDDEBF7"/>
        </patternFill>
      </fill>
    </dxf>
    <dxf>
      <font>
        <b/>
        <i val="0"/>
        <color rgb="FFC65911"/>
      </font>
      <fill>
        <patternFill>
          <bgColor rgb="FFFCE4D6"/>
        </patternFill>
      </fill>
    </dxf>
    <dxf>
      <font>
        <b/>
        <i val="0"/>
        <color rgb="FF9C0006"/>
      </font>
      <fill>
        <patternFill>
          <bgColor rgb="FFF4CCCC"/>
        </patternFill>
      </fill>
    </dxf>
    <dxf>
      <font>
        <b/>
        <i val="0"/>
        <color rgb="FF2E7D32"/>
      </font>
      <fill>
        <patternFill>
          <bgColor rgb="FFC6E0B4"/>
        </patternFill>
      </fill>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i val="0"/>
        <strike val="0"/>
        <outline val="0"/>
        <shadow val="0"/>
        <u val="none"/>
        <vertAlign val="baseline"/>
        <sz val="9"/>
        <color rgb="FFFFFFFF"/>
        <name val="Aptos Narrow"/>
        <family val="2"/>
        <scheme val="minor"/>
      </font>
      <fill>
        <patternFill patternType="solid">
          <fgColor indexed="64"/>
          <bgColor rgb="FF1F4E78"/>
        </patternFill>
      </fill>
      <alignment horizontal="center" vertical="center" textRotation="0" wrapText="1" indent="0" justifyLastLine="0" shrinkToFit="0" readingOrder="0"/>
    </dxf>
    <dxf>
      <font>
        <b val="0"/>
        <i val="0"/>
        <strike val="0"/>
        <outline val="0"/>
        <shadow val="0"/>
        <u val="none"/>
        <vertAlign val="baseline"/>
        <sz val="9"/>
        <color theme="1"/>
        <name val="Calibri"/>
        <family val="2"/>
        <scheme val="none"/>
      </font>
      <numFmt numFmtId="165" formatCode="yyyy/mm/dd"/>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numFmt numFmtId="30" formatCode="@"/>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numFmt numFmtId="30" formatCode="@"/>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numFmt numFmtId="30" formatCode="@"/>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i val="0"/>
        <color rgb="FF9C0006"/>
      </font>
      <fill>
        <patternFill>
          <bgColor rgb="FFF4CCCC"/>
        </patternFill>
      </fill>
    </dxf>
    <dxf>
      <font>
        <b/>
        <i val="0"/>
        <color rgb="FF2E7D32"/>
      </font>
      <fill>
        <patternFill>
          <bgColor rgb="FFC6E0B4"/>
        </patternFill>
      </fill>
    </dxf>
    <dxf>
      <font>
        <b/>
        <i val="0"/>
        <color rgb="FF666666"/>
      </font>
      <fill>
        <patternFill>
          <bgColor rgb="FFE7E6E6"/>
        </patternFill>
      </fill>
    </dxf>
    <dxf>
      <font>
        <b/>
        <i val="0"/>
        <color rgb="FF666666"/>
      </font>
      <fill>
        <patternFill>
          <bgColor rgb="FFE7E6E6"/>
        </patternFill>
      </fill>
    </dxf>
    <dxf>
      <font>
        <b/>
        <i val="0"/>
        <color rgb="FF1F4E78"/>
      </font>
      <fill>
        <patternFill>
          <bgColor rgb="FFDDEBF7"/>
        </patternFill>
      </fill>
    </dxf>
    <dxf>
      <font>
        <b/>
        <i val="0"/>
        <color rgb="FFC65911"/>
      </font>
      <fill>
        <patternFill>
          <bgColor rgb="FFFCE4D6"/>
        </patternFill>
      </fill>
    </dxf>
    <dxf>
      <font>
        <b/>
        <i val="0"/>
        <color rgb="FF9C0006"/>
      </font>
      <fill>
        <patternFill>
          <bgColor rgb="FFF4CCCC"/>
        </patternFill>
      </fill>
    </dxf>
    <dxf>
      <font>
        <b/>
        <i val="0"/>
        <color rgb="FF2E7D32"/>
      </font>
      <fill>
        <patternFill>
          <bgColor rgb="FFC6E0B4"/>
        </patternFill>
      </fill>
    </dxf>
    <dxf>
      <font>
        <b/>
        <i val="0"/>
        <color rgb="FF9C0006"/>
      </font>
      <fill>
        <patternFill>
          <bgColor rgb="FFF4CCCC"/>
        </patternFill>
      </fill>
    </dxf>
    <dxf>
      <font>
        <b/>
        <i val="0"/>
        <color rgb="FF2E7D32"/>
      </font>
      <fill>
        <patternFill>
          <bgColor rgb="FFC6E0B4"/>
        </patternFill>
      </fill>
    </dxf>
    <dxf>
      <font>
        <b/>
        <i val="0"/>
        <color rgb="FF666666"/>
      </font>
      <fill>
        <patternFill>
          <bgColor rgb="FFE7E6E6"/>
        </patternFill>
      </fill>
    </dxf>
    <dxf>
      <font>
        <b/>
        <i val="0"/>
        <color rgb="FF666666"/>
      </font>
      <fill>
        <patternFill>
          <bgColor rgb="FFE7E6E6"/>
        </patternFill>
      </fill>
    </dxf>
    <dxf>
      <font>
        <b/>
        <i val="0"/>
        <color rgb="FF1F4E78"/>
      </font>
      <fill>
        <patternFill>
          <bgColor rgb="FFDDEBF7"/>
        </patternFill>
      </fill>
    </dxf>
    <dxf>
      <font>
        <b/>
        <i val="0"/>
        <color rgb="FFC65911"/>
      </font>
      <fill>
        <patternFill>
          <bgColor rgb="FFFCE4D6"/>
        </patternFill>
      </fill>
    </dxf>
    <dxf>
      <font>
        <b/>
        <i val="0"/>
        <color rgb="FF9C0006"/>
      </font>
      <fill>
        <patternFill>
          <bgColor rgb="FFF4CCCC"/>
        </patternFill>
      </fill>
    </dxf>
    <dxf>
      <font>
        <b/>
        <i val="0"/>
        <color rgb="FF2E7D32"/>
      </font>
      <fill>
        <patternFill>
          <bgColor rgb="FFC6E0B4"/>
        </patternFill>
      </fill>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i val="0"/>
        <strike val="0"/>
        <outline val="0"/>
        <shadow val="0"/>
        <u val="none"/>
        <vertAlign val="baseline"/>
        <sz val="9"/>
        <color rgb="FFFFFFFF"/>
        <name val="Aptos Narrow"/>
        <family val="2"/>
        <scheme val="minor"/>
      </font>
      <fill>
        <patternFill patternType="solid">
          <fgColor indexed="64"/>
          <bgColor rgb="FF1F4E78"/>
        </patternFill>
      </fill>
      <alignment horizontal="center" vertical="center" textRotation="0" wrapText="1" indent="0" justifyLastLine="0" shrinkToFit="0" readingOrder="0"/>
    </dxf>
    <dxf>
      <font>
        <b val="0"/>
        <i val="0"/>
        <strike val="0"/>
        <outline val="0"/>
        <shadow val="0"/>
        <u val="none"/>
        <vertAlign val="baseline"/>
        <sz val="9"/>
        <color theme="1"/>
        <name val="Calibri"/>
        <family val="2"/>
        <scheme val="none"/>
      </font>
      <numFmt numFmtId="30" formatCode="@"/>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i val="0"/>
        <color rgb="FF9C0006"/>
      </font>
      <fill>
        <patternFill>
          <bgColor rgb="FFF4CCCC"/>
        </patternFill>
      </fill>
    </dxf>
    <dxf>
      <font>
        <b/>
        <i val="0"/>
        <color rgb="FF2E7D32"/>
      </font>
      <fill>
        <patternFill>
          <bgColor rgb="FFC6E0B4"/>
        </patternFill>
      </fill>
    </dxf>
    <dxf>
      <font>
        <b/>
        <i val="0"/>
        <color rgb="FF666666"/>
      </font>
      <fill>
        <patternFill>
          <bgColor rgb="FFE7E6E6"/>
        </patternFill>
      </fill>
    </dxf>
    <dxf>
      <font>
        <b/>
        <i val="0"/>
        <color rgb="FF666666"/>
      </font>
      <fill>
        <patternFill>
          <bgColor rgb="FFE7E6E6"/>
        </patternFill>
      </fill>
    </dxf>
    <dxf>
      <font>
        <b/>
        <i val="0"/>
        <color rgb="FF1F4E78"/>
      </font>
      <fill>
        <patternFill>
          <bgColor rgb="FFDDEBF7"/>
        </patternFill>
      </fill>
    </dxf>
    <dxf>
      <font>
        <b/>
        <i val="0"/>
        <color rgb="FFC65911"/>
      </font>
      <fill>
        <patternFill>
          <bgColor rgb="FFFCE4D6"/>
        </patternFill>
      </fill>
    </dxf>
    <dxf>
      <font>
        <b/>
        <i val="0"/>
        <color rgb="FF9C0006"/>
      </font>
      <fill>
        <patternFill>
          <bgColor rgb="FFF4CCCC"/>
        </patternFill>
      </fill>
    </dxf>
    <dxf>
      <font>
        <b/>
        <i val="0"/>
        <color rgb="FF2E7D32"/>
      </font>
      <fill>
        <patternFill>
          <bgColor rgb="FFC6E0B4"/>
        </patternFill>
      </fill>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i val="0"/>
        <strike val="0"/>
        <outline val="0"/>
        <shadow val="0"/>
        <u val="none"/>
        <vertAlign val="baseline"/>
        <sz val="9"/>
        <color rgb="FFFFFFFF"/>
        <name val="Aptos Narrow"/>
        <family val="2"/>
        <scheme val="minor"/>
      </font>
      <fill>
        <patternFill patternType="solid">
          <fgColor indexed="64"/>
          <bgColor rgb="FF1F4E78"/>
        </patternFill>
      </fill>
      <alignment horizontal="center" vertical="center" textRotation="0" wrapText="1" indent="0" justifyLastLine="0" shrinkToFit="0" readingOrder="0"/>
    </dxf>
    <dxf>
      <font>
        <b val="0"/>
        <i val="0"/>
        <strike val="0"/>
        <outline val="0"/>
        <shadow val="0"/>
        <u val="none"/>
        <vertAlign val="baseline"/>
        <sz val="9"/>
        <color theme="1"/>
        <name val="Calibri"/>
        <family val="2"/>
        <scheme val="none"/>
      </font>
      <numFmt numFmtId="30" formatCode="@"/>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numFmt numFmtId="30" formatCode="@"/>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i val="0"/>
        <color rgb="FF9C0006"/>
      </font>
      <fill>
        <patternFill>
          <bgColor rgb="FFF4CCCC"/>
        </patternFill>
      </fill>
    </dxf>
    <dxf>
      <font>
        <b/>
        <i val="0"/>
        <color rgb="FF2E7D32"/>
      </font>
      <fill>
        <patternFill>
          <bgColor rgb="FFC6E0B4"/>
        </patternFill>
      </fill>
    </dxf>
    <dxf>
      <font>
        <b/>
        <i val="0"/>
        <color rgb="FF666666"/>
      </font>
      <fill>
        <patternFill>
          <bgColor rgb="FFE7E6E6"/>
        </patternFill>
      </fill>
    </dxf>
    <dxf>
      <font>
        <b/>
        <i val="0"/>
        <color rgb="FF666666"/>
      </font>
      <fill>
        <patternFill>
          <bgColor rgb="FFE7E6E6"/>
        </patternFill>
      </fill>
    </dxf>
    <dxf>
      <font>
        <b/>
        <i val="0"/>
        <color rgb="FF1F4E78"/>
      </font>
      <fill>
        <patternFill>
          <bgColor rgb="FFDDEBF7"/>
        </patternFill>
      </fill>
    </dxf>
    <dxf>
      <font>
        <b/>
        <i val="0"/>
        <color rgb="FFC65911"/>
      </font>
      <fill>
        <patternFill>
          <bgColor rgb="FFFCE4D6"/>
        </patternFill>
      </fill>
    </dxf>
    <dxf>
      <font>
        <b/>
        <i val="0"/>
        <color rgb="FF9C0006"/>
      </font>
      <fill>
        <patternFill>
          <bgColor rgb="FFF4CCCC"/>
        </patternFill>
      </fill>
    </dxf>
    <dxf>
      <font>
        <b/>
        <i val="0"/>
        <color rgb="FF2E7D32"/>
      </font>
      <fill>
        <patternFill>
          <bgColor rgb="FFC6E0B4"/>
        </patternFill>
      </fill>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i val="0"/>
        <strike val="0"/>
        <outline val="0"/>
        <shadow val="0"/>
        <u val="none"/>
        <vertAlign val="baseline"/>
        <sz val="9"/>
        <color rgb="FFFFFFFF"/>
        <name val="Aptos Narrow"/>
        <family val="2"/>
        <scheme val="minor"/>
      </font>
      <fill>
        <patternFill patternType="solid">
          <fgColor indexed="64"/>
          <bgColor rgb="FF1F4E78"/>
        </patternFill>
      </fill>
      <alignment horizontal="center" vertical="center" textRotation="0" wrapText="1" indent="0" justifyLastLine="0" shrinkToFit="0" readingOrder="0"/>
    </dxf>
    <dxf>
      <font>
        <b val="0"/>
        <i val="0"/>
        <strike val="0"/>
        <outline val="0"/>
        <shadow val="0"/>
        <u val="none"/>
        <vertAlign val="baseline"/>
        <sz val="9"/>
        <color theme="1"/>
        <name val="Calibri"/>
        <family val="2"/>
        <scheme val="none"/>
      </font>
      <numFmt numFmtId="30" formatCode="@"/>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i val="0"/>
        <color rgb="FF9C0006"/>
      </font>
      <fill>
        <patternFill>
          <bgColor rgb="FFF4CCCC"/>
        </patternFill>
      </fill>
    </dxf>
    <dxf>
      <font>
        <b/>
        <i val="0"/>
        <color rgb="FF2E7D32"/>
      </font>
      <fill>
        <patternFill>
          <bgColor rgb="FFC6E0B4"/>
        </patternFill>
      </fill>
    </dxf>
    <dxf>
      <font>
        <b/>
        <i val="0"/>
        <color rgb="FF666666"/>
      </font>
      <fill>
        <patternFill>
          <bgColor rgb="FFE7E6E6"/>
        </patternFill>
      </fill>
    </dxf>
    <dxf>
      <font>
        <b/>
        <i val="0"/>
        <color rgb="FF666666"/>
      </font>
      <fill>
        <patternFill>
          <bgColor rgb="FFE7E6E6"/>
        </patternFill>
      </fill>
    </dxf>
    <dxf>
      <font>
        <b/>
        <i val="0"/>
        <color rgb="FF1F4E78"/>
      </font>
      <fill>
        <patternFill>
          <bgColor rgb="FFDDEBF7"/>
        </patternFill>
      </fill>
    </dxf>
    <dxf>
      <font>
        <b/>
        <i val="0"/>
        <color rgb="FFC65911"/>
      </font>
      <fill>
        <patternFill>
          <bgColor rgb="FFFCE4D6"/>
        </patternFill>
      </fill>
    </dxf>
    <dxf>
      <font>
        <b/>
        <i val="0"/>
        <color rgb="FF9C0006"/>
      </font>
      <fill>
        <patternFill>
          <bgColor rgb="FFF4CCCC"/>
        </patternFill>
      </fill>
    </dxf>
    <dxf>
      <font>
        <b/>
        <i val="0"/>
        <color rgb="FF2E7D32"/>
      </font>
      <fill>
        <patternFill>
          <bgColor rgb="FFC6E0B4"/>
        </patternFill>
      </fill>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i val="0"/>
        <strike val="0"/>
        <outline val="0"/>
        <shadow val="0"/>
        <u val="none"/>
        <vertAlign val="baseline"/>
        <sz val="9"/>
        <color rgb="FFFFFFFF"/>
        <name val="Aptos Narrow"/>
        <family val="2"/>
        <scheme val="minor"/>
      </font>
      <fill>
        <patternFill patternType="solid">
          <fgColor indexed="64"/>
          <bgColor rgb="FF1F4E78"/>
        </patternFill>
      </fill>
      <alignment horizontal="center" vertical="center" textRotation="0" wrapText="1" indent="0" justifyLastLine="0" shrinkToFit="0" readingOrder="0"/>
    </dxf>
    <dxf>
      <font>
        <b val="0"/>
        <i val="0"/>
        <strike val="0"/>
        <outline val="0"/>
        <shadow val="0"/>
        <u val="none"/>
        <vertAlign val="baseline"/>
        <sz val="9"/>
        <color theme="1"/>
        <name val="Calibri"/>
        <family val="2"/>
        <scheme val="none"/>
      </font>
      <numFmt numFmtId="30" formatCode="@"/>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i val="0"/>
        <color rgb="FF9C0006"/>
      </font>
      <fill>
        <patternFill>
          <bgColor rgb="FFF4CCCC"/>
        </patternFill>
      </fill>
    </dxf>
    <dxf>
      <font>
        <b/>
        <i val="0"/>
        <color rgb="FF2E7D32"/>
      </font>
      <fill>
        <patternFill>
          <bgColor rgb="FFC6E0B4"/>
        </patternFill>
      </fill>
    </dxf>
    <dxf>
      <font>
        <b/>
        <i val="0"/>
        <color rgb="FF666666"/>
      </font>
      <fill>
        <patternFill>
          <bgColor rgb="FFE7E6E6"/>
        </patternFill>
      </fill>
    </dxf>
    <dxf>
      <font>
        <b/>
        <i val="0"/>
        <color rgb="FF666666"/>
      </font>
      <fill>
        <patternFill>
          <bgColor rgb="FFE7E6E6"/>
        </patternFill>
      </fill>
    </dxf>
    <dxf>
      <font>
        <b/>
        <i val="0"/>
        <color rgb="FF1F4E78"/>
      </font>
      <fill>
        <patternFill>
          <bgColor rgb="FFDDEBF7"/>
        </patternFill>
      </fill>
    </dxf>
    <dxf>
      <font>
        <b/>
        <i val="0"/>
        <color rgb="FFC65911"/>
      </font>
      <fill>
        <patternFill>
          <bgColor rgb="FFFCE4D6"/>
        </patternFill>
      </fill>
    </dxf>
    <dxf>
      <font>
        <b/>
        <i val="0"/>
        <color rgb="FF9C0006"/>
      </font>
      <fill>
        <patternFill>
          <bgColor rgb="FFF4CCCC"/>
        </patternFill>
      </fill>
    </dxf>
    <dxf>
      <font>
        <b/>
        <i val="0"/>
        <color rgb="FF2E7D32"/>
      </font>
      <fill>
        <patternFill>
          <bgColor rgb="FFC6E0B4"/>
        </patternFill>
      </fill>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i val="0"/>
        <strike val="0"/>
        <outline val="0"/>
        <shadow val="0"/>
        <u val="none"/>
        <vertAlign val="baseline"/>
        <sz val="9"/>
        <color rgb="FFFFFFFF"/>
        <name val="Aptos Narrow"/>
        <family val="2"/>
        <scheme val="minor"/>
      </font>
      <fill>
        <patternFill patternType="solid">
          <fgColor indexed="64"/>
          <bgColor rgb="FF1F4E78"/>
        </patternFill>
      </fill>
      <alignment horizontal="center" vertical="center" textRotation="0" wrapText="1" indent="0" justifyLastLine="0" shrinkToFit="0" readingOrder="0"/>
    </dxf>
    <dxf>
      <font>
        <b/>
        <i val="0"/>
        <color rgb="FF9C0006"/>
      </font>
      <fill>
        <patternFill>
          <bgColor rgb="FFF4CCCC"/>
        </patternFill>
      </fill>
    </dxf>
    <dxf>
      <font>
        <b/>
        <i val="0"/>
        <color rgb="FF2E7D32"/>
      </font>
      <fill>
        <patternFill>
          <bgColor rgb="FFC6E0B4"/>
        </patternFill>
      </fill>
    </dxf>
    <dxf>
      <font>
        <b/>
        <i val="0"/>
        <color rgb="FF666666"/>
      </font>
      <fill>
        <patternFill>
          <bgColor rgb="FFE7E6E6"/>
        </patternFill>
      </fill>
    </dxf>
    <dxf>
      <font>
        <b/>
        <i val="0"/>
        <color rgb="FF666666"/>
      </font>
      <fill>
        <patternFill>
          <bgColor rgb="FFE7E6E6"/>
        </patternFill>
      </fill>
    </dxf>
    <dxf>
      <font>
        <b/>
        <i val="0"/>
        <color rgb="FF1F4E78"/>
      </font>
      <fill>
        <patternFill>
          <bgColor rgb="FFDDEBF7"/>
        </patternFill>
      </fill>
    </dxf>
    <dxf>
      <font>
        <b/>
        <i val="0"/>
        <color rgb="FFC65911"/>
      </font>
      <fill>
        <patternFill>
          <bgColor rgb="FFFCE4D6"/>
        </patternFill>
      </fill>
    </dxf>
    <dxf>
      <font>
        <b/>
        <i val="0"/>
        <color rgb="FF9C0006"/>
      </font>
      <fill>
        <patternFill>
          <bgColor rgb="FFF4CCCC"/>
        </patternFill>
      </fill>
    </dxf>
    <dxf>
      <font>
        <b/>
        <i val="0"/>
        <color rgb="FF2E7D32"/>
      </font>
      <fill>
        <patternFill>
          <bgColor rgb="FFC6E0B4"/>
        </patternFill>
      </fill>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i val="0"/>
        <strike val="0"/>
        <outline val="0"/>
        <shadow val="0"/>
        <u val="none"/>
        <vertAlign val="baseline"/>
        <sz val="9"/>
        <color rgb="FFFFFFFF"/>
        <name val="Aptos Narrow"/>
        <family val="2"/>
        <scheme val="minor"/>
      </font>
      <fill>
        <patternFill patternType="solid">
          <fgColor indexed="64"/>
          <bgColor rgb="FF1F4E78"/>
        </patternFill>
      </fill>
      <alignment horizontal="center" vertical="center" textRotation="0" wrapText="1" indent="0" justifyLastLine="0" shrinkToFit="0" readingOrder="0"/>
    </dxf>
    <dxf>
      <font>
        <b val="0"/>
        <i val="0"/>
        <strike val="0"/>
        <outline val="0"/>
        <shadow val="0"/>
        <u val="none"/>
        <vertAlign val="baseline"/>
        <sz val="9"/>
        <color theme="1"/>
        <name val="Calibri"/>
        <family val="2"/>
        <scheme val="none"/>
      </font>
      <numFmt numFmtId="30" formatCode="@"/>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i val="0"/>
        <color rgb="FF9C0006"/>
      </font>
      <fill>
        <patternFill>
          <bgColor rgb="FFF4CCCC"/>
        </patternFill>
      </fill>
    </dxf>
    <dxf>
      <font>
        <b/>
        <i val="0"/>
        <color rgb="FF2E7D32"/>
      </font>
      <fill>
        <patternFill>
          <bgColor rgb="FFC6E0B4"/>
        </patternFill>
      </fill>
    </dxf>
    <dxf>
      <font>
        <b/>
        <i val="0"/>
        <color rgb="FF666666"/>
      </font>
      <fill>
        <patternFill>
          <bgColor rgb="FFE7E6E6"/>
        </patternFill>
      </fill>
    </dxf>
    <dxf>
      <font>
        <b/>
        <i val="0"/>
        <color rgb="FF666666"/>
      </font>
      <fill>
        <patternFill>
          <bgColor rgb="FFE7E6E6"/>
        </patternFill>
      </fill>
    </dxf>
    <dxf>
      <font>
        <b/>
        <i val="0"/>
        <color rgb="FF1F4E78"/>
      </font>
      <fill>
        <patternFill>
          <bgColor rgb="FFDDEBF7"/>
        </patternFill>
      </fill>
    </dxf>
    <dxf>
      <font>
        <b/>
        <i val="0"/>
        <color rgb="FFC65911"/>
      </font>
      <fill>
        <patternFill>
          <bgColor rgb="FFFCE4D6"/>
        </patternFill>
      </fill>
    </dxf>
    <dxf>
      <font>
        <b/>
        <i val="0"/>
        <color rgb="FF9C0006"/>
      </font>
      <fill>
        <patternFill>
          <bgColor rgb="FFF4CCCC"/>
        </patternFill>
      </fill>
    </dxf>
    <dxf>
      <font>
        <b/>
        <i val="0"/>
        <color rgb="FF2E7D32"/>
      </font>
      <fill>
        <patternFill>
          <bgColor rgb="FFC6E0B4"/>
        </patternFill>
      </fill>
    </dxf>
    <dxf>
      <font>
        <b/>
        <i val="0"/>
        <color rgb="FF9C0006"/>
      </font>
      <fill>
        <patternFill>
          <bgColor rgb="FFF4CCCC"/>
        </patternFill>
      </fill>
    </dxf>
    <dxf>
      <font>
        <b/>
        <i val="0"/>
        <color rgb="FF2E7D32"/>
      </font>
      <fill>
        <patternFill>
          <bgColor rgb="FFC6E0B4"/>
        </patternFill>
      </fill>
    </dxf>
    <dxf>
      <font>
        <b/>
        <i val="0"/>
        <color rgb="FF666666"/>
      </font>
      <fill>
        <patternFill>
          <bgColor rgb="FFE7E6E6"/>
        </patternFill>
      </fill>
    </dxf>
    <dxf>
      <font>
        <b/>
        <i val="0"/>
        <color rgb="FF666666"/>
      </font>
      <fill>
        <patternFill>
          <bgColor rgb="FFE7E6E6"/>
        </patternFill>
      </fill>
    </dxf>
    <dxf>
      <font>
        <b/>
        <i val="0"/>
        <color rgb="FF1F4E78"/>
      </font>
      <fill>
        <patternFill>
          <bgColor rgb="FFDDEBF7"/>
        </patternFill>
      </fill>
    </dxf>
    <dxf>
      <font>
        <b/>
        <i val="0"/>
        <color rgb="FFC65911"/>
      </font>
      <fill>
        <patternFill>
          <bgColor rgb="FFFCE4D6"/>
        </patternFill>
      </fill>
    </dxf>
    <dxf>
      <font>
        <b/>
        <i val="0"/>
        <color rgb="FF9C0006"/>
      </font>
      <fill>
        <patternFill>
          <bgColor rgb="FFF4CCCC"/>
        </patternFill>
      </fill>
    </dxf>
    <dxf>
      <font>
        <b/>
        <i val="0"/>
        <color rgb="FF2E7D32"/>
      </font>
      <fill>
        <patternFill>
          <bgColor rgb="FFC6E0B4"/>
        </patternFill>
      </fill>
    </dxf>
    <dxf>
      <font>
        <b/>
        <i val="0"/>
        <color rgb="FF9C0006"/>
      </font>
      <fill>
        <patternFill>
          <bgColor rgb="FFF4CCCC"/>
        </patternFill>
      </fill>
    </dxf>
    <dxf>
      <font>
        <b/>
        <i val="0"/>
        <color rgb="FF2E7D32"/>
      </font>
      <fill>
        <patternFill>
          <bgColor rgb="FFC6E0B4"/>
        </patternFill>
      </fill>
    </dxf>
    <dxf>
      <font>
        <b/>
        <i val="0"/>
        <color rgb="FF666666"/>
      </font>
      <fill>
        <patternFill>
          <bgColor rgb="FFE7E6E6"/>
        </patternFill>
      </fill>
    </dxf>
    <dxf>
      <font>
        <b/>
        <i val="0"/>
        <color rgb="FF666666"/>
      </font>
      <fill>
        <patternFill>
          <bgColor rgb="FFE7E6E6"/>
        </patternFill>
      </fill>
    </dxf>
    <dxf>
      <font>
        <b/>
        <i val="0"/>
        <color rgb="FF1F4E78"/>
      </font>
      <fill>
        <patternFill>
          <bgColor rgb="FFDDEBF7"/>
        </patternFill>
      </fill>
    </dxf>
    <dxf>
      <font>
        <b/>
        <i val="0"/>
        <color rgb="FFC65911"/>
      </font>
      <fill>
        <patternFill>
          <bgColor rgb="FFFCE4D6"/>
        </patternFill>
      </fill>
    </dxf>
    <dxf>
      <font>
        <b/>
        <i val="0"/>
        <color rgb="FF9C0006"/>
      </font>
      <fill>
        <patternFill>
          <bgColor rgb="FFF4CCCC"/>
        </patternFill>
      </fill>
    </dxf>
    <dxf>
      <font>
        <b/>
        <i val="0"/>
        <color rgb="FF2E7D32"/>
      </font>
      <fill>
        <patternFill>
          <bgColor rgb="FFC6E0B4"/>
        </patternFill>
      </fill>
    </dxf>
    <dxf>
      <font>
        <b/>
        <i val="0"/>
        <color rgb="FF9C0006"/>
      </font>
      <fill>
        <patternFill>
          <bgColor rgb="FFF4CCCC"/>
        </patternFill>
      </fill>
    </dxf>
    <dxf>
      <font>
        <b/>
        <i val="0"/>
        <color rgb="FF2E7D32"/>
      </font>
      <fill>
        <patternFill>
          <bgColor rgb="FFC6E0B4"/>
        </patternFill>
      </fill>
    </dxf>
    <dxf>
      <font>
        <b/>
        <i val="0"/>
        <color rgb="FF666666"/>
      </font>
      <fill>
        <patternFill>
          <bgColor rgb="FFE7E6E6"/>
        </patternFill>
      </fill>
    </dxf>
    <dxf>
      <font>
        <b/>
        <i val="0"/>
        <color rgb="FF666666"/>
      </font>
      <fill>
        <patternFill>
          <bgColor rgb="FFE7E6E6"/>
        </patternFill>
      </fill>
    </dxf>
    <dxf>
      <font>
        <b/>
        <i val="0"/>
        <color rgb="FF1F4E78"/>
      </font>
      <fill>
        <patternFill>
          <bgColor rgb="FFDDEBF7"/>
        </patternFill>
      </fill>
    </dxf>
    <dxf>
      <font>
        <b/>
        <i val="0"/>
        <color rgb="FFC65911"/>
      </font>
      <fill>
        <patternFill>
          <bgColor rgb="FFFCE4D6"/>
        </patternFill>
      </fill>
    </dxf>
    <dxf>
      <font>
        <b/>
        <i val="0"/>
        <color rgb="FF9C0006"/>
      </font>
      <fill>
        <patternFill>
          <bgColor rgb="FFF4CCCC"/>
        </patternFill>
      </fill>
    </dxf>
    <dxf>
      <font>
        <b/>
        <i val="0"/>
        <color rgb="FF2E7D32"/>
      </font>
      <fill>
        <patternFill>
          <bgColor rgb="FFC6E0B4"/>
        </patternFill>
      </fill>
    </dxf>
    <dxf>
      <font>
        <b/>
        <i val="0"/>
        <color rgb="FF9C0006"/>
      </font>
      <fill>
        <patternFill>
          <bgColor rgb="FFF4CCCC"/>
        </patternFill>
      </fill>
    </dxf>
    <dxf>
      <font>
        <b/>
        <i val="0"/>
        <color rgb="FF2E7D32"/>
      </font>
      <fill>
        <patternFill>
          <bgColor rgb="FFC6E0B4"/>
        </patternFill>
      </fill>
    </dxf>
    <dxf>
      <font>
        <b/>
        <i val="0"/>
        <color rgb="FF666666"/>
      </font>
      <fill>
        <patternFill>
          <bgColor rgb="FFE7E6E6"/>
        </patternFill>
      </fill>
    </dxf>
    <dxf>
      <font>
        <b/>
        <i val="0"/>
        <color rgb="FF666666"/>
      </font>
      <fill>
        <patternFill>
          <bgColor rgb="FFE7E6E6"/>
        </patternFill>
      </fill>
    </dxf>
    <dxf>
      <font>
        <b/>
        <i val="0"/>
        <color rgb="FF1F4E78"/>
      </font>
      <fill>
        <patternFill>
          <bgColor rgb="FFDDEBF7"/>
        </patternFill>
      </fill>
    </dxf>
    <dxf>
      <font>
        <b/>
        <i val="0"/>
        <color rgb="FFC65911"/>
      </font>
      <fill>
        <patternFill>
          <bgColor rgb="FFFCE4D6"/>
        </patternFill>
      </fill>
    </dxf>
    <dxf>
      <font>
        <b/>
        <i val="0"/>
        <color rgb="FF9C0006"/>
      </font>
      <fill>
        <patternFill>
          <bgColor rgb="FFF4CCCC"/>
        </patternFill>
      </fill>
    </dxf>
    <dxf>
      <font>
        <b/>
        <i val="0"/>
        <color rgb="FF2E7D32"/>
      </font>
      <fill>
        <patternFill>
          <bgColor rgb="FFC6E0B4"/>
        </patternFill>
      </fill>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i val="0"/>
        <strike val="0"/>
        <outline val="0"/>
        <shadow val="0"/>
        <u val="none"/>
        <vertAlign val="baseline"/>
        <sz val="9"/>
        <color rgb="FFFFFFFF"/>
        <name val="Aptos Narrow"/>
        <family val="2"/>
        <scheme val="minor"/>
      </font>
      <fill>
        <patternFill patternType="solid">
          <fgColor indexed="64"/>
          <bgColor rgb="FF1F4E78"/>
        </patternFill>
      </fill>
      <alignment horizontal="center" vertical="center" textRotation="0" wrapText="1" indent="0" justifyLastLine="0" shrinkToFit="0" readingOrder="0"/>
    </dxf>
    <dxf>
      <font>
        <b val="0"/>
        <i val="0"/>
        <strike val="0"/>
        <outline val="0"/>
        <shadow val="0"/>
        <u val="none"/>
        <vertAlign val="baseline"/>
        <sz val="9"/>
        <color theme="1"/>
        <name val="Calibri"/>
        <family val="2"/>
        <scheme val="none"/>
      </font>
      <numFmt numFmtId="165" formatCode="yyyy/mm/dd"/>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numFmt numFmtId="165" formatCode="yyyy/mm/dd"/>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numFmt numFmtId="165" formatCode="yyyy/mm/dd"/>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numFmt numFmtId="30" formatCode="@"/>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numFmt numFmtId="30" formatCode="@"/>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numFmt numFmtId="30" formatCode="@"/>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numFmt numFmtId="30" formatCode="@"/>
      <alignment horizontal="general" vertical="top" textRotation="0" wrapText="1" indent="0" justifyLastLine="0" shrinkToFit="0" readingOrder="0"/>
    </dxf>
    <dxf>
      <font>
        <b/>
        <i val="0"/>
        <color rgb="FF9C0006"/>
      </font>
      <fill>
        <patternFill>
          <bgColor rgb="FFF4CCCC"/>
        </patternFill>
      </fill>
    </dxf>
    <dxf>
      <font>
        <b/>
        <i val="0"/>
        <color rgb="FF2E7D32"/>
      </font>
      <fill>
        <patternFill>
          <bgColor rgb="FFC6E0B4"/>
        </patternFill>
      </fill>
    </dxf>
    <dxf>
      <font>
        <b/>
        <i val="0"/>
        <color rgb="FF666666"/>
      </font>
      <fill>
        <patternFill>
          <bgColor rgb="FFE7E6E6"/>
        </patternFill>
      </fill>
    </dxf>
    <dxf>
      <font>
        <b/>
        <i val="0"/>
        <color rgb="FF666666"/>
      </font>
      <fill>
        <patternFill>
          <bgColor rgb="FFE7E6E6"/>
        </patternFill>
      </fill>
    </dxf>
    <dxf>
      <font>
        <b/>
        <i val="0"/>
        <color rgb="FF1F4E78"/>
      </font>
      <fill>
        <patternFill>
          <bgColor rgb="FFDDEBF7"/>
        </patternFill>
      </fill>
    </dxf>
    <dxf>
      <font>
        <b/>
        <i val="0"/>
        <color rgb="FFC65911"/>
      </font>
      <fill>
        <patternFill>
          <bgColor rgb="FFFCE4D6"/>
        </patternFill>
      </fill>
    </dxf>
    <dxf>
      <font>
        <b/>
        <i val="0"/>
        <color rgb="FF9C0006"/>
      </font>
      <fill>
        <patternFill>
          <bgColor rgb="FFF4CCCC"/>
        </patternFill>
      </fill>
    </dxf>
    <dxf>
      <font>
        <b/>
        <i val="0"/>
        <color rgb="FF2E7D32"/>
      </font>
      <fill>
        <patternFill>
          <bgColor rgb="FFC6E0B4"/>
        </patternFill>
      </fill>
    </dxf>
    <dxf>
      <font>
        <b/>
        <i val="0"/>
        <color rgb="FF9C0006"/>
      </font>
      <fill>
        <patternFill>
          <bgColor rgb="FFF4CCCC"/>
        </patternFill>
      </fill>
    </dxf>
    <dxf>
      <font>
        <b/>
        <i val="0"/>
        <color rgb="FF2E7D32"/>
      </font>
      <fill>
        <patternFill>
          <bgColor rgb="FFC6E0B4"/>
        </patternFill>
      </fill>
    </dxf>
    <dxf>
      <font>
        <b/>
        <i val="0"/>
        <color rgb="FF666666"/>
      </font>
      <fill>
        <patternFill>
          <bgColor rgb="FFE7E6E6"/>
        </patternFill>
      </fill>
    </dxf>
    <dxf>
      <font>
        <b/>
        <i val="0"/>
        <color rgb="FF666666"/>
      </font>
      <fill>
        <patternFill>
          <bgColor rgb="FFE7E6E6"/>
        </patternFill>
      </fill>
    </dxf>
    <dxf>
      <font>
        <b/>
        <i val="0"/>
        <color rgb="FF1F4E78"/>
      </font>
      <fill>
        <patternFill>
          <bgColor rgb="FFDDEBF7"/>
        </patternFill>
      </fill>
    </dxf>
    <dxf>
      <font>
        <b/>
        <i val="0"/>
        <color rgb="FFC65911"/>
      </font>
      <fill>
        <patternFill>
          <bgColor rgb="FFFCE4D6"/>
        </patternFill>
      </fill>
    </dxf>
    <dxf>
      <font>
        <b/>
        <i val="0"/>
        <color rgb="FF9C0006"/>
      </font>
      <fill>
        <patternFill>
          <bgColor rgb="FFF4CCCC"/>
        </patternFill>
      </fill>
    </dxf>
    <dxf>
      <font>
        <b/>
        <i val="0"/>
        <color rgb="FF2E7D32"/>
      </font>
      <fill>
        <patternFill>
          <bgColor rgb="FFC6E0B4"/>
        </patternFill>
      </fill>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i val="0"/>
        <strike val="0"/>
        <outline val="0"/>
        <shadow val="0"/>
        <u val="none"/>
        <vertAlign val="baseline"/>
        <sz val="9"/>
        <color rgb="FFFFFFFF"/>
        <name val="Aptos Narrow"/>
        <family val="2"/>
        <scheme val="minor"/>
      </font>
      <fill>
        <patternFill patternType="solid">
          <fgColor indexed="64"/>
          <bgColor rgb="FF1F4E78"/>
        </patternFill>
      </fill>
      <alignment horizontal="center" vertical="center" textRotation="0" wrapText="1" indent="0" justifyLastLine="0" shrinkToFit="0" readingOrder="0"/>
    </dxf>
    <dxf>
      <font>
        <b val="0"/>
        <i val="0"/>
        <strike val="0"/>
        <outline val="0"/>
        <shadow val="0"/>
        <u val="none"/>
        <vertAlign val="baseline"/>
        <sz val="9"/>
        <color theme="1"/>
        <name val="Calibri"/>
        <family val="2"/>
        <scheme val="none"/>
      </font>
      <numFmt numFmtId="164" formatCode="yyyy/mm/dd\ hh:mm"/>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numFmt numFmtId="30" formatCode="@"/>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i val="0"/>
        <color rgb="FF9C0006"/>
      </font>
      <fill>
        <patternFill>
          <bgColor rgb="FFF4CCCC"/>
        </patternFill>
      </fill>
    </dxf>
    <dxf>
      <font>
        <b/>
        <i val="0"/>
        <color rgb="FF2E7D32"/>
      </font>
      <fill>
        <patternFill>
          <bgColor rgb="FFC6E0B4"/>
        </patternFill>
      </fill>
    </dxf>
    <dxf>
      <font>
        <b/>
        <i val="0"/>
        <color rgb="FF666666"/>
      </font>
      <fill>
        <patternFill>
          <bgColor rgb="FFE7E6E6"/>
        </patternFill>
      </fill>
    </dxf>
    <dxf>
      <font>
        <b/>
        <i val="0"/>
        <color rgb="FF666666"/>
      </font>
      <fill>
        <patternFill>
          <bgColor rgb="FFE7E6E6"/>
        </patternFill>
      </fill>
    </dxf>
    <dxf>
      <font>
        <b/>
        <i val="0"/>
        <color rgb="FF1F4E78"/>
      </font>
      <fill>
        <patternFill>
          <bgColor rgb="FFDDEBF7"/>
        </patternFill>
      </fill>
    </dxf>
    <dxf>
      <font>
        <b/>
        <i val="0"/>
        <color rgb="FFC65911"/>
      </font>
      <fill>
        <patternFill>
          <bgColor rgb="FFFCE4D6"/>
        </patternFill>
      </fill>
    </dxf>
    <dxf>
      <font>
        <b/>
        <i val="0"/>
        <color rgb="FF9C0006"/>
      </font>
      <fill>
        <patternFill>
          <bgColor rgb="FFF4CCCC"/>
        </patternFill>
      </fill>
    </dxf>
    <dxf>
      <font>
        <b/>
        <i val="0"/>
        <color rgb="FF2E7D32"/>
      </font>
      <fill>
        <patternFill>
          <bgColor rgb="FFC6E0B4"/>
        </patternFill>
      </fill>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val="0"/>
        <i val="0"/>
        <strike val="0"/>
        <outline val="0"/>
        <shadow val="0"/>
        <u val="none"/>
        <vertAlign val="baseline"/>
        <sz val="9"/>
        <color theme="1"/>
        <name val="Calibri"/>
        <family val="2"/>
        <scheme val="none"/>
      </font>
      <alignment horizontal="general" vertical="top" textRotation="0" wrapText="1" indent="0" justifyLastLine="0" shrinkToFit="0" readingOrder="0"/>
    </dxf>
    <dxf>
      <font>
        <b/>
        <i val="0"/>
        <strike val="0"/>
        <outline val="0"/>
        <shadow val="0"/>
        <u val="none"/>
        <vertAlign val="baseline"/>
        <sz val="9"/>
        <color rgb="FFFFFFFF"/>
        <name val="Aptos Narrow"/>
        <family val="2"/>
        <scheme val="minor"/>
      </font>
      <fill>
        <patternFill patternType="solid">
          <fgColor indexed="64"/>
          <bgColor rgb="FF1F4E78"/>
        </patternFill>
      </fill>
      <alignment horizontal="center" vertical="center" textRotation="0" wrapText="1" indent="0" justifyLastLine="0" shrinkToFit="0" readingOrder="0"/>
    </dxf>
    <dxf>
      <font>
        <b/>
        <i val="0"/>
        <color rgb="FF9C0006"/>
      </font>
      <fill>
        <patternFill>
          <bgColor rgb="FFF4CCCC"/>
        </patternFill>
      </fill>
    </dxf>
    <dxf>
      <font>
        <b/>
        <i val="0"/>
        <color rgb="FF2E7D32"/>
      </font>
      <fill>
        <patternFill>
          <bgColor rgb="FFC6E0B4"/>
        </patternFill>
      </fill>
    </dxf>
    <dxf>
      <font>
        <b/>
        <i val="0"/>
        <color rgb="FF666666"/>
      </font>
      <fill>
        <patternFill>
          <bgColor rgb="FFE7E6E6"/>
        </patternFill>
      </fill>
    </dxf>
    <dxf>
      <font>
        <b/>
        <i val="0"/>
        <color rgb="FF666666"/>
      </font>
      <fill>
        <patternFill>
          <bgColor rgb="FFE7E6E6"/>
        </patternFill>
      </fill>
    </dxf>
    <dxf>
      <font>
        <b/>
        <i val="0"/>
        <color rgb="FF1F4E78"/>
      </font>
      <fill>
        <patternFill>
          <bgColor rgb="FFDDEBF7"/>
        </patternFill>
      </fill>
    </dxf>
    <dxf>
      <font>
        <b/>
        <i val="0"/>
        <color rgb="FFC65911"/>
      </font>
      <fill>
        <patternFill>
          <bgColor rgb="FFFCE4D6"/>
        </patternFill>
      </fill>
    </dxf>
    <dxf>
      <font>
        <b/>
        <i val="0"/>
        <color rgb="FF9C0006"/>
      </font>
      <fill>
        <patternFill>
          <bgColor rgb="FFF4CCCC"/>
        </patternFill>
      </fill>
    </dxf>
    <dxf>
      <font>
        <b/>
        <i val="0"/>
        <color rgb="FF2E7D32"/>
      </font>
      <fill>
        <patternFill>
          <bgColor rgb="FFC6E0B4"/>
        </patternFill>
      </fill>
    </dxf>
    <dxf>
      <font>
        <b/>
        <i val="0"/>
        <color rgb="FF9C0006"/>
      </font>
      <fill>
        <patternFill>
          <bgColor rgb="FFF4CCCC"/>
        </patternFill>
      </fill>
    </dxf>
    <dxf>
      <font>
        <b/>
        <i val="0"/>
        <color rgb="FF2E7D32"/>
      </font>
      <fill>
        <patternFill>
          <bgColor rgb="FFC6E0B4"/>
        </patternFill>
      </fill>
    </dxf>
    <dxf>
      <font>
        <b/>
        <i val="0"/>
        <color rgb="FF666666"/>
      </font>
      <fill>
        <patternFill>
          <bgColor rgb="FFE7E6E6"/>
        </patternFill>
      </fill>
    </dxf>
    <dxf>
      <font>
        <b/>
        <i val="0"/>
        <color rgb="FF666666"/>
      </font>
      <fill>
        <patternFill>
          <bgColor rgb="FFE7E6E6"/>
        </patternFill>
      </fill>
    </dxf>
    <dxf>
      <font>
        <b/>
        <i val="0"/>
        <color rgb="FF1F4E78"/>
      </font>
      <fill>
        <patternFill>
          <bgColor rgb="FFDDEBF7"/>
        </patternFill>
      </fill>
    </dxf>
    <dxf>
      <font>
        <b/>
        <i val="0"/>
        <color rgb="FFC65911"/>
      </font>
      <fill>
        <patternFill>
          <bgColor rgb="FFFCE4D6"/>
        </patternFill>
      </fill>
    </dxf>
    <dxf>
      <font>
        <b/>
        <i val="0"/>
        <color rgb="FF9C0006"/>
      </font>
      <fill>
        <patternFill>
          <bgColor rgb="FFF4CCCC"/>
        </patternFill>
      </fill>
    </dxf>
    <dxf>
      <font>
        <b/>
        <i val="0"/>
        <color rgb="FF2E7D32"/>
      </font>
      <fill>
        <patternFill>
          <bgColor rgb="FFC6E0B4"/>
        </patternFill>
      </fill>
    </dxf>
    <dxf>
      <font>
        <b/>
        <color rgb="FFFFFFFF"/>
      </font>
      <fill>
        <patternFill patternType="solid">
          <fgColor indexed="64"/>
          <bgColor rgb="FF1F4E78"/>
        </patternFill>
      </fill>
      <alignment horizontal="general" vertical="top" textRotation="0" wrapText="1" indent="0" justifyLastLine="0" shrinkToFit="0" readingOrder="0"/>
    </dxf>
    <dxf>
      <font>
        <b/>
        <color rgb="FFFFFFFF"/>
      </font>
      <fill>
        <patternFill patternType="solid">
          <fgColor indexed="64"/>
          <bgColor rgb="FF1F4E78"/>
        </patternFill>
      </fil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C1E6D73-8479-455D-BDE1-29E5B99AF9AD}" name="ActivityCoverageTable" displayName="ActivityCoverageTable" ref="A4:Z435" totalsRowShown="0" headerRowDxfId="43" dataDxfId="22">
  <autoFilter ref="A4:Z435" xr:uid="{EC1E6D73-8479-455D-BDE1-29E5B99AF9AD}"/>
  <tableColumns count="26">
    <tableColumn id="1" xr3:uid="{49E36FB7-E796-4363-A92E-4B8B6D6844C0}" name="Coverage ID" dataDxfId="42"/>
    <tableColumn id="2" xr3:uid="{D32FBFC5-D47B-4D70-B968-4F77CB5D3C7A}" name="Business Group" dataDxfId="13"/>
    <tableColumn id="3" xr3:uid="{BDA8E070-246E-4BAD-A8A5-7B8219AE927A}" name="Activity ID" dataDxfId="11"/>
    <tableColumn id="4" xr3:uid="{4D37C063-D776-4BD8-AC12-E16350A08790}" name="Activity Name" dataDxfId="12"/>
    <tableColumn id="5" xr3:uid="{4A6839D2-F167-42A3-9F27-689964C4A259}" name="Activity Type" dataDxfId="41"/>
    <tableColumn id="6" xr3:uid="{968A8EE9-AC8A-4352-9E14-11121015BE47}" name="Activity State" dataDxfId="40"/>
    <tableColumn id="7" xr3:uid="{9B110169-25EE-4CA4-8B5B-158C0A6E1579}" name="Business Criticality" dataDxfId="39"/>
    <tableColumn id="8" xr3:uid="{559CDA82-43A8-4C66-B059-E54E52A41197}" name="Reporting Source" dataDxfId="38"/>
    <tableColumn id="9" xr3:uid="{0543E809-AF6D-49BB-9123-1A96768EF757}" name="Experience Name" dataDxfId="37"/>
    <tableColumn id="10" xr3:uid="{67BC8234-4C2F-4247-B405-4F78E0342B93}" name="Audience IDs" dataDxfId="36"/>
    <tableColumn id="11" xr3:uid="{CA34DFC0-CB2D-45D8-AAC4-8CE53F2947E0}" name="Location Type" dataDxfId="35"/>
    <tableColumn id="12" xr3:uid="{18DB19E1-DD0C-4C4D-850D-C5CEAA5EA368}" name="Location Name" dataDxfId="10"/>
    <tableColumn id="13" xr3:uid="{47867037-AEA3-40F8-B04B-B870FC40DA36}" name="Offer ID" dataDxfId="8"/>
    <tableColumn id="14" xr3:uid="{6F996537-789C-4B14-B34D-DD29E0881C0F}" name="Offer Name" dataDxfId="9"/>
    <tableColumn id="15" xr3:uid="{46A9DF2D-CCD0-4327-A29F-C2C170AC772A}" name="SPA Dependency" dataDxfId="34"/>
    <tableColumn id="16" xr3:uid="{4578BE6A-8CD4-424E-92E8-7F7C4897D64C}" name="Custom Code" dataDxfId="33"/>
    <tableColumn id="17" xr3:uid="{D0DB8D37-9CFB-4435-8242-605AA383F719}" name="Profile Parameter Dependency" dataDxfId="32"/>
    <tableColumn id="18" xr3:uid="{8651AB4F-249C-4E65-9752-DECEA9FD9943}" name="Mbox Parameter Dependency" dataDxfId="31"/>
    <tableColumn id="19" xr3:uid="{A80AB0C3-3113-464A-8A6B-585A08AFC1BF}" name="Analytics Event Dependency" dataDxfId="30"/>
    <tableColumn id="20" xr3:uid="{529A67D1-02A8-48C9-B85C-C2D0E808E600}" name="Target Metric Dependency" dataDxfId="29"/>
    <tableColumn id="21" xr3:uid="{0DE13933-597C-43FF-ADFB-329253DA71A4}" name="Risk Rating" dataDxfId="28"/>
    <tableColumn id="22" xr3:uid="{2F402233-AD19-4508-AEB0-832508B003EA}" name="Selected for Detailed Testing" dataDxfId="27"/>
    <tableColumn id="23" xr3:uid="{F3AF20F6-3DAE-4450-A097-41DE44636891}" name="Selection Reason" dataDxfId="26"/>
    <tableColumn id="24" xr3:uid="{EEB9D441-AB3F-408C-83BD-3EC016672F4A}" name="Test Case IDs" dataDxfId="25"/>
    <tableColumn id="25" xr3:uid="{78C532CF-168C-4596-8C8A-5C93663D2E75}" name="Coverage Status" dataDxfId="24"/>
    <tableColumn id="26" xr3:uid="{5E433C6A-02A9-4E52-92CA-D10722CDE437}" name="Comments" dataDxf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25D4635-7BC2-44B7-A824-67FC5DCFCC2A}" name="TestCaseMasterTable" displayName="TestCaseMasterTable" ref="A4:AC77" totalsRowShown="0" headerRowDxfId="90" dataDxfId="71">
  <autoFilter ref="A4:AC77" xr:uid="{D25D4635-7BC2-44B7-A824-67FC5DCFCC2A}"/>
  <tableColumns count="29">
    <tableColumn id="1" xr3:uid="{4843098E-562F-4998-9DD4-653204E324BE}" name="Test Case ID" dataDxfId="53"/>
    <tableColumn id="2" xr3:uid="{5E2349DD-D98A-448F-873A-79E383ED20E2}" name="Test Scenario" dataDxfId="54"/>
    <tableColumn id="3" xr3:uid="{8F7060C0-3DC1-4F9E-9762-DD37D42F4879}" name="Test Category" dataDxfId="89"/>
    <tableColumn id="4" xr3:uid="{1100EA35-C8B2-419D-98AD-B1E467D585F0}" name="Business Group" dataDxfId="52"/>
    <tableColumn id="5" xr3:uid="{FE9ACE0A-4337-4407-8588-6A863B5DF0FB}" name="Activity ID" dataDxfId="50"/>
    <tableColumn id="6" xr3:uid="{1B8B5765-1588-4CC0-9324-F27E3FF70235}" name="Activity Name" dataDxfId="51"/>
    <tableColumn id="7" xr3:uid="{C554B957-A71B-4392-B31D-9E68AB86C720}" name="Experience" dataDxfId="88"/>
    <tableColumn id="8" xr3:uid="{84EE60DE-ECBD-4160-A0BB-B29BD6ECC7D0}" name="Reporting Source" dataDxfId="87"/>
    <tableColumn id="9" xr3:uid="{EE95152F-338A-4F8A-B821-44F831164518}" name="Environment" dataDxfId="86"/>
    <tableColumn id="10" xr3:uid="{59731B1F-3FA3-480C-9A7B-0B1541F9DB1B}" name="Page/Route" dataDxfId="85"/>
    <tableColumn id="11" xr3:uid="{F5FF3C9D-973C-40BD-93E7-46B512800759}" name="Preconditions" dataDxfId="84"/>
    <tableColumn id="12" xr3:uid="{39BD68B6-E4A3-4963-9BAD-7FCF22241588}" name="Test Data" dataDxfId="83"/>
    <tableColumn id="13" xr3:uid="{906F9F2D-B75D-4245-A278-0AECDD2A1E30}" name="Execution Steps" dataDxfId="82"/>
    <tableColumn id="14" xr3:uid="{A02FF3C6-C503-4A21-AE67-80E7894D38BE}" name="Expected Target Request" dataDxfId="81"/>
    <tableColumn id="15" xr3:uid="{8D21216F-C7C3-4DFE-B12D-9076A29B7E41}" name="Expected Parameters" dataDxfId="80"/>
    <tableColumn id="16" xr3:uid="{E308A904-1FF7-48E0-914A-0A482F2A36EB}" name="Expected Audience Result" dataDxfId="79"/>
    <tableColumn id="17" xr3:uid="{ADFFAD0B-31B2-4141-9A56-374CD3255058}" name="Expected Proposition" dataDxfId="78"/>
    <tableColumn id="18" xr3:uid="{E7FC5B86-81DB-4F11-A9DF-CC3268DC8B24}" name="Expected Rendering" dataDxfId="77"/>
    <tableColumn id="19" xr3:uid="{93F466FA-ABBD-40FA-80E4-3A0AE799F7E1}" name="Expected Reporting" dataDxfId="76"/>
    <tableColumn id="20" xr3:uid="{3C7B1F5F-FFA8-46B0-9396-21AFFE6841E7}" name="Actual Result" dataDxfId="75"/>
    <tableColumn id="21" xr3:uid="{CB419B79-5179-4599-A32C-80363D0075C8}" name="Status" dataDxfId="74"/>
    <tableColumn id="22" xr3:uid="{A3553CC1-99BC-4405-A04E-475F9139D798}" name="Severity if Failed" dataDxfId="49"/>
    <tableColumn id="23" xr3:uid="{DF8B597E-0EC0-4900-91C5-8D8392AEEB69}" name="Defect ID" dataDxfId="47"/>
    <tableColumn id="24" xr3:uid="{14605FB1-AD6A-4D32-B16C-8695CF5DA55B}" name="Evidence Link" dataDxfId="48"/>
    <tableColumn id="25" xr3:uid="{06B344FA-5C06-4C71-A227-4370F56D6423}" name="Tester" dataDxfId="46"/>
    <tableColumn id="26" xr3:uid="{2E21803D-27AE-441E-B2F5-F24F0CB7CAC3}" name="Execution Date" dataDxfId="44"/>
    <tableColumn id="27" xr3:uid="{778DE37E-8C8D-4782-86BF-6B1A7D89BE5E}" name="Retest Status" dataDxfId="45"/>
    <tableColumn id="28" xr3:uid="{75381759-369F-4B73-A557-104B01E2553D}" name="Approver" dataDxfId="73"/>
    <tableColumn id="29" xr3:uid="{BEE2517A-4402-4611-AAEB-0C6A14171BB8}" name="Comments" dataDxfId="7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7525033-203C-419C-B46C-5741D58FB18F}" name="ParameterMappingTable" displayName="ParameterMappingTable" ref="A4:V108" totalsRowShown="0" headerRowDxfId="122" dataDxfId="102">
  <autoFilter ref="A4:V108" xr:uid="{C7525033-203C-419C-B46C-5741D58FB18F}"/>
  <tableColumns count="22">
    <tableColumn id="1" xr3:uid="{3DA08CCD-D60F-442E-8602-E374BEABC1DE}" name="Mapping ID" dataDxfId="121"/>
    <tableColumn id="2" xr3:uid="{498744BE-589D-4B0B-922F-4581C2D13BBB}" name="Business Group" dataDxfId="93"/>
    <tableColumn id="3" xr3:uid="{8709E23F-99CA-40EA-8873-C928D5D897CB}" name="Activity ID" dataDxfId="91"/>
    <tableColumn id="4" xr3:uid="{8B8EF927-E3C8-41C8-A91C-204160C75F80}" name="Activity Name" dataDxfId="92"/>
    <tableColumn id="5" xr3:uid="{FE2FEC9B-BC40-41C3-A2E7-CA6A34B7B93B}" name="Page/Route" dataDxfId="120"/>
    <tableColumn id="6" xr3:uid="{1CD1273E-D229-42EC-A4BE-2A3D81894DDA}" name="Parameter Type" dataDxfId="119"/>
    <tableColumn id="7" xr3:uid="{B6EDE72F-4C56-48F1-BA53-EF292E7147D8}" name="Parameter Name" dataDxfId="118"/>
    <tableColumn id="8" xr3:uid="{2E0600D1-1E8E-4A31-A3C2-62853CF7BF95}" name="Legacy Source" dataDxfId="117"/>
    <tableColumn id="9" xr3:uid="{F8BEBDF0-8509-4A50-8727-57B6AEF0D50E}" name="Future Data Layer Source" dataDxfId="116"/>
    <tableColumn id="10" xr3:uid="{60852F87-17D7-48DF-9CED-F56926E7FDA7}" name="Expected Web SDK Location" dataDxfId="115"/>
    <tableColumn id="11" xr3:uid="{BDB7F1A2-9296-4CD3-9785-FDBDF70729CF}" name="Expected Data Type" dataDxfId="114"/>
    <tableColumn id="12" xr3:uid="{D81A7705-B685-4829-B627-572FD564764F}" name="Expected Value Example" dataDxfId="113"/>
    <tableColumn id="13" xr3:uid="{0251A75A-2250-4EF5-9280-40AA7E4FF9A3}" name="Required for Audience" dataDxfId="112"/>
    <tableColumn id="14" xr3:uid="{38697AA8-790B-44AF-8BA0-94F1F4A6D7DB}" name="Required for Rendering" dataDxfId="111"/>
    <tableColumn id="15" xr3:uid="{F7433ADD-6605-4CFD-9822-7E429BD3BF27}" name="Required for Reporting" dataDxfId="110"/>
    <tableColumn id="16" xr3:uid="{B913B310-2A69-4B36-91EB-F1EDAF44FC4C}" name="Availability Timing" dataDxfId="109"/>
    <tableColumn id="17" xr3:uid="{CA6CDF7F-9F43-4228-8B7A-D6E6D29C34F8}" name="Actual Request Value" dataDxfId="108"/>
    <tableColumn id="18" xr3:uid="{39926EBF-E494-431F-B26A-2C50C651FBF8}" name="Legacy vs Web SDK Match" dataDxfId="107"/>
    <tableColumn id="19" xr3:uid="{72EADDF4-0461-40DA-A7E2-0771862774A9}" name="Status" dataDxfId="106"/>
    <tableColumn id="20" xr3:uid="{DC93C80E-A80C-4B25-8899-AD1C9F8E5B09}" name="Evidence" dataDxfId="105"/>
    <tableColumn id="21" xr3:uid="{C4FEB5AD-AE7C-45C6-8A89-E599088E7330}" name="Owner" dataDxfId="104"/>
    <tableColumn id="22" xr3:uid="{E652A232-9E8B-4C5C-8D59-61385D16A036}" name="Comments" dataDxfId="10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F4BE202-069C-4688-BA0E-26CA1DBCC3A5}" name="AudienceProfileTable" displayName="AudienceProfileTable" ref="A4:T117" totalsRowShown="0" headerRowDxfId="152" dataDxfId="136">
  <autoFilter ref="A4:T117" xr:uid="{5F4BE202-069C-4688-BA0E-26CA1DBCC3A5}"/>
  <tableColumns count="20">
    <tableColumn id="1" xr3:uid="{765DF8B6-DCE7-4271-B3AD-D3FA23954C55}" name="Validation ID" dataDxfId="127"/>
    <tableColumn id="2" xr3:uid="{38E74EE4-3B13-4257-9E82-80067E21AACC}" name="Activity ID" dataDxfId="126"/>
    <tableColumn id="3" xr3:uid="{52D5BF9F-49B0-4FEB-A483-5EEADF558DB1}" name="Activity Name" dataDxfId="125"/>
    <tableColumn id="4" xr3:uid="{5BECE526-464A-4796-852C-383E70BC5113}" name="Audience ID" dataDxfId="123"/>
    <tableColumn id="5" xr3:uid="{30BE5F54-E549-40D8-BC85-4E480957A663}" name="Audience Name" dataDxfId="124"/>
    <tableColumn id="6" xr3:uid="{A53916BF-8612-47A1-BAB0-57BCE0310708}" name="Audience Level" dataDxfId="151"/>
    <tableColumn id="7" xr3:uid="{CB5582C7-CF41-4C52-AB98-D3886FC5F954}" name="Rule/Condition" dataDxfId="150"/>
    <tableColumn id="8" xr3:uid="{59056E8E-712B-4348-BB4C-1622B5CECB2B}" name="Source Parameter" dataDxfId="149"/>
    <tableColumn id="9" xr3:uid="{0A30F065-7653-4C17-B67C-6DEF60BED9D0}" name="Match Operator" dataDxfId="148"/>
    <tableColumn id="10" xr3:uid="{5EAEC884-CCC8-4EAB-BF01-19E9234EDB72}" name="Expected Value" dataDxfId="147"/>
    <tableColumn id="11" xr3:uid="{7720AEC5-B4F6-439E-9842-524515F4476C}" name="Profile Script Dependency" dataDxfId="146"/>
    <tableColumn id="12" xr3:uid="{9F6EC0B4-3DC1-4A2C-B9A3-6972ED163AE5}" name="Positive Test Data" dataDxfId="145"/>
    <tableColumn id="13" xr3:uid="{273DA10B-993C-4157-8483-33C1443F1DA2}" name="Negative Test Data" dataDxfId="144"/>
    <tableColumn id="14" xr3:uid="{CEBCF89A-072B-4935-935E-539321EDED74}" name="Expected Positive Result" dataDxfId="143"/>
    <tableColumn id="15" xr3:uid="{E2A425D1-1C71-41CD-97B8-5EDC2D228D07}" name="Expected Negative Result" dataDxfId="142"/>
    <tableColumn id="16" xr3:uid="{EFD15BB5-BB86-4A61-8843-7777BFB2319B}" name="Actual Positive Result" dataDxfId="141"/>
    <tableColumn id="17" xr3:uid="{1479DD2A-56B0-4547-867E-A14263F9022D}" name="Actual Negative Result" dataDxfId="140"/>
    <tableColumn id="18" xr3:uid="{BA7F9ECF-3FDE-4D7A-BE5E-D140EE17578E}" name="Status" dataDxfId="139"/>
    <tableColumn id="19" xr3:uid="{CB4F66B7-4521-498C-A64E-D7ACEC985035}" name="Evidence" dataDxfId="138"/>
    <tableColumn id="20" xr3:uid="{B9F07A60-D567-4907-8F23-2DA9ADEEE537}" name="Comments"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17B5A4-B3E0-4D1E-8449-4A0ED228A2EF}" name="RenderingSPATable" displayName="RenderingSPATable" ref="A4:U245" totalsRowShown="0" headerRowDxfId="183" dataDxfId="164">
  <autoFilter ref="A4:U245" xr:uid="{2417B5A4-B3E0-4D1E-8449-4A0ED228A2EF}"/>
  <tableColumns count="21">
    <tableColumn id="1" xr3:uid="{09D63939-0D2A-40FD-8B50-8B515509F3FB}" name="Validation ID" dataDxfId="155"/>
    <tableColumn id="2" xr3:uid="{00FA9FCB-09FF-402C-ACEB-E365B482BA1C}" name="Activity ID" dataDxfId="153"/>
    <tableColumn id="3" xr3:uid="{85482586-1284-4198-A0C8-804133FA9C09}" name="Activity Name" dataDxfId="154"/>
    <tableColumn id="4" xr3:uid="{C610BF4A-C2C2-483D-B08F-0A701A207E91}" name="Page/Route" dataDxfId="182"/>
    <tableColumn id="5" xr3:uid="{2D395B97-3E57-46C7-A4FD-6618A3C676D3}" name="Initial Load or Route Change" dataDxfId="181"/>
    <tableColumn id="6" xr3:uid="{23C1A072-AA62-439D-9E27-80A764C91937}" name="Location Type" dataDxfId="180"/>
    <tableColumn id="7" xr3:uid="{1A479E7D-FA79-42D7-B62C-9E2759BA82BA}" name="Mbox/Scope/Selector" dataDxfId="179"/>
    <tableColumn id="8" xr3:uid="{2635B406-F130-4568-85E8-2F078BD944AB}" name="Skeleton Container" dataDxfId="178"/>
    <tableColumn id="9" xr3:uid="{4D92F347-501B-4FEE-9AB1-AB13C73C105B}" name="Expected Offer" dataDxfId="177"/>
    <tableColumn id="10" xr3:uid="{26DFCB5D-EE16-45E2-A140-F79B1FAAE145}" name="Expected Render Timing" dataDxfId="176"/>
    <tableColumn id="11" xr3:uid="{42B90B65-A24C-4A1F-A165-5708A46800F4}" name="Pre-Hiding Method" dataDxfId="175"/>
    <tableColumn id="12" xr3:uid="{3E7BE215-072C-4E65-AF12-7758CFEB05F6}" name="Competing Activities" dataDxfId="174"/>
    <tableColumn id="13" xr3:uid="{58A839C6-46E6-4208-A298-DDCD635E9CA4}" name="Priority Expectation" dataDxfId="173"/>
    <tableColumn id="14" xr3:uid="{97C01B3D-39F1-4ECE-A9CE-77CE411FE8F4}" name="Flicker Observed" dataDxfId="172"/>
    <tableColumn id="15" xr3:uid="{23A48EA7-7DF6-4577-8984-2CA83EE2EC8E}" name="Duplicate Render Observed" dataDxfId="171"/>
    <tableColumn id="16" xr3:uid="{9F9EFF03-3215-463D-A6BC-D00EF380D6EC}" name="Layout Shift Observed" dataDxfId="170"/>
    <tableColumn id="17" xr3:uid="{3D56C25E-44AC-4D14-B644-73AFA5B130BD}" name="JavaScript Error" dataDxfId="169"/>
    <tableColumn id="18" xr3:uid="{3704DC5B-007A-4FE6-90E0-4027AA815AC6}" name="Actual Behaviour" dataDxfId="168"/>
    <tableColumn id="19" xr3:uid="{F30AC101-42A6-47FE-ABFE-DB3C700661C9}" name="Status" dataDxfId="167"/>
    <tableColumn id="20" xr3:uid="{CFA610C8-2A83-4F64-B312-4DA136E9E2A5}" name="Evidence" dataDxfId="166"/>
    <tableColumn id="21" xr3:uid="{24F9B9BB-9F74-47AC-ADFB-2CEC5B983C87}" name="Comments" dataDxfId="16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539A9BD-0DE5-47CC-B136-94CE434CAB34}" name="ReportingA4TTable" displayName="ReportingA4TTable" ref="A4:Y110" totalsRowShown="0" headerRowDxfId="218" dataDxfId="195">
  <autoFilter ref="A4:Y110" xr:uid="{E539A9BD-0DE5-47CC-B136-94CE434CAB34}"/>
  <tableColumns count="25">
    <tableColumn id="1" xr3:uid="{6F38A253-202A-4C0B-838F-243C3B185E0B}" name="Validation ID" dataDxfId="186"/>
    <tableColumn id="2" xr3:uid="{42CBA18D-1EAE-4BA8-9413-742D445A225A}" name="Activity ID" dataDxfId="184"/>
    <tableColumn id="3" xr3:uid="{8EBB579B-21E5-41E9-9888-972CDA57A357}" name="Activity Name" dataDxfId="185"/>
    <tableColumn id="4" xr3:uid="{72D32B67-0E16-4CCD-AE02-18134450580A}" name="Reporting Source" dataDxfId="217"/>
    <tableColumn id="5" xr3:uid="{79A340B5-1111-4276-A957-0812EC8B344E}" name="Metric Name" dataDxfId="216"/>
    <tableColumn id="6" xr3:uid="{55F08A88-26E6-4C06-895B-DF04D244CF55}" name="Conversion" dataDxfId="215"/>
    <tableColumn id="7" xr3:uid="{A2D1D861-C7CD-4E98-B352-86398B74C868}" name="Action Type" dataDxfId="214"/>
    <tableColumn id="8" xr3:uid="{CFCD4244-E949-465C-AD2D-514CC7E0A51A}" name="Analytics Company" dataDxfId="213"/>
    <tableColumn id="9" xr3:uid="{97B79FC4-2846-45AA-9AD2-02FC81D4141F}" name="Analytics Report Suite" dataDxfId="212"/>
    <tableColumn id="10" xr3:uid="{63501977-B67F-43C8-A53A-C0F4439EC3C8}" name="Analytics Event" dataDxfId="211"/>
    <tableColumn id="11" xr3:uid="{3E29315E-F4F7-4750-8A78-DC865FD8D4F9}" name="Target Metric Location Type" dataDxfId="210"/>
    <tableColumn id="12" xr3:uid="{9549A2D6-D145-4012-822C-29722F1C8CE5}" name="Target Metric Location" dataDxfId="209"/>
    <tableColumn id="13" xr3:uid="{4390016B-11AF-4C79-B11E-798D787A0EA7}" name="Target Success Event" dataDxfId="208"/>
    <tableColumn id="14" xr3:uid="{2ED9BE05-7EA7-4230-8CE2-AA6CAB33527D}" name="Click Selector" dataDxfId="207"/>
    <tableColumn id="15" xr3:uid="{0F7A2ADD-425D-4EED-BF54-524196C7736F}" name="Impression Trigger" dataDxfId="206"/>
    <tableColumn id="16" xr3:uid="{E9071842-6FF5-40B0-B03E-F3A21508F1AA}" name="Interaction Trigger" dataDxfId="205"/>
    <tableColumn id="17" xr3:uid="{1F2D2B3B-B8D9-450C-ABFE-C6FDBC5E3611}" name="Conversion Trigger" dataDxfId="204"/>
    <tableColumn id="18" xr3:uid="{FF75A881-C957-46CF-9AEA-C951B73EE3F7}" name="Expected Call Timing" dataDxfId="203"/>
    <tableColumn id="19" xr3:uid="{D4290D88-33E5-4482-92EE-606E0F8BC077}" name="Expected Request" dataDxfId="202"/>
    <tableColumn id="20" xr3:uid="{828EC446-EE99-4325-A0DE-F1EEE5E628CA}" name="Actual Request" dataDxfId="201"/>
    <tableColumn id="21" xr3:uid="{8FA718EE-660B-4D07-B795-009362742309}" name="Duplicate Call" dataDxfId="200"/>
    <tableColumn id="22" xr3:uid="{E2F67DCA-0F0B-46A6-B930-C822A2BEA2BF}" name="Reporting Confirmed" dataDxfId="199"/>
    <tableColumn id="23" xr3:uid="{764A88AE-33B7-4ADD-9932-1CAB20993A05}" name="Status" dataDxfId="198"/>
    <tableColumn id="24" xr3:uid="{149E7A88-D38B-46B8-9798-FC3DC79E14DE}" name="Evidence" dataDxfId="197"/>
    <tableColumn id="25" xr3:uid="{D885C61E-4E77-477C-900C-449C654A3183}" name="Comments" dataDxfId="19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2BC945-7ECC-469A-9EE2-78A4F64DE687}" name="ConsentIdentityTable" displayName="ConsentIdentityTable" ref="A4:O15" totalsRowShown="0" headerRowDxfId="243" dataDxfId="227">
  <autoFilter ref="A4:O15" xr:uid="{9D2BC945-7ECC-469A-9EE2-78A4F64DE687}"/>
  <tableColumns count="15">
    <tableColumn id="1" xr3:uid="{FD13CAEE-18A2-4538-928D-0144CBE97231}" name="Validation ID" dataDxfId="242"/>
    <tableColumn id="2" xr3:uid="{E62544E5-3D15-4A17-8D31-5E7417DC83B4}" name="Test Scenario" dataDxfId="241"/>
    <tableColumn id="3" xr3:uid="{4BC4AE35-C028-4B23-A716-38169F0534D2}" name="Consent State" dataDxfId="240"/>
    <tableColumn id="4" xr3:uid="{36FAD75F-DD05-4493-B803-BCEE4FDFCEE0}" name="Active Consent Groups" dataDxfId="239"/>
    <tableColumn id="5" xr3:uid="{F5AD1B64-426E-415C-92E6-2A0E2B832099}" name="User State" dataDxfId="238"/>
    <tableColumn id="6" xr3:uid="{898798D8-D132-48A4-A54B-720B00E04C8D}" name="ECID Available" dataDxfId="237"/>
    <tableColumn id="7" xr3:uid="{6DD73C5B-B2A5-484B-9A29-B80B7156ED66}" name="Customer ID Available" dataDxfId="236"/>
    <tableColumn id="8" xr3:uid="{0D4F2704-9F08-4B80-8ABE-5FA3D6875EAE}" name="IDP/OKTA Available" dataDxfId="235"/>
    <tableColumn id="9" xr3:uid="{18E0AC9D-3EB8-4EDD-95CA-8F14FABCA186}" name="Expected Target Behaviour" dataDxfId="234"/>
    <tableColumn id="10" xr3:uid="{046225D0-2BD7-4FB8-909C-AB6BFE78C410}" name="Expected Analytics Behaviour" dataDxfId="233"/>
    <tableColumn id="11" xr3:uid="{B32C627E-98C5-44E8-B4FC-9A787F8C5489}" name="Expected Web SDK Call" dataDxfId="232"/>
    <tableColumn id="12" xr3:uid="{41BA6663-2566-496D-A4ED-3233D6201EAD}" name="Actual Behaviour" dataDxfId="231"/>
    <tableColumn id="13" xr3:uid="{09688478-A5C0-4349-BE88-5C9253FD0B53}" name="Status" dataDxfId="230"/>
    <tableColumn id="14" xr3:uid="{5875BE96-3E33-4991-9512-C45DC2E93855}" name="Evidence" dataDxfId="229"/>
    <tableColumn id="15" xr3:uid="{F7E97F4B-D031-438E-9E84-A84BA5052F6A}" name="Comments" dataDxfId="2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AC2537-6096-42E9-AF25-404E24E500AF}" name="BrowserRegressionTable" displayName="BrowserRegressionTable" ref="A4:P16" totalsRowShown="0" headerRowDxfId="301" dataDxfId="287">
  <autoFilter ref="A4:P16" xr:uid="{75AC2537-6096-42E9-AF25-404E24E500AF}"/>
  <tableColumns count="16">
    <tableColumn id="1" xr3:uid="{28875C60-6668-422F-863C-399989429302}" name="Validation ID" dataDxfId="246"/>
    <tableColumn id="2" xr3:uid="{F7E4487C-E6C0-49DC-BF5B-6610A6985CE2}" name="Activity ID" dataDxfId="244"/>
    <tableColumn id="3" xr3:uid="{380F930A-F3C8-42F5-8C3D-45E526D4AB94}" name="Test Scenario" dataDxfId="245"/>
    <tableColumn id="4" xr3:uid="{B326120E-A48D-47DB-B2F2-797899528868}" name="Browser" dataDxfId="300"/>
    <tableColumn id="5" xr3:uid="{D9F1E1DB-8BC7-415B-8274-E379DE11F527}" name="Browser Version" dataDxfId="299"/>
    <tableColumn id="6" xr3:uid="{5456FD3B-5A31-43B6-80AA-C45CDC111890}" name="Device Type" dataDxfId="298"/>
    <tableColumn id="7" xr3:uid="{83D2B98B-41EC-4806-9BEB-12E06CC6124A}" name="Operating System" dataDxfId="297"/>
    <tableColumn id="8" xr3:uid="{4EA1DC65-206F-4627-AB5B-CF546468C9CB}" name="Screen/Viewport" dataDxfId="296"/>
    <tableColumn id="9" xr3:uid="{B4BDD9AE-238F-4534-8436-CFF675178E9D}" name="Environment" dataDxfId="295"/>
    <tableColumn id="10" xr3:uid="{B82C6B98-98B1-43C4-B100-A048B5E89005}" name="Rendering Status" dataDxfId="294"/>
    <tableColumn id="11" xr3:uid="{BCDF4728-C4A6-481C-B24A-0E65D5566C21}" name="Tracking Status" dataDxfId="293"/>
    <tableColumn id="12" xr3:uid="{1F1A4AC5-DD56-4C43-83BA-50539749C901}" name="Performance Status" dataDxfId="292"/>
    <tableColumn id="13" xr3:uid="{EFC96F0A-E895-48C4-BD17-29D688C45D77}" name="Regression Status" dataDxfId="291"/>
    <tableColumn id="14" xr3:uid="{48D3AF7F-E70D-4888-B557-BFCF57CE676D}" name="Overall Status" dataDxfId="290"/>
    <tableColumn id="15" xr3:uid="{60128441-8190-4E4D-98C8-E1A9BAA85C9F}" name="Evidence" dataDxfId="289"/>
    <tableColumn id="16" xr3:uid="{359A0FA7-DFE6-4911-A65C-7304C1939667}" name="Comments" dataDxfId="28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3923E8-7F5B-4737-887C-94F0086547DA}" name="EvidenceDefectTable" displayName="EvidenceDefectTable" ref="A4:S5" totalsRowShown="0" headerRowDxfId="338" dataDxfId="329">
  <autoFilter ref="A4:S5" xr:uid="{BF3923E8-7F5B-4737-887C-94F0086547DA}"/>
  <tableColumns count="19">
    <tableColumn id="1" xr3:uid="{F0080CE3-7766-4C8C-B273-8BA6CAA2DDC1}" name="Record ID" dataDxfId="312"/>
    <tableColumn id="2" xr3:uid="{CCA4FC8E-74AD-4BF4-A6E1-7659F5348AA4}" name="Test Case ID" dataDxfId="311"/>
    <tableColumn id="3" xr3:uid="{A9550883-554A-49BA-A233-4BE586164F41}" name="Activity ID" dataDxfId="310"/>
    <tableColumn id="4" xr3:uid="{300127CE-7ADA-4FDE-A88B-577C205E855B}" name="Defect ID" dataDxfId="308"/>
    <tableColumn id="5" xr3:uid="{A819A920-8093-4313-9A8F-3CEE48FA9342}" name="Issue Summary" dataDxfId="309"/>
    <tableColumn id="6" xr3:uid="{2BCDA547-CC0B-4CC5-BAFA-CC4BB6FBC1A6}" name="Expected Result" dataDxfId="337"/>
    <tableColumn id="7" xr3:uid="{7B1822C1-A2E3-427D-8C08-2C8A119AC031}" name="Actual Result" dataDxfId="336"/>
    <tableColumn id="8" xr3:uid="{3682CD71-B468-4CF9-A320-AEE10D8FAFB0}" name="Severity" dataDxfId="335"/>
    <tableColumn id="9" xr3:uid="{BBB3F355-E8FF-4A34-9008-CFB64ACCD269}" name="Priority" dataDxfId="334"/>
    <tableColumn id="10" xr3:uid="{75059307-14EF-4F13-A386-98E57A9170FC}" name="Environment" dataDxfId="333"/>
    <tableColumn id="11" xr3:uid="{8D6F9B43-0D4C-41C7-9D19-33548367E9E6}" name="Browser" dataDxfId="332"/>
    <tableColumn id="12" xr3:uid="{FA228F83-91F9-4362-BA2F-CD01AEDFB8B8}" name="Evidence Link" dataDxfId="331"/>
    <tableColumn id="13" xr3:uid="{ACCF727B-23FB-4523-AFB9-5A7E36A199CD}" name="Owner" dataDxfId="330"/>
    <tableColumn id="14" xr3:uid="{4924E314-4036-4044-9488-8F859012E962}" name="Status" dataDxfId="307"/>
    <tableColumn id="15" xr3:uid="{7631EB17-D393-405A-8821-1E0707606D87}" name="Raised Date" dataDxfId="306"/>
    <tableColumn id="16" xr3:uid="{1547C42E-BE9E-404A-915C-6639885D3A04}" name="Retest Date" dataDxfId="305"/>
    <tableColumn id="17" xr3:uid="{02A297A3-AD7C-45A5-B996-1E3CA7C4AFA2}" name="Retest Result" dataDxfId="304"/>
    <tableColumn id="18" xr3:uid="{1AEBFB0D-2BDE-45C2-AD15-3C7826EB74B5}" name="Closure Date" dataDxfId="302"/>
    <tableColumn id="19" xr3:uid="{E909AD95-904B-4CDD-A32B-A9BBEA229D66}" name="Comments" dataDxfId="30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D4A5A3-B848-4410-9792-438639A69EAA}" name="ProductionSmokeTable" displayName="ProductionSmokeTable" ref="A4:T47" totalsRowShown="0" headerRowDxfId="368" dataDxfId="353">
  <autoFilter ref="A4:T47" xr:uid="{FFD4A5A3-B848-4410-9792-438639A69EAA}"/>
  <tableColumns count="20">
    <tableColumn id="1" xr3:uid="{D075189E-D93C-44C8-9022-9CCF821C62A4}" name="Smoke Test ID" dataDxfId="344"/>
    <tableColumn id="2" xr3:uid="{F9066743-BA4D-4DEB-8A69-E34FCDEC876D}" name="Activity ID" dataDxfId="342"/>
    <tableColumn id="3" xr3:uid="{D3577A93-55D9-4BA0-80B8-F8765872902D}" name="Activity Name" dataDxfId="343"/>
    <tableColumn id="4" xr3:uid="{2AF39D73-496B-4072-9E72-29034678AE49}" name="Business Group" dataDxfId="367"/>
    <tableColumn id="5" xr3:uid="{70C40740-0754-4241-AD32-6EEB4BBFA322}" name="Production URL" dataDxfId="341"/>
    <tableColumn id="6" xr3:uid="{AB32B4D8-B157-428C-9A6B-FCAF21562F4C}" name="Release Date/Time" dataDxfId="339"/>
    <tableColumn id="7" xr3:uid="{C5A9E274-641A-4CDF-8350-B354C73F05E1}" name="Target Request Confirmed" dataDxfId="340"/>
    <tableColumn id="8" xr3:uid="{52224EAF-8168-4827-BEF2-CF944DD5208D}" name="Parameters Confirmed" dataDxfId="366"/>
    <tableColumn id="9" xr3:uid="{8613F60B-6804-4576-8DFE-BB46A8F7FAC1}" name="Audience Confirmed" dataDxfId="365"/>
    <tableColumn id="10" xr3:uid="{52308D24-4011-4FD9-88F5-64CBE7D0E96A}" name="Proposition Confirmed" dataDxfId="364"/>
    <tableColumn id="11" xr3:uid="{B0DBFD57-F028-4A61-BB5B-0A2288F67747}" name="Rendering Confirmed" dataDxfId="363"/>
    <tableColumn id="12" xr3:uid="{F88A4D0E-84E1-40AA-A1BB-7231CF713214}" name="Impression Confirmed" dataDxfId="362"/>
    <tableColumn id="13" xr3:uid="{A08D0D29-9A6A-4654-B62C-55C03D91C54A}" name="Interaction Confirmed" dataDxfId="361"/>
    <tableColumn id="14" xr3:uid="{AE208F53-4071-4970-83E7-6DEF855EBD9F}" name="Reporting Confirmed" dataDxfId="360"/>
    <tableColumn id="15" xr3:uid="{247F82F0-345F-423E-893D-101B827F8272}" name="JavaScript Errors" dataDxfId="359"/>
    <tableColumn id="16" xr3:uid="{B6FBF760-B536-44D7-8114-2331342C6195}" name="Duplicate Calls" dataDxfId="358"/>
    <tableColumn id="17" xr3:uid="{26082F41-460F-4633-8284-8C6321C5C790}" name="Status" dataDxfId="357"/>
    <tableColumn id="18" xr3:uid="{58490E05-18D9-4461-8535-21421529391A}" name="Evidence" dataDxfId="356"/>
    <tableColumn id="19" xr3:uid="{0D1D8E1E-644F-4299-92A8-612C34263036}" name="Monitoring Owner" dataDxfId="355"/>
    <tableColumn id="20" xr3:uid="{F7483BCD-57C0-4FA7-875A-19908ABEBABD}" name="Comments" dataDxfId="35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050214-B4B3-4012-B969-261C8FE3AB36}" name="SignOffTable" displayName="SignOffTable" ref="A5:E12" totalsRowShown="0" headerRowDxfId="386" dataDxfId="397">
  <autoFilter ref="A5:E12" xr:uid="{C1050214-B4B3-4012-B969-261C8FE3AB36}"/>
  <tableColumns count="5">
    <tableColumn id="1" xr3:uid="{0E4DE55F-5C3F-4364-91B5-944ED7952914}" name="Role" dataDxfId="402"/>
    <tableColumn id="2" xr3:uid="{B88832F6-4E98-4C2B-A4A2-AFE43C27EA51}" name="Name" dataDxfId="401"/>
    <tableColumn id="3" xr3:uid="{A87E3D43-E9D8-45EE-A0E0-DA49C19FB64A}" name="Approval Status" dataDxfId="400"/>
    <tableColumn id="4" xr3:uid="{3EE9C3CE-056D-4717-BFD1-79BFC6E75A0A}" name="Approval Date" dataDxfId="399"/>
    <tableColumn id="5" xr3:uid="{D52F7629-7345-415D-8AF8-43BF539670C4}" name="Comments" dataDxfId="398"/>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32157E-29E1-4D41-A333-CDB6E8DE9EAE}" name="OpenItemsTable" displayName="OpenItemsTable" ref="A16:I30" totalsRowShown="0" headerRowDxfId="385" dataDxfId="387">
  <autoFilter ref="A16:I30" xr:uid="{9632157E-29E1-4D41-A333-CDB6E8DE9EAE}"/>
  <tableColumns count="9">
    <tableColumn id="1" xr3:uid="{2EF799E1-F2C8-40D2-A94A-57868753FA0D}" name="Open Item ID" dataDxfId="396"/>
    <tableColumn id="2" xr3:uid="{928CA55E-3679-45AF-9D10-F09894555A8E}" name="Area" dataDxfId="395"/>
    <tableColumn id="3" xr3:uid="{1D16CB22-9656-4BA8-9420-04A9A1D6C55F}" name="Missing Information" dataDxfId="394"/>
    <tableColumn id="4" xr3:uid="{8B847D76-FD3A-4250-82CA-EBDE1A2A7C03}" name="Impact" dataDxfId="393"/>
    <tableColumn id="5" xr3:uid="{CFF804C1-D3B0-458A-9E2D-96EB85B9775A}" name="Required From" dataDxfId="392"/>
    <tableColumn id="6" xr3:uid="{48D40F1C-116F-4E44-8D2A-85A83E81C3B1}" name="Owner" dataDxfId="391"/>
    <tableColumn id="7" xr3:uid="{18D697C6-A300-4F5A-A627-D45DC2A8DA15}" name="Target Date" dataDxfId="390"/>
    <tableColumn id="8" xr3:uid="{D4B368C6-DD10-4127-9F88-19B981E5BB50}" name="Status" dataDxfId="389"/>
    <tableColumn id="9" xr3:uid="{15695E3D-AB97-4D90-B896-FE21BC388F1C}" name="Comments" dataDxfId="38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6BBDF-EF08-4AA2-A394-B02EDFBA5EDB}">
  <dimension ref="A1:F23"/>
  <sheetViews>
    <sheetView showGridLines="0" tabSelected="1" zoomScale="90" zoomScaleNormal="90" workbookViewId="0">
      <pane ySplit="3" topLeftCell="A4" activePane="bottomLeft" state="frozenSplit"/>
      <selection pane="bottomLeft"/>
    </sheetView>
  </sheetViews>
  <sheetFormatPr defaultRowHeight="14.4" x14ac:dyDescent="0.3"/>
  <cols>
    <col min="1" max="1" width="24.77734375" customWidth="1"/>
    <col min="2" max="2" width="90.77734375" customWidth="1"/>
    <col min="3" max="3" width="55.77734375" customWidth="1"/>
    <col min="4" max="6" width="4.77734375" customWidth="1"/>
  </cols>
  <sheetData>
    <row r="1" spans="1:6" ht="30" customHeight="1" x14ac:dyDescent="0.3">
      <c r="A1" s="1" t="s">
        <v>2690</v>
      </c>
      <c r="B1" s="1"/>
      <c r="C1" s="1"/>
      <c r="D1" s="1"/>
      <c r="E1" s="1"/>
      <c r="F1" s="1"/>
    </row>
    <row r="2" spans="1:6" ht="28.05" customHeight="1" x14ac:dyDescent="0.3">
      <c r="A2" s="2" t="s">
        <v>2691</v>
      </c>
      <c r="B2" s="2"/>
      <c r="C2" s="2"/>
      <c r="D2" s="2"/>
      <c r="E2" s="2"/>
      <c r="F2" s="2"/>
    </row>
    <row r="4" spans="1:6" ht="28.8" x14ac:dyDescent="0.3">
      <c r="A4" s="24" t="s">
        <v>2692</v>
      </c>
      <c r="B4" s="4" t="s">
        <v>2693</v>
      </c>
      <c r="C4" s="4"/>
      <c r="D4" s="4"/>
      <c r="E4" s="4"/>
      <c r="F4" s="4"/>
    </row>
    <row r="5" spans="1:6" ht="43.2" x14ac:dyDescent="0.3">
      <c r="A5" s="24" t="s">
        <v>2694</v>
      </c>
      <c r="B5" s="4" t="s">
        <v>2695</v>
      </c>
      <c r="C5" s="4"/>
      <c r="D5" s="4"/>
      <c r="E5" s="4"/>
      <c r="F5" s="4"/>
    </row>
    <row r="6" spans="1:6" ht="28.8" x14ac:dyDescent="0.3">
      <c r="A6" s="24" t="s">
        <v>2696</v>
      </c>
      <c r="B6" s="4" t="s">
        <v>2697</v>
      </c>
      <c r="C6" s="4"/>
      <c r="D6" s="4"/>
      <c r="E6" s="4"/>
      <c r="F6" s="4"/>
    </row>
    <row r="7" spans="1:6" ht="28.8" x14ac:dyDescent="0.3">
      <c r="A7" s="24" t="s">
        <v>2698</v>
      </c>
      <c r="B7" s="4" t="s">
        <v>2699</v>
      </c>
      <c r="C7" s="4"/>
      <c r="D7" s="4"/>
      <c r="E7" s="4"/>
      <c r="F7" s="4"/>
    </row>
    <row r="8" spans="1:6" x14ac:dyDescent="0.3">
      <c r="A8" s="6" t="s">
        <v>25</v>
      </c>
      <c r="B8" s="4" t="s">
        <v>2700</v>
      </c>
      <c r="C8" s="4" t="s">
        <v>2701</v>
      </c>
      <c r="D8" s="4"/>
      <c r="E8" s="4"/>
      <c r="F8" s="4"/>
    </row>
    <row r="9" spans="1:6" x14ac:dyDescent="0.3">
      <c r="A9" s="27" t="s">
        <v>112</v>
      </c>
      <c r="B9" s="28" t="s">
        <v>2702</v>
      </c>
      <c r="C9" s="28" t="s">
        <v>2703</v>
      </c>
      <c r="D9" s="4"/>
      <c r="E9" s="4"/>
      <c r="F9" s="4"/>
    </row>
    <row r="10" spans="1:6" x14ac:dyDescent="0.3">
      <c r="A10" s="33" t="s">
        <v>2658</v>
      </c>
      <c r="B10" s="34" t="s">
        <v>2704</v>
      </c>
      <c r="C10" s="34" t="s">
        <v>2705</v>
      </c>
      <c r="D10" s="4"/>
      <c r="E10" s="4"/>
      <c r="F10" s="4"/>
    </row>
    <row r="11" spans="1:6" ht="28.8" x14ac:dyDescent="0.3">
      <c r="A11" s="31" t="s">
        <v>2659</v>
      </c>
      <c r="B11" s="32" t="s">
        <v>2706</v>
      </c>
      <c r="C11" s="32" t="s">
        <v>2707</v>
      </c>
      <c r="D11" s="4"/>
      <c r="E11" s="4"/>
      <c r="F11" s="4"/>
    </row>
    <row r="12" spans="1:6" x14ac:dyDescent="0.3">
      <c r="A12" s="25" t="s">
        <v>2660</v>
      </c>
      <c r="B12" s="26" t="s">
        <v>2708</v>
      </c>
      <c r="C12" s="26" t="s">
        <v>2709</v>
      </c>
      <c r="D12" s="4"/>
      <c r="E12" s="4"/>
      <c r="F12" s="4"/>
    </row>
    <row r="13" spans="1:6" x14ac:dyDescent="0.3">
      <c r="A13" s="29" t="s">
        <v>2661</v>
      </c>
      <c r="B13" s="30" t="s">
        <v>2710</v>
      </c>
      <c r="C13" s="30" t="s">
        <v>2711</v>
      </c>
      <c r="D13" s="4"/>
      <c r="E13" s="4"/>
      <c r="F13" s="4"/>
    </row>
    <row r="14" spans="1:6" x14ac:dyDescent="0.3">
      <c r="A14" s="27" t="s">
        <v>2662</v>
      </c>
      <c r="B14" s="28" t="s">
        <v>2712</v>
      </c>
      <c r="C14" s="28" t="s">
        <v>2713</v>
      </c>
      <c r="D14" s="4"/>
      <c r="E14" s="4"/>
      <c r="F14" s="4"/>
    </row>
    <row r="15" spans="1:6" x14ac:dyDescent="0.3">
      <c r="A15" s="6" t="s">
        <v>208</v>
      </c>
      <c r="B15" s="4" t="s">
        <v>2700</v>
      </c>
      <c r="C15" s="4" t="s">
        <v>2714</v>
      </c>
      <c r="D15" s="4"/>
      <c r="E15" s="4"/>
      <c r="F15" s="4"/>
    </row>
    <row r="16" spans="1:6" ht="28.8" x14ac:dyDescent="0.3">
      <c r="A16" s="25" t="s">
        <v>2715</v>
      </c>
      <c r="B16" s="26" t="s">
        <v>2716</v>
      </c>
      <c r="C16" s="26" t="s">
        <v>2717</v>
      </c>
      <c r="D16" s="4"/>
      <c r="E16" s="4"/>
      <c r="F16" s="4"/>
    </row>
    <row r="17" spans="1:6" x14ac:dyDescent="0.3">
      <c r="A17" s="29" t="s">
        <v>1968</v>
      </c>
      <c r="B17" s="30" t="s">
        <v>2718</v>
      </c>
      <c r="C17" s="30" t="s">
        <v>2719</v>
      </c>
      <c r="D17" s="4"/>
      <c r="E17" s="4"/>
      <c r="F17" s="4"/>
    </row>
    <row r="18" spans="1:6" x14ac:dyDescent="0.3">
      <c r="A18" s="35" t="s">
        <v>1957</v>
      </c>
      <c r="B18" s="36" t="s">
        <v>2720</v>
      </c>
      <c r="C18" s="36" t="s">
        <v>2721</v>
      </c>
      <c r="D18" s="4"/>
      <c r="E18" s="4"/>
      <c r="F18" s="4"/>
    </row>
    <row r="19" spans="1:6" x14ac:dyDescent="0.3">
      <c r="A19" s="27" t="s">
        <v>2195</v>
      </c>
      <c r="B19" s="28" t="s">
        <v>2722</v>
      </c>
      <c r="C19" s="28" t="s">
        <v>2723</v>
      </c>
      <c r="D19" s="4"/>
      <c r="E19" s="4"/>
      <c r="F19" s="4"/>
    </row>
    <row r="20" spans="1:6" ht="28.8" x14ac:dyDescent="0.3">
      <c r="A20" s="24" t="s">
        <v>2724</v>
      </c>
      <c r="B20" s="4" t="s">
        <v>2725</v>
      </c>
      <c r="C20" s="4" t="s">
        <v>2726</v>
      </c>
      <c r="D20" s="4"/>
      <c r="E20" s="4"/>
      <c r="F20" s="4"/>
    </row>
    <row r="21" spans="1:6" ht="28.8" x14ac:dyDescent="0.3">
      <c r="A21" s="24" t="s">
        <v>2727</v>
      </c>
      <c r="B21" s="4" t="s">
        <v>2728</v>
      </c>
      <c r="C21" s="4" t="s">
        <v>2729</v>
      </c>
      <c r="D21" s="4"/>
      <c r="E21" s="4"/>
      <c r="F21" s="4"/>
    </row>
    <row r="22" spans="1:6" ht="28.8" x14ac:dyDescent="0.3">
      <c r="A22" s="24" t="s">
        <v>2730</v>
      </c>
      <c r="B22" s="4" t="s">
        <v>2731</v>
      </c>
      <c r="C22" s="4" t="s">
        <v>2732</v>
      </c>
      <c r="D22" s="4"/>
      <c r="E22" s="4"/>
      <c r="F22" s="4"/>
    </row>
    <row r="23" spans="1:6" ht="28.8" x14ac:dyDescent="0.3">
      <c r="A23" s="24" t="s">
        <v>2733</v>
      </c>
      <c r="B23" s="4" t="s">
        <v>2734</v>
      </c>
      <c r="C23" s="4" t="s">
        <v>2735</v>
      </c>
      <c r="D23" s="4"/>
      <c r="E23" s="4"/>
      <c r="F23" s="4"/>
    </row>
  </sheetData>
  <mergeCells count="2">
    <mergeCell ref="A1:F1"/>
    <mergeCell ref="A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CE042-F28F-4B2B-B4A1-05CD0746B0F4}">
  <dimension ref="A1:H27"/>
  <sheetViews>
    <sheetView showGridLines="0" zoomScale="90" zoomScaleNormal="90" workbookViewId="0">
      <pane ySplit="3" topLeftCell="A4" activePane="bottomLeft" state="frozenSplit"/>
      <selection pane="bottomLeft"/>
    </sheetView>
  </sheetViews>
  <sheetFormatPr defaultRowHeight="14.4" x14ac:dyDescent="0.3"/>
  <cols>
    <col min="1" max="1" width="28.77734375" customWidth="1"/>
    <col min="2" max="2" width="18.77734375" customWidth="1"/>
    <col min="3" max="3" width="3.77734375" customWidth="1"/>
    <col min="4" max="4" width="30.77734375" customWidth="1"/>
    <col min="5" max="5" width="20.77734375" customWidth="1"/>
    <col min="6" max="7" width="18.77734375" customWidth="1"/>
    <col min="8" max="8" width="3.77734375" customWidth="1"/>
  </cols>
  <sheetData>
    <row r="1" spans="1:8" ht="30" customHeight="1" x14ac:dyDescent="0.3">
      <c r="A1" s="1" t="s">
        <v>2653</v>
      </c>
      <c r="B1" s="1"/>
      <c r="C1" s="1"/>
      <c r="D1" s="1"/>
      <c r="E1" s="1"/>
      <c r="F1" s="1"/>
      <c r="G1" s="1"/>
      <c r="H1" s="1"/>
    </row>
    <row r="2" spans="1:8" ht="28.05" customHeight="1" x14ac:dyDescent="0.3">
      <c r="A2" s="18" t="s">
        <v>2654</v>
      </c>
      <c r="B2" s="18"/>
      <c r="C2" s="18"/>
      <c r="D2" s="18"/>
      <c r="E2" s="18"/>
      <c r="F2" s="18"/>
      <c r="G2" s="18"/>
      <c r="H2" s="18"/>
    </row>
    <row r="3" spans="1:8" x14ac:dyDescent="0.3">
      <c r="A3" s="19"/>
      <c r="B3" s="19"/>
      <c r="C3" s="19"/>
      <c r="D3" s="19"/>
      <c r="E3" s="19"/>
      <c r="F3" s="19"/>
      <c r="G3" s="19"/>
      <c r="H3" s="19"/>
    </row>
    <row r="4" spans="1:8" x14ac:dyDescent="0.3">
      <c r="A4" s="20" t="s">
        <v>2655</v>
      </c>
      <c r="B4" s="20" t="s">
        <v>2656</v>
      </c>
      <c r="C4" s="19"/>
      <c r="D4" s="20" t="s">
        <v>2664</v>
      </c>
      <c r="E4" s="20" t="s">
        <v>2665</v>
      </c>
      <c r="F4" s="19"/>
      <c r="G4" s="19"/>
      <c r="H4" s="19"/>
    </row>
    <row r="5" spans="1:8" x14ac:dyDescent="0.3">
      <c r="A5" s="21" t="s">
        <v>2657</v>
      </c>
      <c r="B5" s="21">
        <f>COUNTA('Test Case Master'!$A$5:$A$5000)</f>
        <v>73</v>
      </c>
      <c r="C5" s="19"/>
      <c r="D5" s="21" t="s">
        <v>2666</v>
      </c>
      <c r="E5" s="21">
        <v>106</v>
      </c>
      <c r="F5" s="19"/>
      <c r="G5" s="19"/>
      <c r="H5" s="19"/>
    </row>
    <row r="6" spans="1:8" x14ac:dyDescent="0.3">
      <c r="A6" s="21" t="s">
        <v>112</v>
      </c>
      <c r="B6" s="21">
        <f>COUNTIF('Test Case Master'!$U$5:$U$5000,"Not Started")</f>
        <v>73</v>
      </c>
      <c r="C6" s="19"/>
      <c r="D6" s="21" t="s">
        <v>2667</v>
      </c>
      <c r="E6" s="21">
        <f>COUNTA('Production Smoke &amp; Monitoring'!$A$5:$A$1000)</f>
        <v>43</v>
      </c>
      <c r="F6" s="19"/>
      <c r="G6" s="19"/>
      <c r="H6" s="19"/>
    </row>
    <row r="7" spans="1:8" x14ac:dyDescent="0.3">
      <c r="A7" s="21" t="s">
        <v>2658</v>
      </c>
      <c r="B7" s="21">
        <f>COUNTIF('Test Case Master'!$U$5:$U$5000,"In Progress")</f>
        <v>0</v>
      </c>
      <c r="C7" s="19"/>
      <c r="D7" s="21" t="s">
        <v>2668</v>
      </c>
      <c r="E7" s="21">
        <f>COUNTIF('Production Smoke &amp; Monitoring'!$Q$5:$Q$1000,"Pass")</f>
        <v>0</v>
      </c>
      <c r="F7" s="19"/>
      <c r="G7" s="19"/>
      <c r="H7" s="19"/>
    </row>
    <row r="8" spans="1:8" x14ac:dyDescent="0.3">
      <c r="A8" s="21" t="s">
        <v>2659</v>
      </c>
      <c r="B8" s="21">
        <f>COUNTIF('Test Case Master'!$U$5:$U$5000,"Pass")</f>
        <v>0</v>
      </c>
      <c r="C8" s="19"/>
      <c r="D8" s="21" t="s">
        <v>2669</v>
      </c>
      <c r="E8" s="21">
        <f>E6-E7</f>
        <v>43</v>
      </c>
      <c r="F8" s="19"/>
      <c r="G8" s="19"/>
      <c r="H8" s="19"/>
    </row>
    <row r="9" spans="1:8" x14ac:dyDescent="0.3">
      <c r="A9" s="21" t="s">
        <v>2660</v>
      </c>
      <c r="B9" s="21">
        <f>COUNTIF('Test Case Master'!$U$5:$U$5000,"Fail")</f>
        <v>0</v>
      </c>
      <c r="C9" s="19"/>
      <c r="D9" s="21" t="s">
        <v>2670</v>
      </c>
      <c r="E9" s="21">
        <f>COUNTIFS('Evidence &amp; Defect Log'!$A$5:$A$1000,"&lt;&gt;",'Evidence &amp; Defect Log'!$N$5:$N$1000,"&lt;&gt;Closed")</f>
        <v>0</v>
      </c>
      <c r="F9" s="19"/>
      <c r="G9" s="19"/>
      <c r="H9" s="19"/>
    </row>
    <row r="10" spans="1:8" x14ac:dyDescent="0.3">
      <c r="A10" s="21" t="s">
        <v>2661</v>
      </c>
      <c r="B10" s="21">
        <f>COUNTIF('Test Case Master'!$U$5:$U$5000,"Blocked")</f>
        <v>0</v>
      </c>
      <c r="C10" s="19"/>
      <c r="D10" s="21" t="s">
        <v>2671</v>
      </c>
      <c r="E10" s="21">
        <f>COUNTIFS('Evidence &amp; Defect Log'!$A$5:$A$1000,"&lt;&gt;",'Evidence &amp; Defect Log'!$H$5:$H$1000,"Critical",'Evidence &amp; Defect Log'!$N$5:$N$1000,"&lt;&gt;Closed")</f>
        <v>0</v>
      </c>
      <c r="F10" s="19"/>
      <c r="G10" s="19"/>
      <c r="H10" s="19"/>
    </row>
    <row r="11" spans="1:8" x14ac:dyDescent="0.3">
      <c r="A11" s="21" t="s">
        <v>2662</v>
      </c>
      <c r="B11" s="21">
        <f>COUNTIF('Test Case Master'!$U$5:$U$5000,"N/A")</f>
        <v>0</v>
      </c>
      <c r="C11" s="19"/>
      <c r="D11" s="21" t="s">
        <v>2672</v>
      </c>
      <c r="E11" s="21">
        <f>COUNTIFS('Evidence &amp; Defect Log'!$A$5:$A$1000,"&lt;&gt;",'Evidence &amp; Defect Log'!$H$5:$H$1000,"High",'Evidence &amp; Defect Log'!$N$5:$N$1000,"&lt;&gt;Closed")</f>
        <v>0</v>
      </c>
      <c r="F11" s="19"/>
      <c r="G11" s="19"/>
      <c r="H11" s="19"/>
    </row>
    <row r="12" spans="1:8" x14ac:dyDescent="0.3">
      <c r="A12" s="21" t="s">
        <v>2663</v>
      </c>
      <c r="B12" s="22">
        <f>IFERROR(B8/(B8+B9+B10),0)</f>
        <v>0</v>
      </c>
      <c r="C12" s="19"/>
      <c r="D12" s="21" t="s">
        <v>2673</v>
      </c>
      <c r="E12" s="21">
        <f>COUNTIFS('Evidence &amp; Defect Log'!$A$5:$A$1000,"&lt;&gt;",'Evidence &amp; Defect Log'!$H$5:$H$1000,"Medium",'Evidence &amp; Defect Log'!$N$5:$N$1000,"&lt;&gt;Closed")</f>
        <v>0</v>
      </c>
      <c r="F12" s="19"/>
      <c r="G12" s="19"/>
      <c r="H12" s="19"/>
    </row>
    <row r="13" spans="1:8" x14ac:dyDescent="0.3">
      <c r="A13" s="19"/>
      <c r="B13" s="19"/>
      <c r="C13" s="19"/>
      <c r="D13" s="21" t="s">
        <v>2674</v>
      </c>
      <c r="E13" s="21">
        <f>COUNTIFS('Evidence &amp; Defect Log'!$A$5:$A$1000,"&lt;&gt;",'Evidence &amp; Defect Log'!$H$5:$H$1000,"Low",'Evidence &amp; Defect Log'!$N$5:$N$1000,"&lt;&gt;Closed")</f>
        <v>0</v>
      </c>
      <c r="F13" s="19"/>
      <c r="G13" s="19"/>
      <c r="H13" s="19"/>
    </row>
    <row r="14" spans="1:8" x14ac:dyDescent="0.3">
      <c r="A14" s="19"/>
      <c r="B14" s="19"/>
      <c r="C14" s="19"/>
      <c r="D14" s="21" t="s">
        <v>2675</v>
      </c>
      <c r="E14" s="23" t="str">
        <f>IF(AND(E10=0,E11=0,COUNTIFS('Test Case Master'!$A$5:$A$5000,"&lt;&gt;",'Test Case Master'!$U$5:$U$5000,"&lt;&gt;Pass",'Test Case Master'!$U$5:$U$5000,"&lt;&gt;N/A")=0,COUNTA('Production Smoke &amp; Monitoring'!$A$5:$A$1000)&gt;0,COUNTIFS('Production Smoke &amp; Monitoring'!$A$5:$A$1000,"&lt;&gt;",'Production Smoke &amp; Monitoring'!$Q$5:$Q$1000,"&lt;&gt;Pass",'Production Smoke &amp; Monitoring'!$Q$5:$Q$1000,"&lt;&gt;N/A")=0),"Ready","Not Ready")</f>
        <v>Not Ready</v>
      </c>
      <c r="F14" s="19"/>
      <c r="G14" s="19"/>
      <c r="H14" s="19"/>
    </row>
    <row r="15" spans="1:8" x14ac:dyDescent="0.3">
      <c r="A15" s="19"/>
      <c r="B15" s="19"/>
      <c r="C15" s="19"/>
      <c r="D15" s="21" t="s">
        <v>2676</v>
      </c>
      <c r="E15" s="21">
        <v>0</v>
      </c>
      <c r="F15" s="19"/>
      <c r="G15" s="19"/>
      <c r="H15" s="19"/>
    </row>
    <row r="16" spans="1:8" x14ac:dyDescent="0.3">
      <c r="A16" s="19"/>
      <c r="B16" s="19"/>
      <c r="C16" s="19"/>
      <c r="D16" s="19"/>
      <c r="E16" s="19"/>
      <c r="F16" s="19"/>
      <c r="G16" s="19"/>
      <c r="H16" s="19"/>
    </row>
    <row r="17" spans="1:8" ht="43.2" x14ac:dyDescent="0.3">
      <c r="A17" s="20" t="s">
        <v>2677</v>
      </c>
      <c r="B17" s="20" t="s">
        <v>2678</v>
      </c>
      <c r="C17" s="20" t="s">
        <v>2679</v>
      </c>
      <c r="D17" s="19"/>
      <c r="E17" s="20" t="s">
        <v>2683</v>
      </c>
      <c r="F17" s="20" t="s">
        <v>2684</v>
      </c>
      <c r="G17" s="20" t="s">
        <v>2679</v>
      </c>
      <c r="H17" s="19"/>
    </row>
    <row r="18" spans="1:8" x14ac:dyDescent="0.3">
      <c r="A18" s="21" t="s">
        <v>2680</v>
      </c>
      <c r="B18" s="21">
        <f>COUNTIFS('Test Case Master'!$D$5:$D$5000,A18,'Test Case Master'!$E$5:$E$5000,"&lt;&gt;To Be Confirmed")</f>
        <v>0</v>
      </c>
      <c r="C18" s="21">
        <f>COUNTIFS('Test Case Master'!$D$5:$D$5000,A18,'Test Case Master'!$E$5:$E$5000,"&lt;&gt;To Be Confirmed",'Test Case Master'!$U$5:$U$5000,"Pass")</f>
        <v>0</v>
      </c>
      <c r="D18" s="19"/>
      <c r="E18" s="21" t="s">
        <v>2685</v>
      </c>
      <c r="F18" s="21">
        <f>COUNTIFS('Test Case Master'!$H$5:$H$5000,"Analytics",'Test Case Master'!$E$5:$E$5000,"&lt;&gt;To Be Confirmed")</f>
        <v>0</v>
      </c>
      <c r="G18" s="21">
        <f>COUNTIFS('Test Case Master'!$H$5:$H$5000,"Analytics",'Test Case Master'!$U$5:$U$5000,"Pass")</f>
        <v>0</v>
      </c>
      <c r="H18" s="19"/>
    </row>
    <row r="19" spans="1:8" x14ac:dyDescent="0.3">
      <c r="A19" s="21" t="s">
        <v>2681</v>
      </c>
      <c r="B19" s="21">
        <f>COUNTIFS('Test Case Master'!$D$5:$D$5000,A19,'Test Case Master'!$E$5:$E$5000,"&lt;&gt;To Be Confirmed")</f>
        <v>0</v>
      </c>
      <c r="C19" s="21">
        <f>COUNTIFS('Test Case Master'!$D$5:$D$5000,A19,'Test Case Master'!$E$5:$E$5000,"&lt;&gt;To Be Confirmed",'Test Case Master'!$U$5:$U$5000,"Pass")</f>
        <v>0</v>
      </c>
      <c r="D19" s="19"/>
      <c r="E19" s="21" t="s">
        <v>2686</v>
      </c>
      <c r="F19" s="21">
        <f>COUNTIFS('Test Case Master'!$H$5:$H$5000,"target",'Test Case Master'!$E$5:$E$5000,"&lt;&gt;To Be Confirmed")</f>
        <v>43</v>
      </c>
      <c r="G19" s="21">
        <f>COUNTIFS('Test Case Master'!$H$5:$H$5000,"target",'Test Case Master'!$U$5:$U$5000,"Pass")</f>
        <v>0</v>
      </c>
      <c r="H19" s="19"/>
    </row>
    <row r="20" spans="1:8" x14ac:dyDescent="0.3">
      <c r="A20" s="21" t="s">
        <v>2682</v>
      </c>
      <c r="B20" s="21">
        <f>COUNTIFS('Test Case Master'!$D$5:$D$5000,A20,'Test Case Master'!$E$5:$E$5000,"&lt;&gt;To Be Confirmed")</f>
        <v>0</v>
      </c>
      <c r="C20" s="21">
        <f>COUNTIFS('Test Case Master'!$D$5:$D$5000,A20,'Test Case Master'!$E$5:$E$5000,"&lt;&gt;To Be Confirmed",'Test Case Master'!$U$5:$U$5000,"Pass")</f>
        <v>0</v>
      </c>
      <c r="D20" s="19"/>
      <c r="E20" s="21" t="s">
        <v>2687</v>
      </c>
      <c r="F20" s="21">
        <f>COUNTIF('Activity Coverage Matrix'!$O$5:$O$5000,"Yes")</f>
        <v>0</v>
      </c>
      <c r="G20" s="21">
        <f>COUNTIFS('Activity Coverage Matrix'!$O$5:$O$5000,"Yes",'Activity Coverage Matrix'!$Y$5:$Y$5000,"Pass")</f>
        <v>0</v>
      </c>
      <c r="H20" s="19"/>
    </row>
    <row r="21" spans="1:8" ht="28.8" x14ac:dyDescent="0.3">
      <c r="A21" s="21" t="s">
        <v>9</v>
      </c>
      <c r="B21" s="21">
        <f>COUNTIFS('Test Case Master'!$D$5:$D$5000,A21,'Test Case Master'!$E$5:$E$5000,"&lt;&gt;To Be Confirmed")</f>
        <v>43</v>
      </c>
      <c r="C21" s="21">
        <f>COUNTIFS('Test Case Master'!$D$5:$D$5000,A21,'Test Case Master'!$E$5:$E$5000,"&lt;&gt;To Be Confirmed",'Test Case Master'!$U$5:$U$5000,"Pass")</f>
        <v>0</v>
      </c>
      <c r="D21" s="19"/>
      <c r="E21" s="21" t="s">
        <v>2688</v>
      </c>
      <c r="F21" s="21">
        <f>COUNTIF('Activity Coverage Matrix'!$P$5:$P$5000,"Yes*")</f>
        <v>381</v>
      </c>
      <c r="G21" s="21">
        <f>COUNTIFS('Activity Coverage Matrix'!$P$5:$P$5000,"Yes*",'Activity Coverage Matrix'!$Y$5:$Y$5000,"Pass")</f>
        <v>0</v>
      </c>
      <c r="H21" s="19"/>
    </row>
    <row r="22" spans="1:8" x14ac:dyDescent="0.3">
      <c r="A22" s="19"/>
      <c r="B22" s="19"/>
      <c r="C22" s="19"/>
      <c r="D22" s="19"/>
      <c r="E22" s="21" t="s">
        <v>2689</v>
      </c>
      <c r="F22" s="21">
        <f>COUNTA('Browser &amp; Regression Matrix'!$A$5:$A$1000)</f>
        <v>12</v>
      </c>
      <c r="G22" s="21">
        <f>COUNTIF('Browser &amp; Regression Matrix'!$N$5:$N$1000,"Pass")</f>
        <v>0</v>
      </c>
      <c r="H22" s="19"/>
    </row>
    <row r="23" spans="1:8" x14ac:dyDescent="0.3">
      <c r="A23" s="19"/>
      <c r="B23" s="19"/>
      <c r="C23" s="19"/>
      <c r="D23" s="19"/>
      <c r="E23" s="19"/>
      <c r="F23" s="19"/>
      <c r="G23" s="19"/>
      <c r="H23" s="19"/>
    </row>
    <row r="24" spans="1:8" x14ac:dyDescent="0.3">
      <c r="A24" s="19"/>
      <c r="B24" s="19"/>
      <c r="C24" s="19"/>
      <c r="D24" s="19"/>
      <c r="E24" s="19"/>
      <c r="F24" s="19"/>
      <c r="G24" s="19"/>
      <c r="H24" s="19"/>
    </row>
    <row r="25" spans="1:8" x14ac:dyDescent="0.3">
      <c r="A25" s="19"/>
      <c r="B25" s="19"/>
      <c r="C25" s="19"/>
      <c r="D25" s="19"/>
      <c r="E25" s="19"/>
      <c r="F25" s="19"/>
      <c r="G25" s="19"/>
      <c r="H25" s="19"/>
    </row>
    <row r="26" spans="1:8" x14ac:dyDescent="0.3">
      <c r="A26" s="19"/>
      <c r="B26" s="19"/>
      <c r="C26" s="19"/>
      <c r="D26" s="19"/>
      <c r="E26" s="19"/>
      <c r="F26" s="19"/>
      <c r="G26" s="19"/>
      <c r="H26" s="19"/>
    </row>
    <row r="27" spans="1:8" x14ac:dyDescent="0.3">
      <c r="A27" s="19"/>
      <c r="B27" s="19"/>
      <c r="C27" s="19"/>
      <c r="D27" s="19"/>
      <c r="E27" s="19"/>
      <c r="F27" s="19"/>
      <c r="G27" s="19"/>
      <c r="H27" s="19"/>
    </row>
  </sheetData>
  <mergeCells count="2">
    <mergeCell ref="A1:H1"/>
    <mergeCell ref="A2:H2"/>
  </mergeCells>
  <conditionalFormatting sqref="E14">
    <cfRule type="cellIs" dxfId="7" priority="1" stopIfTrue="1" operator="equal">
      <formula>"Pass"</formula>
    </cfRule>
    <cfRule type="cellIs" dxfId="6" priority="2" stopIfTrue="1" operator="equal">
      <formula>"Fail"</formula>
    </cfRule>
    <cfRule type="cellIs" dxfId="5" priority="3" stopIfTrue="1" operator="equal">
      <formula>"Blocked"</formula>
    </cfRule>
    <cfRule type="cellIs" dxfId="4" priority="4" stopIfTrue="1" operator="equal">
      <formula>"In Progress"</formula>
    </cfRule>
    <cfRule type="cellIs" dxfId="3" priority="5" stopIfTrue="1" operator="equal">
      <formula>"Not Started"</formula>
    </cfRule>
    <cfRule type="cellIs" dxfId="2" priority="6" stopIfTrue="1" operator="equal">
      <formula>"N/A"</formula>
    </cfRule>
    <cfRule type="cellIs" dxfId="1" priority="7" stopIfTrue="1" operator="equal">
      <formula>"Ready"</formula>
    </cfRule>
    <cfRule type="cellIs" dxfId="0" priority="8" stopIfTrue="1" operator="equal">
      <formula>"Not Ready"</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CE372-85CC-4DBF-9148-2B33D916ECB1}">
  <dimension ref="A1:Z435"/>
  <sheetViews>
    <sheetView showGridLines="0" zoomScale="65" zoomScaleNormal="65" workbookViewId="0">
      <pane xSplit="4" ySplit="4" topLeftCell="E5" activePane="bottomRight" state="frozenSplit"/>
      <selection pane="bottomLeft" activeCell="A5" sqref="A5"/>
      <selection pane="topRight" activeCell="E1" sqref="E1"/>
      <selection pane="bottomRight"/>
    </sheetView>
  </sheetViews>
  <sheetFormatPr defaultRowHeight="14.4" x14ac:dyDescent="0.3"/>
  <cols>
    <col min="1" max="1" width="16.77734375" customWidth="1"/>
    <col min="2" max="2" width="18.77734375" customWidth="1"/>
    <col min="3" max="3" width="14.77734375" style="11" customWidth="1"/>
    <col min="4" max="4" width="34.77734375" customWidth="1"/>
    <col min="5" max="6" width="16.77734375" customWidth="1"/>
    <col min="7" max="7" width="20.77734375" customWidth="1"/>
    <col min="8" max="8" width="18.77734375" customWidth="1"/>
    <col min="9" max="9" width="28.77734375" customWidth="1"/>
    <col min="10" max="10" width="30.77734375" customWidth="1"/>
    <col min="11" max="11" width="16.77734375" customWidth="1"/>
    <col min="12" max="12" width="42.77734375" customWidth="1"/>
    <col min="13" max="13" width="14.77734375" style="11" customWidth="1"/>
    <col min="14" max="14" width="34.77734375" customWidth="1"/>
    <col min="15" max="15" width="18.77734375" customWidth="1"/>
    <col min="16" max="19" width="24.77734375" customWidth="1"/>
    <col min="20" max="20" width="22.77734375" customWidth="1"/>
    <col min="21" max="21" width="14.77734375" customWidth="1"/>
    <col min="22" max="22" width="22.77734375" customWidth="1"/>
    <col min="23" max="23" width="42.77734375" customWidth="1"/>
    <col min="24" max="24" width="20.77734375" customWidth="1"/>
    <col min="25" max="25" width="16.77734375" customWidth="1"/>
    <col min="26" max="26" width="44.77734375" customWidth="1"/>
  </cols>
  <sheetData>
    <row r="1" spans="1:26" ht="30" customHeight="1" x14ac:dyDescent="0.3">
      <c r="A1" s="1" t="s">
        <v>1928</v>
      </c>
      <c r="B1" s="1"/>
      <c r="C1" s="1"/>
      <c r="D1" s="1"/>
      <c r="E1" s="1"/>
      <c r="F1" s="1"/>
      <c r="G1" s="1"/>
      <c r="H1" s="1"/>
      <c r="I1" s="1"/>
      <c r="J1" s="1"/>
      <c r="K1" s="1"/>
      <c r="L1" s="1"/>
      <c r="M1" s="1"/>
      <c r="N1" s="1"/>
      <c r="O1" s="1"/>
      <c r="P1" s="1"/>
      <c r="Q1" s="1"/>
      <c r="R1" s="1"/>
      <c r="S1" s="1"/>
      <c r="T1" s="1"/>
      <c r="U1" s="1"/>
      <c r="V1" s="1"/>
      <c r="W1" s="1"/>
      <c r="X1" s="1"/>
      <c r="Y1" s="1"/>
      <c r="Z1" s="1"/>
    </row>
    <row r="2" spans="1:26" ht="28.05" customHeight="1" x14ac:dyDescent="0.3">
      <c r="A2" s="2" t="s">
        <v>1929</v>
      </c>
      <c r="B2" s="2"/>
      <c r="C2" s="2"/>
      <c r="D2" s="2"/>
      <c r="E2" s="2"/>
      <c r="F2" s="2"/>
      <c r="G2" s="2"/>
      <c r="H2" s="2"/>
      <c r="I2" s="2"/>
      <c r="J2" s="2"/>
      <c r="K2" s="2"/>
      <c r="L2" s="2"/>
      <c r="M2" s="2"/>
      <c r="N2" s="2"/>
      <c r="O2" s="2"/>
      <c r="P2" s="2"/>
      <c r="Q2" s="2"/>
      <c r="R2" s="2"/>
      <c r="S2" s="2"/>
      <c r="T2" s="2"/>
      <c r="U2" s="2"/>
      <c r="V2" s="2"/>
      <c r="W2" s="2"/>
      <c r="X2" s="2"/>
      <c r="Y2" s="2"/>
      <c r="Z2" s="2"/>
    </row>
    <row r="4" spans="1:26" ht="42" customHeight="1" x14ac:dyDescent="0.3">
      <c r="A4" s="7" t="s">
        <v>1930</v>
      </c>
      <c r="B4" s="7" t="s">
        <v>94</v>
      </c>
      <c r="C4" s="9" t="s">
        <v>92</v>
      </c>
      <c r="D4" s="7" t="s">
        <v>93</v>
      </c>
      <c r="E4" s="7" t="s">
        <v>1931</v>
      </c>
      <c r="F4" s="7" t="s">
        <v>1932</v>
      </c>
      <c r="G4" s="7" t="s">
        <v>1933</v>
      </c>
      <c r="H4" s="7" t="s">
        <v>332</v>
      </c>
      <c r="I4" s="7" t="s">
        <v>1934</v>
      </c>
      <c r="J4" s="7" t="s">
        <v>1935</v>
      </c>
      <c r="K4" s="7" t="s">
        <v>575</v>
      </c>
      <c r="L4" s="7" t="s">
        <v>1936</v>
      </c>
      <c r="M4" s="9" t="s">
        <v>1937</v>
      </c>
      <c r="N4" s="7" t="s">
        <v>1938</v>
      </c>
      <c r="O4" s="7" t="s">
        <v>1939</v>
      </c>
      <c r="P4" s="7" t="s">
        <v>1940</v>
      </c>
      <c r="Q4" s="7" t="s">
        <v>1941</v>
      </c>
      <c r="R4" s="7" t="s">
        <v>1942</v>
      </c>
      <c r="S4" s="7" t="s">
        <v>1943</v>
      </c>
      <c r="T4" s="7" t="s">
        <v>1944</v>
      </c>
      <c r="U4" s="7" t="s">
        <v>1945</v>
      </c>
      <c r="V4" s="7" t="s">
        <v>1946</v>
      </c>
      <c r="W4" s="7" t="s">
        <v>1947</v>
      </c>
      <c r="X4" s="7" t="s">
        <v>1948</v>
      </c>
      <c r="Y4" s="7" t="s">
        <v>1949</v>
      </c>
      <c r="Z4" s="7" t="s">
        <v>7</v>
      </c>
    </row>
    <row r="5" spans="1:26" ht="24" x14ac:dyDescent="0.3">
      <c r="A5" s="8" t="s">
        <v>1950</v>
      </c>
      <c r="B5" s="8" t="s">
        <v>9</v>
      </c>
      <c r="C5" s="10">
        <v>270202</v>
      </c>
      <c r="D5" s="8" t="s">
        <v>351</v>
      </c>
      <c r="E5" s="8" t="s">
        <v>1951</v>
      </c>
      <c r="F5" s="8" t="s">
        <v>1952</v>
      </c>
      <c r="G5" s="8" t="s">
        <v>9</v>
      </c>
      <c r="H5" s="8" t="s">
        <v>352</v>
      </c>
      <c r="I5" s="8" t="s">
        <v>1729</v>
      </c>
      <c r="J5" s="8" t="s">
        <v>1953</v>
      </c>
      <c r="K5" s="8" t="s">
        <v>384</v>
      </c>
      <c r="L5" s="8" t="s">
        <v>1954</v>
      </c>
      <c r="M5" s="10">
        <v>0</v>
      </c>
      <c r="N5" s="8" t="s">
        <v>590</v>
      </c>
      <c r="O5" s="8" t="s">
        <v>9</v>
      </c>
      <c r="P5" s="8" t="s">
        <v>1955</v>
      </c>
      <c r="Q5" s="8" t="s">
        <v>1956</v>
      </c>
      <c r="R5" s="8" t="s">
        <v>1956</v>
      </c>
      <c r="S5" s="8" t="s">
        <v>356</v>
      </c>
      <c r="T5" s="8" t="s">
        <v>1172</v>
      </c>
      <c r="U5" s="8" t="s">
        <v>1957</v>
      </c>
      <c r="V5" s="8" t="s">
        <v>283</v>
      </c>
      <c r="W5" s="8" t="s">
        <v>1958</v>
      </c>
      <c r="X5" s="8" t="s">
        <v>355</v>
      </c>
      <c r="Y5" s="8" t="s">
        <v>112</v>
      </c>
      <c r="Z5" s="8" t="s">
        <v>1959</v>
      </c>
    </row>
    <row r="6" spans="1:26" ht="24" x14ac:dyDescent="0.3">
      <c r="A6" s="8" t="s">
        <v>1960</v>
      </c>
      <c r="B6" s="8" t="s">
        <v>9</v>
      </c>
      <c r="C6" s="10">
        <v>263527</v>
      </c>
      <c r="D6" s="8" t="s">
        <v>367</v>
      </c>
      <c r="E6" s="8" t="s">
        <v>1951</v>
      </c>
      <c r="F6" s="8" t="s">
        <v>1952</v>
      </c>
      <c r="G6" s="8" t="s">
        <v>9</v>
      </c>
      <c r="H6" s="8" t="s">
        <v>352</v>
      </c>
      <c r="I6" s="8" t="s">
        <v>1729</v>
      </c>
      <c r="J6" s="8" t="s">
        <v>1961</v>
      </c>
      <c r="K6" s="8" t="s">
        <v>384</v>
      </c>
      <c r="L6" s="8" t="s">
        <v>1962</v>
      </c>
      <c r="M6" s="10">
        <v>0</v>
      </c>
      <c r="N6" s="8" t="s">
        <v>590</v>
      </c>
      <c r="O6" s="8" t="s">
        <v>9</v>
      </c>
      <c r="P6" s="8" t="s">
        <v>1955</v>
      </c>
      <c r="Q6" s="8" t="s">
        <v>1956</v>
      </c>
      <c r="R6" s="8" t="s">
        <v>1956</v>
      </c>
      <c r="S6" s="8" t="s">
        <v>356</v>
      </c>
      <c r="T6" s="8" t="s">
        <v>1172</v>
      </c>
      <c r="U6" s="8" t="s">
        <v>1957</v>
      </c>
      <c r="V6" s="8" t="s">
        <v>283</v>
      </c>
      <c r="W6" s="8" t="s">
        <v>1958</v>
      </c>
      <c r="X6" s="8" t="s">
        <v>355</v>
      </c>
      <c r="Y6" s="8" t="s">
        <v>112</v>
      </c>
      <c r="Z6" s="8" t="s">
        <v>1959</v>
      </c>
    </row>
    <row r="7" spans="1:26" ht="84" x14ac:dyDescent="0.3">
      <c r="A7" s="8" t="s">
        <v>1963</v>
      </c>
      <c r="B7" s="8" t="s">
        <v>9</v>
      </c>
      <c r="C7" s="10">
        <v>263527</v>
      </c>
      <c r="D7" s="8" t="s">
        <v>367</v>
      </c>
      <c r="E7" s="8" t="s">
        <v>1951</v>
      </c>
      <c r="F7" s="8" t="s">
        <v>1952</v>
      </c>
      <c r="G7" s="8" t="s">
        <v>9</v>
      </c>
      <c r="H7" s="8" t="s">
        <v>352</v>
      </c>
      <c r="I7" s="8" t="s">
        <v>1729</v>
      </c>
      <c r="J7" s="8" t="s">
        <v>1961</v>
      </c>
      <c r="K7" s="8" t="s">
        <v>384</v>
      </c>
      <c r="L7" s="8" t="s">
        <v>1964</v>
      </c>
      <c r="M7" s="10">
        <v>0</v>
      </c>
      <c r="N7" s="8" t="s">
        <v>603</v>
      </c>
      <c r="O7" s="8" t="s">
        <v>9</v>
      </c>
      <c r="P7" s="8" t="s">
        <v>1955</v>
      </c>
      <c r="Q7" s="8" t="s">
        <v>1956</v>
      </c>
      <c r="R7" s="8" t="s">
        <v>1956</v>
      </c>
      <c r="S7" s="8" t="s">
        <v>356</v>
      </c>
      <c r="T7" s="8" t="s">
        <v>1172</v>
      </c>
      <c r="U7" s="8" t="s">
        <v>1957</v>
      </c>
      <c r="V7" s="8" t="s">
        <v>283</v>
      </c>
      <c r="W7" s="8" t="s">
        <v>1958</v>
      </c>
      <c r="X7" s="8" t="s">
        <v>355</v>
      </c>
      <c r="Y7" s="8" t="s">
        <v>112</v>
      </c>
      <c r="Z7" s="8" t="s">
        <v>1959</v>
      </c>
    </row>
    <row r="8" spans="1:26" ht="48" x14ac:dyDescent="0.3">
      <c r="A8" s="8" t="s">
        <v>1965</v>
      </c>
      <c r="B8" s="8" t="s">
        <v>9</v>
      </c>
      <c r="C8" s="10">
        <v>238801</v>
      </c>
      <c r="D8" s="8" t="s">
        <v>110</v>
      </c>
      <c r="E8" s="8" t="s">
        <v>1951</v>
      </c>
      <c r="F8" s="8" t="s">
        <v>1966</v>
      </c>
      <c r="G8" s="8" t="s">
        <v>9</v>
      </c>
      <c r="H8" s="8" t="s">
        <v>352</v>
      </c>
      <c r="I8" s="8" t="s">
        <v>1729</v>
      </c>
      <c r="J8" s="8" t="s">
        <v>1967</v>
      </c>
      <c r="K8" s="8" t="s">
        <v>384</v>
      </c>
      <c r="L8" s="8" t="s">
        <v>589</v>
      </c>
      <c r="M8" s="10">
        <v>0</v>
      </c>
      <c r="N8" s="8" t="s">
        <v>355</v>
      </c>
      <c r="O8" s="8" t="s">
        <v>9</v>
      </c>
      <c r="P8" s="8" t="s">
        <v>1955</v>
      </c>
      <c r="Q8" s="8" t="s">
        <v>1956</v>
      </c>
      <c r="R8" s="8" t="s">
        <v>1956</v>
      </c>
      <c r="S8" s="8" t="s">
        <v>356</v>
      </c>
      <c r="T8" s="8" t="s">
        <v>1172</v>
      </c>
      <c r="U8" s="8" t="s">
        <v>1968</v>
      </c>
      <c r="V8" s="8" t="s">
        <v>1172</v>
      </c>
      <c r="W8" s="8" t="s">
        <v>1969</v>
      </c>
      <c r="X8" s="8" t="s">
        <v>1686</v>
      </c>
      <c r="Y8" s="8" t="s">
        <v>112</v>
      </c>
      <c r="Z8" s="8" t="s">
        <v>1970</v>
      </c>
    </row>
    <row r="9" spans="1:26" ht="24" x14ac:dyDescent="0.3">
      <c r="A9" s="8" t="s">
        <v>1971</v>
      </c>
      <c r="B9" s="8" t="s">
        <v>9</v>
      </c>
      <c r="C9" s="10">
        <v>238801</v>
      </c>
      <c r="D9" s="8" t="s">
        <v>110</v>
      </c>
      <c r="E9" s="8" t="s">
        <v>1951</v>
      </c>
      <c r="F9" s="8" t="s">
        <v>1966</v>
      </c>
      <c r="G9" s="8" t="s">
        <v>9</v>
      </c>
      <c r="H9" s="8" t="s">
        <v>352</v>
      </c>
      <c r="I9" s="8" t="s">
        <v>1729</v>
      </c>
      <c r="J9" s="8" t="s">
        <v>1967</v>
      </c>
      <c r="K9" s="8" t="s">
        <v>384</v>
      </c>
      <c r="L9" s="8" t="s">
        <v>596</v>
      </c>
      <c r="M9" s="10">
        <v>0</v>
      </c>
      <c r="N9" s="8" t="s">
        <v>355</v>
      </c>
      <c r="O9" s="8" t="s">
        <v>9</v>
      </c>
      <c r="P9" s="8" t="s">
        <v>1955</v>
      </c>
      <c r="Q9" s="8" t="s">
        <v>1956</v>
      </c>
      <c r="R9" s="8" t="s">
        <v>1956</v>
      </c>
      <c r="S9" s="8" t="s">
        <v>356</v>
      </c>
      <c r="T9" s="8" t="s">
        <v>1172</v>
      </c>
      <c r="U9" s="8" t="s">
        <v>1968</v>
      </c>
      <c r="V9" s="8" t="s">
        <v>1172</v>
      </c>
      <c r="W9" s="8" t="s">
        <v>1969</v>
      </c>
      <c r="X9" s="8" t="s">
        <v>1686</v>
      </c>
      <c r="Y9" s="8" t="s">
        <v>112</v>
      </c>
      <c r="Z9" s="8" t="s">
        <v>1970</v>
      </c>
    </row>
    <row r="10" spans="1:26" ht="48" x14ac:dyDescent="0.3">
      <c r="A10" s="8" t="s">
        <v>1972</v>
      </c>
      <c r="B10" s="8" t="s">
        <v>9</v>
      </c>
      <c r="C10" s="10">
        <v>238801</v>
      </c>
      <c r="D10" s="8" t="s">
        <v>110</v>
      </c>
      <c r="E10" s="8" t="s">
        <v>1951</v>
      </c>
      <c r="F10" s="8" t="s">
        <v>1966</v>
      </c>
      <c r="G10" s="8" t="s">
        <v>9</v>
      </c>
      <c r="H10" s="8" t="s">
        <v>352</v>
      </c>
      <c r="I10" s="8" t="s">
        <v>1973</v>
      </c>
      <c r="J10" s="8" t="s">
        <v>1974</v>
      </c>
      <c r="K10" s="8" t="s">
        <v>384</v>
      </c>
      <c r="L10" s="8" t="s">
        <v>589</v>
      </c>
      <c r="M10" s="10">
        <v>0</v>
      </c>
      <c r="N10" s="8" t="s">
        <v>590</v>
      </c>
      <c r="O10" s="8" t="s">
        <v>9</v>
      </c>
      <c r="P10" s="8" t="s">
        <v>1955</v>
      </c>
      <c r="Q10" s="8" t="s">
        <v>1956</v>
      </c>
      <c r="R10" s="8" t="s">
        <v>1956</v>
      </c>
      <c r="S10" s="8" t="s">
        <v>356</v>
      </c>
      <c r="T10" s="8" t="s">
        <v>1172</v>
      </c>
      <c r="U10" s="8" t="s">
        <v>1968</v>
      </c>
      <c r="V10" s="8" t="s">
        <v>1172</v>
      </c>
      <c r="W10" s="8" t="s">
        <v>1969</v>
      </c>
      <c r="X10" s="8" t="s">
        <v>1686</v>
      </c>
      <c r="Y10" s="8" t="s">
        <v>112</v>
      </c>
      <c r="Z10" s="8" t="s">
        <v>1970</v>
      </c>
    </row>
    <row r="11" spans="1:26" ht="24" x14ac:dyDescent="0.3">
      <c r="A11" s="8" t="s">
        <v>1975</v>
      </c>
      <c r="B11" s="8" t="s">
        <v>9</v>
      </c>
      <c r="C11" s="10">
        <v>238801</v>
      </c>
      <c r="D11" s="8" t="s">
        <v>110</v>
      </c>
      <c r="E11" s="8" t="s">
        <v>1951</v>
      </c>
      <c r="F11" s="8" t="s">
        <v>1966</v>
      </c>
      <c r="G11" s="8" t="s">
        <v>9</v>
      </c>
      <c r="H11" s="8" t="s">
        <v>352</v>
      </c>
      <c r="I11" s="8" t="s">
        <v>1973</v>
      </c>
      <c r="J11" s="8" t="s">
        <v>1974</v>
      </c>
      <c r="K11" s="8" t="s">
        <v>384</v>
      </c>
      <c r="L11" s="8" t="s">
        <v>596</v>
      </c>
      <c r="M11" s="10">
        <v>0</v>
      </c>
      <c r="N11" s="8" t="s">
        <v>355</v>
      </c>
      <c r="O11" s="8" t="s">
        <v>9</v>
      </c>
      <c r="P11" s="8" t="s">
        <v>1955</v>
      </c>
      <c r="Q11" s="8" t="s">
        <v>1956</v>
      </c>
      <c r="R11" s="8" t="s">
        <v>1956</v>
      </c>
      <c r="S11" s="8" t="s">
        <v>356</v>
      </c>
      <c r="T11" s="8" t="s">
        <v>1172</v>
      </c>
      <c r="U11" s="8" t="s">
        <v>1968</v>
      </c>
      <c r="V11" s="8" t="s">
        <v>1172</v>
      </c>
      <c r="W11" s="8" t="s">
        <v>1969</v>
      </c>
      <c r="X11" s="8" t="s">
        <v>1686</v>
      </c>
      <c r="Y11" s="8" t="s">
        <v>112</v>
      </c>
      <c r="Z11" s="8" t="s">
        <v>1970</v>
      </c>
    </row>
    <row r="12" spans="1:26" ht="48" x14ac:dyDescent="0.3">
      <c r="A12" s="8" t="s">
        <v>1976</v>
      </c>
      <c r="B12" s="8" t="s">
        <v>9</v>
      </c>
      <c r="C12" s="10">
        <v>238801</v>
      </c>
      <c r="D12" s="8" t="s">
        <v>110</v>
      </c>
      <c r="E12" s="8" t="s">
        <v>1951</v>
      </c>
      <c r="F12" s="8" t="s">
        <v>1966</v>
      </c>
      <c r="G12" s="8" t="s">
        <v>9</v>
      </c>
      <c r="H12" s="8" t="s">
        <v>352</v>
      </c>
      <c r="I12" s="8" t="s">
        <v>1977</v>
      </c>
      <c r="J12" s="8" t="s">
        <v>1978</v>
      </c>
      <c r="K12" s="8" t="s">
        <v>384</v>
      </c>
      <c r="L12" s="8" t="s">
        <v>589</v>
      </c>
      <c r="M12" s="10">
        <v>0</v>
      </c>
      <c r="N12" s="8" t="s">
        <v>601</v>
      </c>
      <c r="O12" s="8" t="s">
        <v>9</v>
      </c>
      <c r="P12" s="8" t="s">
        <v>1955</v>
      </c>
      <c r="Q12" s="8" t="s">
        <v>1956</v>
      </c>
      <c r="R12" s="8" t="s">
        <v>1956</v>
      </c>
      <c r="S12" s="8" t="s">
        <v>356</v>
      </c>
      <c r="T12" s="8" t="s">
        <v>1172</v>
      </c>
      <c r="U12" s="8" t="s">
        <v>1968</v>
      </c>
      <c r="V12" s="8" t="s">
        <v>1172</v>
      </c>
      <c r="W12" s="8" t="s">
        <v>1969</v>
      </c>
      <c r="X12" s="8" t="s">
        <v>1686</v>
      </c>
      <c r="Y12" s="8" t="s">
        <v>112</v>
      </c>
      <c r="Z12" s="8" t="s">
        <v>1970</v>
      </c>
    </row>
    <row r="13" spans="1:26" ht="24" x14ac:dyDescent="0.3">
      <c r="A13" s="8" t="s">
        <v>1979</v>
      </c>
      <c r="B13" s="8" t="s">
        <v>9</v>
      </c>
      <c r="C13" s="10">
        <v>238801</v>
      </c>
      <c r="D13" s="8" t="s">
        <v>110</v>
      </c>
      <c r="E13" s="8" t="s">
        <v>1951</v>
      </c>
      <c r="F13" s="8" t="s">
        <v>1966</v>
      </c>
      <c r="G13" s="8" t="s">
        <v>9</v>
      </c>
      <c r="H13" s="8" t="s">
        <v>352</v>
      </c>
      <c r="I13" s="8" t="s">
        <v>1977</v>
      </c>
      <c r="J13" s="8" t="s">
        <v>1978</v>
      </c>
      <c r="K13" s="8" t="s">
        <v>384</v>
      </c>
      <c r="L13" s="8" t="s">
        <v>596</v>
      </c>
      <c r="M13" s="10">
        <v>0</v>
      </c>
      <c r="N13" s="8" t="s">
        <v>603</v>
      </c>
      <c r="O13" s="8" t="s">
        <v>9</v>
      </c>
      <c r="P13" s="8" t="s">
        <v>1955</v>
      </c>
      <c r="Q13" s="8" t="s">
        <v>1956</v>
      </c>
      <c r="R13" s="8" t="s">
        <v>1956</v>
      </c>
      <c r="S13" s="8" t="s">
        <v>356</v>
      </c>
      <c r="T13" s="8" t="s">
        <v>1172</v>
      </c>
      <c r="U13" s="8" t="s">
        <v>1968</v>
      </c>
      <c r="V13" s="8" t="s">
        <v>1172</v>
      </c>
      <c r="W13" s="8" t="s">
        <v>1969</v>
      </c>
      <c r="X13" s="8" t="s">
        <v>1686</v>
      </c>
      <c r="Y13" s="8" t="s">
        <v>112</v>
      </c>
      <c r="Z13" s="8" t="s">
        <v>1970</v>
      </c>
    </row>
    <row r="14" spans="1:26" ht="24" x14ac:dyDescent="0.3">
      <c r="A14" s="8" t="s">
        <v>1980</v>
      </c>
      <c r="B14" s="8" t="s">
        <v>9</v>
      </c>
      <c r="C14" s="10">
        <v>265179</v>
      </c>
      <c r="D14" s="8" t="s">
        <v>370</v>
      </c>
      <c r="E14" s="8" t="s">
        <v>1951</v>
      </c>
      <c r="F14" s="8" t="s">
        <v>1952</v>
      </c>
      <c r="G14" s="8" t="s">
        <v>9</v>
      </c>
      <c r="H14" s="8" t="s">
        <v>352</v>
      </c>
      <c r="I14" s="8" t="s">
        <v>1729</v>
      </c>
      <c r="J14" s="8" t="s">
        <v>1981</v>
      </c>
      <c r="K14" s="8" t="s">
        <v>384</v>
      </c>
      <c r="L14" s="8" t="s">
        <v>1982</v>
      </c>
      <c r="M14" s="10">
        <v>0</v>
      </c>
      <c r="N14" s="8" t="s">
        <v>590</v>
      </c>
      <c r="O14" s="8" t="s">
        <v>9</v>
      </c>
      <c r="P14" s="8" t="s">
        <v>1955</v>
      </c>
      <c r="Q14" s="8" t="s">
        <v>1956</v>
      </c>
      <c r="R14" s="8" t="s">
        <v>1956</v>
      </c>
      <c r="S14" s="8" t="s">
        <v>356</v>
      </c>
      <c r="T14" s="8" t="s">
        <v>1172</v>
      </c>
      <c r="U14" s="8" t="s">
        <v>1957</v>
      </c>
      <c r="V14" s="8" t="s">
        <v>283</v>
      </c>
      <c r="W14" s="8" t="s">
        <v>1958</v>
      </c>
      <c r="X14" s="8" t="s">
        <v>355</v>
      </c>
      <c r="Y14" s="8" t="s">
        <v>112</v>
      </c>
      <c r="Z14" s="8" t="s">
        <v>1959</v>
      </c>
    </row>
    <row r="15" spans="1:26" ht="24" x14ac:dyDescent="0.3">
      <c r="A15" s="8" t="s">
        <v>1983</v>
      </c>
      <c r="B15" s="8" t="s">
        <v>9</v>
      </c>
      <c r="C15" s="10">
        <v>265179</v>
      </c>
      <c r="D15" s="8" t="s">
        <v>370</v>
      </c>
      <c r="E15" s="8" t="s">
        <v>1951</v>
      </c>
      <c r="F15" s="8" t="s">
        <v>1952</v>
      </c>
      <c r="G15" s="8" t="s">
        <v>9</v>
      </c>
      <c r="H15" s="8" t="s">
        <v>352</v>
      </c>
      <c r="I15" s="8" t="s">
        <v>1729</v>
      </c>
      <c r="J15" s="8" t="s">
        <v>1981</v>
      </c>
      <c r="K15" s="8" t="s">
        <v>384</v>
      </c>
      <c r="L15" s="8" t="s">
        <v>1984</v>
      </c>
      <c r="M15" s="10">
        <v>0</v>
      </c>
      <c r="N15" s="8" t="s">
        <v>603</v>
      </c>
      <c r="O15" s="8" t="s">
        <v>9</v>
      </c>
      <c r="P15" s="8" t="s">
        <v>1955</v>
      </c>
      <c r="Q15" s="8" t="s">
        <v>1956</v>
      </c>
      <c r="R15" s="8" t="s">
        <v>1956</v>
      </c>
      <c r="S15" s="8" t="s">
        <v>356</v>
      </c>
      <c r="T15" s="8" t="s">
        <v>1172</v>
      </c>
      <c r="U15" s="8" t="s">
        <v>1957</v>
      </c>
      <c r="V15" s="8" t="s">
        <v>283</v>
      </c>
      <c r="W15" s="8" t="s">
        <v>1958</v>
      </c>
      <c r="X15" s="8" t="s">
        <v>355</v>
      </c>
      <c r="Y15" s="8" t="s">
        <v>112</v>
      </c>
      <c r="Z15" s="8" t="s">
        <v>1959</v>
      </c>
    </row>
    <row r="16" spans="1:26" ht="48" x14ac:dyDescent="0.3">
      <c r="A16" s="8" t="s">
        <v>1985</v>
      </c>
      <c r="B16" s="8" t="s">
        <v>9</v>
      </c>
      <c r="C16" s="10">
        <v>319925</v>
      </c>
      <c r="D16" s="8" t="s">
        <v>116</v>
      </c>
      <c r="E16" s="8" t="s">
        <v>1986</v>
      </c>
      <c r="F16" s="8" t="s">
        <v>1966</v>
      </c>
      <c r="G16" s="8" t="s">
        <v>9</v>
      </c>
      <c r="H16" s="8" t="s">
        <v>352</v>
      </c>
      <c r="I16" s="8" t="s">
        <v>1729</v>
      </c>
      <c r="J16" s="8" t="s">
        <v>1987</v>
      </c>
      <c r="K16" s="8" t="s">
        <v>384</v>
      </c>
      <c r="L16" s="8" t="s">
        <v>605</v>
      </c>
      <c r="M16" s="10">
        <v>0</v>
      </c>
      <c r="N16" s="8" t="s">
        <v>606</v>
      </c>
      <c r="O16" s="8" t="s">
        <v>9</v>
      </c>
      <c r="P16" s="8" t="s">
        <v>1955</v>
      </c>
      <c r="Q16" s="8" t="s">
        <v>1956</v>
      </c>
      <c r="R16" s="8" t="s">
        <v>1956</v>
      </c>
      <c r="S16" s="8" t="s">
        <v>356</v>
      </c>
      <c r="T16" s="8" t="s">
        <v>1172</v>
      </c>
      <c r="U16" s="8" t="s">
        <v>1968</v>
      </c>
      <c r="V16" s="8" t="s">
        <v>1172</v>
      </c>
      <c r="W16" s="8" t="s">
        <v>1969</v>
      </c>
      <c r="X16" s="8" t="s">
        <v>1698</v>
      </c>
      <c r="Y16" s="8" t="s">
        <v>112</v>
      </c>
      <c r="Z16" s="8" t="s">
        <v>1988</v>
      </c>
    </row>
    <row r="17" spans="1:26" ht="48" x14ac:dyDescent="0.3">
      <c r="A17" s="8" t="s">
        <v>1989</v>
      </c>
      <c r="B17" s="8" t="s">
        <v>9</v>
      </c>
      <c r="C17" s="10">
        <v>319925</v>
      </c>
      <c r="D17" s="8" t="s">
        <v>116</v>
      </c>
      <c r="E17" s="8" t="s">
        <v>1986</v>
      </c>
      <c r="F17" s="8" t="s">
        <v>1966</v>
      </c>
      <c r="G17" s="8" t="s">
        <v>9</v>
      </c>
      <c r="H17" s="8" t="s">
        <v>352</v>
      </c>
      <c r="I17" s="8" t="s">
        <v>1973</v>
      </c>
      <c r="J17" s="8" t="s">
        <v>1987</v>
      </c>
      <c r="K17" s="8" t="s">
        <v>384</v>
      </c>
      <c r="L17" s="8" t="s">
        <v>605</v>
      </c>
      <c r="M17" s="10">
        <v>0</v>
      </c>
      <c r="N17" s="8" t="s">
        <v>608</v>
      </c>
      <c r="O17" s="8" t="s">
        <v>9</v>
      </c>
      <c r="P17" s="8" t="s">
        <v>1955</v>
      </c>
      <c r="Q17" s="8" t="s">
        <v>1956</v>
      </c>
      <c r="R17" s="8" t="s">
        <v>1956</v>
      </c>
      <c r="S17" s="8" t="s">
        <v>356</v>
      </c>
      <c r="T17" s="8" t="s">
        <v>1172</v>
      </c>
      <c r="U17" s="8" t="s">
        <v>1968</v>
      </c>
      <c r="V17" s="8" t="s">
        <v>1172</v>
      </c>
      <c r="W17" s="8" t="s">
        <v>1969</v>
      </c>
      <c r="X17" s="8" t="s">
        <v>1698</v>
      </c>
      <c r="Y17" s="8" t="s">
        <v>112</v>
      </c>
      <c r="Z17" s="8" t="s">
        <v>1988</v>
      </c>
    </row>
    <row r="18" spans="1:26" ht="90" customHeight="1" x14ac:dyDescent="0.3">
      <c r="A18" s="8" t="s">
        <v>1990</v>
      </c>
      <c r="B18" s="8" t="s">
        <v>9</v>
      </c>
      <c r="C18" s="10">
        <v>215656</v>
      </c>
      <c r="D18" s="8" t="s">
        <v>118</v>
      </c>
      <c r="E18" s="8" t="s">
        <v>1951</v>
      </c>
      <c r="F18" s="8" t="s">
        <v>1966</v>
      </c>
      <c r="G18" s="8" t="s">
        <v>9</v>
      </c>
      <c r="H18" s="8" t="s">
        <v>352</v>
      </c>
      <c r="I18" s="8" t="s">
        <v>1729</v>
      </c>
      <c r="J18" s="8" t="s">
        <v>1991</v>
      </c>
      <c r="K18" s="8" t="s">
        <v>384</v>
      </c>
      <c r="L18" s="8" t="s">
        <v>610</v>
      </c>
      <c r="M18" s="10">
        <v>0</v>
      </c>
      <c r="N18" s="8" t="s">
        <v>590</v>
      </c>
      <c r="O18" s="8" t="s">
        <v>9</v>
      </c>
      <c r="P18" s="8" t="s">
        <v>1955</v>
      </c>
      <c r="Q18" s="8" t="s">
        <v>1956</v>
      </c>
      <c r="R18" s="8" t="s">
        <v>1956</v>
      </c>
      <c r="S18" s="8" t="s">
        <v>356</v>
      </c>
      <c r="T18" s="8" t="s">
        <v>1172</v>
      </c>
      <c r="U18" s="8" t="s">
        <v>1968</v>
      </c>
      <c r="V18" s="8" t="s">
        <v>1172</v>
      </c>
      <c r="W18" s="8" t="s">
        <v>1969</v>
      </c>
      <c r="X18" s="8" t="s">
        <v>1707</v>
      </c>
      <c r="Y18" s="8" t="s">
        <v>112</v>
      </c>
      <c r="Z18" s="8" t="s">
        <v>1959</v>
      </c>
    </row>
    <row r="19" spans="1:26" ht="90" customHeight="1" x14ac:dyDescent="0.3">
      <c r="A19" s="8" t="s">
        <v>1992</v>
      </c>
      <c r="B19" s="8" t="s">
        <v>9</v>
      </c>
      <c r="C19" s="10">
        <v>215656</v>
      </c>
      <c r="D19" s="8" t="s">
        <v>118</v>
      </c>
      <c r="E19" s="8" t="s">
        <v>1951</v>
      </c>
      <c r="F19" s="8" t="s">
        <v>1966</v>
      </c>
      <c r="G19" s="8" t="s">
        <v>9</v>
      </c>
      <c r="H19" s="8" t="s">
        <v>352</v>
      </c>
      <c r="I19" s="8" t="s">
        <v>1729</v>
      </c>
      <c r="J19" s="8" t="s">
        <v>1991</v>
      </c>
      <c r="K19" s="8" t="s">
        <v>384</v>
      </c>
      <c r="L19" s="8" t="s">
        <v>612</v>
      </c>
      <c r="M19" s="10">
        <v>0</v>
      </c>
      <c r="N19" s="8" t="s">
        <v>603</v>
      </c>
      <c r="O19" s="8" t="s">
        <v>9</v>
      </c>
      <c r="P19" s="8" t="s">
        <v>1955</v>
      </c>
      <c r="Q19" s="8" t="s">
        <v>1956</v>
      </c>
      <c r="R19" s="8" t="s">
        <v>1956</v>
      </c>
      <c r="S19" s="8" t="s">
        <v>356</v>
      </c>
      <c r="T19" s="8" t="s">
        <v>1172</v>
      </c>
      <c r="U19" s="8" t="s">
        <v>1968</v>
      </c>
      <c r="V19" s="8" t="s">
        <v>1172</v>
      </c>
      <c r="W19" s="8" t="s">
        <v>1969</v>
      </c>
      <c r="X19" s="8" t="s">
        <v>1707</v>
      </c>
      <c r="Y19" s="8" t="s">
        <v>112</v>
      </c>
      <c r="Z19" s="8" t="s">
        <v>1959</v>
      </c>
    </row>
    <row r="20" spans="1:26" ht="60" x14ac:dyDescent="0.3">
      <c r="A20" s="8" t="s">
        <v>1993</v>
      </c>
      <c r="B20" s="8" t="s">
        <v>9</v>
      </c>
      <c r="C20" s="10">
        <v>215656</v>
      </c>
      <c r="D20" s="8" t="s">
        <v>118</v>
      </c>
      <c r="E20" s="8" t="s">
        <v>1951</v>
      </c>
      <c r="F20" s="8" t="s">
        <v>1966</v>
      </c>
      <c r="G20" s="8" t="s">
        <v>9</v>
      </c>
      <c r="H20" s="8" t="s">
        <v>352</v>
      </c>
      <c r="I20" s="8" t="s">
        <v>1729</v>
      </c>
      <c r="J20" s="8" t="s">
        <v>1991</v>
      </c>
      <c r="K20" s="8" t="s">
        <v>384</v>
      </c>
      <c r="L20" s="8" t="s">
        <v>614</v>
      </c>
      <c r="M20" s="10">
        <v>0</v>
      </c>
      <c r="N20" s="8" t="s">
        <v>601</v>
      </c>
      <c r="O20" s="8" t="s">
        <v>9</v>
      </c>
      <c r="P20" s="8" t="s">
        <v>1955</v>
      </c>
      <c r="Q20" s="8" t="s">
        <v>1956</v>
      </c>
      <c r="R20" s="8" t="s">
        <v>1956</v>
      </c>
      <c r="S20" s="8" t="s">
        <v>356</v>
      </c>
      <c r="T20" s="8" t="s">
        <v>1172</v>
      </c>
      <c r="U20" s="8" t="s">
        <v>1968</v>
      </c>
      <c r="V20" s="8" t="s">
        <v>1172</v>
      </c>
      <c r="W20" s="8" t="s">
        <v>1969</v>
      </c>
      <c r="X20" s="8" t="s">
        <v>1707</v>
      </c>
      <c r="Y20" s="8" t="s">
        <v>112</v>
      </c>
      <c r="Z20" s="8" t="s">
        <v>1959</v>
      </c>
    </row>
    <row r="21" spans="1:26" ht="90" customHeight="1" x14ac:dyDescent="0.3">
      <c r="A21" s="8" t="s">
        <v>1994</v>
      </c>
      <c r="B21" s="8" t="s">
        <v>9</v>
      </c>
      <c r="C21" s="10">
        <v>215656</v>
      </c>
      <c r="D21" s="8" t="s">
        <v>118</v>
      </c>
      <c r="E21" s="8" t="s">
        <v>1951</v>
      </c>
      <c r="F21" s="8" t="s">
        <v>1966</v>
      </c>
      <c r="G21" s="8" t="s">
        <v>9</v>
      </c>
      <c r="H21" s="8" t="s">
        <v>352</v>
      </c>
      <c r="I21" s="8" t="s">
        <v>1729</v>
      </c>
      <c r="J21" s="8" t="s">
        <v>1991</v>
      </c>
      <c r="K21" s="8" t="s">
        <v>384</v>
      </c>
      <c r="L21" s="8" t="s">
        <v>616</v>
      </c>
      <c r="M21" s="10">
        <v>0</v>
      </c>
      <c r="N21" s="8" t="s">
        <v>617</v>
      </c>
      <c r="O21" s="8" t="s">
        <v>9</v>
      </c>
      <c r="P21" s="8" t="s">
        <v>1955</v>
      </c>
      <c r="Q21" s="8" t="s">
        <v>1956</v>
      </c>
      <c r="R21" s="8" t="s">
        <v>1956</v>
      </c>
      <c r="S21" s="8" t="s">
        <v>356</v>
      </c>
      <c r="T21" s="8" t="s">
        <v>1172</v>
      </c>
      <c r="U21" s="8" t="s">
        <v>1968</v>
      </c>
      <c r="V21" s="8" t="s">
        <v>1172</v>
      </c>
      <c r="W21" s="8" t="s">
        <v>1969</v>
      </c>
      <c r="X21" s="8" t="s">
        <v>1707</v>
      </c>
      <c r="Y21" s="8" t="s">
        <v>112</v>
      </c>
      <c r="Z21" s="8" t="s">
        <v>1959</v>
      </c>
    </row>
    <row r="22" spans="1:26" ht="90" customHeight="1" x14ac:dyDescent="0.3">
      <c r="A22" s="8" t="s">
        <v>1995</v>
      </c>
      <c r="B22" s="8" t="s">
        <v>9</v>
      </c>
      <c r="C22" s="10">
        <v>215656</v>
      </c>
      <c r="D22" s="8" t="s">
        <v>118</v>
      </c>
      <c r="E22" s="8" t="s">
        <v>1951</v>
      </c>
      <c r="F22" s="8" t="s">
        <v>1966</v>
      </c>
      <c r="G22" s="8" t="s">
        <v>9</v>
      </c>
      <c r="H22" s="8" t="s">
        <v>352</v>
      </c>
      <c r="I22" s="8" t="s">
        <v>1973</v>
      </c>
      <c r="J22" s="8" t="s">
        <v>1996</v>
      </c>
      <c r="K22" s="8" t="s">
        <v>384</v>
      </c>
      <c r="L22" s="8" t="s">
        <v>610</v>
      </c>
      <c r="M22" s="10">
        <v>0</v>
      </c>
      <c r="N22" s="8" t="s">
        <v>619</v>
      </c>
      <c r="O22" s="8" t="s">
        <v>9</v>
      </c>
      <c r="P22" s="8" t="s">
        <v>1955</v>
      </c>
      <c r="Q22" s="8" t="s">
        <v>1956</v>
      </c>
      <c r="R22" s="8" t="s">
        <v>1956</v>
      </c>
      <c r="S22" s="8" t="s">
        <v>356</v>
      </c>
      <c r="T22" s="8" t="s">
        <v>1172</v>
      </c>
      <c r="U22" s="8" t="s">
        <v>1968</v>
      </c>
      <c r="V22" s="8" t="s">
        <v>1172</v>
      </c>
      <c r="W22" s="8" t="s">
        <v>1969</v>
      </c>
      <c r="X22" s="8" t="s">
        <v>1707</v>
      </c>
      <c r="Y22" s="8" t="s">
        <v>112</v>
      </c>
      <c r="Z22" s="8" t="s">
        <v>1959</v>
      </c>
    </row>
    <row r="23" spans="1:26" ht="90" customHeight="1" x14ac:dyDescent="0.3">
      <c r="A23" s="8" t="s">
        <v>1997</v>
      </c>
      <c r="B23" s="8" t="s">
        <v>9</v>
      </c>
      <c r="C23" s="10">
        <v>215656</v>
      </c>
      <c r="D23" s="8" t="s">
        <v>118</v>
      </c>
      <c r="E23" s="8" t="s">
        <v>1951</v>
      </c>
      <c r="F23" s="8" t="s">
        <v>1966</v>
      </c>
      <c r="G23" s="8" t="s">
        <v>9</v>
      </c>
      <c r="H23" s="8" t="s">
        <v>352</v>
      </c>
      <c r="I23" s="8" t="s">
        <v>1973</v>
      </c>
      <c r="J23" s="8" t="s">
        <v>1996</v>
      </c>
      <c r="K23" s="8" t="s">
        <v>384</v>
      </c>
      <c r="L23" s="8" t="s">
        <v>612</v>
      </c>
      <c r="M23" s="10">
        <v>0</v>
      </c>
      <c r="N23" s="8" t="s">
        <v>621</v>
      </c>
      <c r="O23" s="8" t="s">
        <v>9</v>
      </c>
      <c r="P23" s="8" t="s">
        <v>1955</v>
      </c>
      <c r="Q23" s="8" t="s">
        <v>1956</v>
      </c>
      <c r="R23" s="8" t="s">
        <v>1956</v>
      </c>
      <c r="S23" s="8" t="s">
        <v>356</v>
      </c>
      <c r="T23" s="8" t="s">
        <v>1172</v>
      </c>
      <c r="U23" s="8" t="s">
        <v>1968</v>
      </c>
      <c r="V23" s="8" t="s">
        <v>1172</v>
      </c>
      <c r="W23" s="8" t="s">
        <v>1969</v>
      </c>
      <c r="X23" s="8" t="s">
        <v>1707</v>
      </c>
      <c r="Y23" s="8" t="s">
        <v>112</v>
      </c>
      <c r="Z23" s="8" t="s">
        <v>1959</v>
      </c>
    </row>
    <row r="24" spans="1:26" ht="60" x14ac:dyDescent="0.3">
      <c r="A24" s="8" t="s">
        <v>1998</v>
      </c>
      <c r="B24" s="8" t="s">
        <v>9</v>
      </c>
      <c r="C24" s="10">
        <v>215656</v>
      </c>
      <c r="D24" s="8" t="s">
        <v>118</v>
      </c>
      <c r="E24" s="8" t="s">
        <v>1951</v>
      </c>
      <c r="F24" s="8" t="s">
        <v>1966</v>
      </c>
      <c r="G24" s="8" t="s">
        <v>9</v>
      </c>
      <c r="H24" s="8" t="s">
        <v>352</v>
      </c>
      <c r="I24" s="8" t="s">
        <v>1973</v>
      </c>
      <c r="J24" s="8" t="s">
        <v>1996</v>
      </c>
      <c r="K24" s="8" t="s">
        <v>384</v>
      </c>
      <c r="L24" s="8" t="s">
        <v>614</v>
      </c>
      <c r="M24" s="10">
        <v>0</v>
      </c>
      <c r="N24" s="8" t="s">
        <v>623</v>
      </c>
      <c r="O24" s="8" t="s">
        <v>9</v>
      </c>
      <c r="P24" s="8" t="s">
        <v>1955</v>
      </c>
      <c r="Q24" s="8" t="s">
        <v>1956</v>
      </c>
      <c r="R24" s="8" t="s">
        <v>1956</v>
      </c>
      <c r="S24" s="8" t="s">
        <v>356</v>
      </c>
      <c r="T24" s="8" t="s">
        <v>1172</v>
      </c>
      <c r="U24" s="8" t="s">
        <v>1968</v>
      </c>
      <c r="V24" s="8" t="s">
        <v>1172</v>
      </c>
      <c r="W24" s="8" t="s">
        <v>1969</v>
      </c>
      <c r="X24" s="8" t="s">
        <v>1707</v>
      </c>
      <c r="Y24" s="8" t="s">
        <v>112</v>
      </c>
      <c r="Z24" s="8" t="s">
        <v>1959</v>
      </c>
    </row>
    <row r="25" spans="1:26" ht="90" customHeight="1" x14ac:dyDescent="0.3">
      <c r="A25" s="8" t="s">
        <v>1999</v>
      </c>
      <c r="B25" s="8" t="s">
        <v>9</v>
      </c>
      <c r="C25" s="10">
        <v>215656</v>
      </c>
      <c r="D25" s="8" t="s">
        <v>118</v>
      </c>
      <c r="E25" s="8" t="s">
        <v>1951</v>
      </c>
      <c r="F25" s="8" t="s">
        <v>1966</v>
      </c>
      <c r="G25" s="8" t="s">
        <v>9</v>
      </c>
      <c r="H25" s="8" t="s">
        <v>352</v>
      </c>
      <c r="I25" s="8" t="s">
        <v>1973</v>
      </c>
      <c r="J25" s="8" t="s">
        <v>1996</v>
      </c>
      <c r="K25" s="8" t="s">
        <v>384</v>
      </c>
      <c r="L25" s="8" t="s">
        <v>616</v>
      </c>
      <c r="M25" s="10">
        <v>0</v>
      </c>
      <c r="N25" s="8" t="s">
        <v>625</v>
      </c>
      <c r="O25" s="8" t="s">
        <v>9</v>
      </c>
      <c r="P25" s="8" t="s">
        <v>1955</v>
      </c>
      <c r="Q25" s="8" t="s">
        <v>1956</v>
      </c>
      <c r="R25" s="8" t="s">
        <v>1956</v>
      </c>
      <c r="S25" s="8" t="s">
        <v>356</v>
      </c>
      <c r="T25" s="8" t="s">
        <v>1172</v>
      </c>
      <c r="U25" s="8" t="s">
        <v>1968</v>
      </c>
      <c r="V25" s="8" t="s">
        <v>1172</v>
      </c>
      <c r="W25" s="8" t="s">
        <v>1969</v>
      </c>
      <c r="X25" s="8" t="s">
        <v>1707</v>
      </c>
      <c r="Y25" s="8" t="s">
        <v>112</v>
      </c>
      <c r="Z25" s="8" t="s">
        <v>1959</v>
      </c>
    </row>
    <row r="26" spans="1:26" ht="36" x14ac:dyDescent="0.3">
      <c r="A26" s="8" t="s">
        <v>2000</v>
      </c>
      <c r="B26" s="8" t="s">
        <v>9</v>
      </c>
      <c r="C26" s="10">
        <v>319918</v>
      </c>
      <c r="D26" s="8" t="s">
        <v>120</v>
      </c>
      <c r="E26" s="8" t="s">
        <v>2001</v>
      </c>
      <c r="F26" s="8" t="s">
        <v>1966</v>
      </c>
      <c r="G26" s="8" t="s">
        <v>9</v>
      </c>
      <c r="H26" s="8" t="s">
        <v>352</v>
      </c>
      <c r="I26" s="8" t="s">
        <v>355</v>
      </c>
      <c r="J26" s="8" t="s">
        <v>355</v>
      </c>
      <c r="K26" s="8" t="s">
        <v>355</v>
      </c>
      <c r="L26" s="8" t="s">
        <v>355</v>
      </c>
      <c r="M26" s="10" t="s">
        <v>355</v>
      </c>
      <c r="N26" s="8" t="s">
        <v>355</v>
      </c>
      <c r="O26" s="8" t="s">
        <v>9</v>
      </c>
      <c r="P26" s="8" t="s">
        <v>1956</v>
      </c>
      <c r="Q26" s="8" t="s">
        <v>1956</v>
      </c>
      <c r="R26" s="8" t="s">
        <v>1956</v>
      </c>
      <c r="S26" s="8" t="s">
        <v>356</v>
      </c>
      <c r="T26" s="8" t="s">
        <v>1956</v>
      </c>
      <c r="U26" s="8" t="s">
        <v>1957</v>
      </c>
      <c r="V26" s="8" t="s">
        <v>1172</v>
      </c>
      <c r="W26" s="8" t="s">
        <v>2002</v>
      </c>
      <c r="X26" s="8" t="s">
        <v>1714</v>
      </c>
      <c r="Y26" s="8" t="s">
        <v>112</v>
      </c>
      <c r="Z26" s="8" t="s">
        <v>2003</v>
      </c>
    </row>
    <row r="27" spans="1:26" ht="48" x14ac:dyDescent="0.3">
      <c r="A27" s="8" t="s">
        <v>2004</v>
      </c>
      <c r="B27" s="8" t="s">
        <v>9</v>
      </c>
      <c r="C27" s="10">
        <v>229337</v>
      </c>
      <c r="D27" s="8" t="s">
        <v>380</v>
      </c>
      <c r="E27" s="8" t="s">
        <v>1986</v>
      </c>
      <c r="F27" s="8" t="s">
        <v>1952</v>
      </c>
      <c r="G27" s="8" t="s">
        <v>9</v>
      </c>
      <c r="H27" s="8" t="s">
        <v>352</v>
      </c>
      <c r="I27" s="8" t="s">
        <v>1729</v>
      </c>
      <c r="J27" s="8" t="s">
        <v>2005</v>
      </c>
      <c r="K27" s="8" t="s">
        <v>384</v>
      </c>
      <c r="L27" s="8" t="s">
        <v>2006</v>
      </c>
      <c r="M27" s="10">
        <v>0</v>
      </c>
      <c r="N27" s="8" t="s">
        <v>355</v>
      </c>
      <c r="O27" s="8" t="s">
        <v>9</v>
      </c>
      <c r="P27" s="8" t="s">
        <v>1955</v>
      </c>
      <c r="Q27" s="8" t="s">
        <v>1956</v>
      </c>
      <c r="R27" s="8" t="s">
        <v>1956</v>
      </c>
      <c r="S27" s="8" t="s">
        <v>356</v>
      </c>
      <c r="T27" s="8" t="s">
        <v>1172</v>
      </c>
      <c r="U27" s="8" t="s">
        <v>1957</v>
      </c>
      <c r="V27" s="8" t="s">
        <v>283</v>
      </c>
      <c r="W27" s="8" t="s">
        <v>1958</v>
      </c>
      <c r="X27" s="8" t="s">
        <v>355</v>
      </c>
      <c r="Y27" s="8" t="s">
        <v>112</v>
      </c>
      <c r="Z27" s="8" t="s">
        <v>1959</v>
      </c>
    </row>
    <row r="28" spans="1:26" ht="48" x14ac:dyDescent="0.3">
      <c r="A28" s="8" t="s">
        <v>2007</v>
      </c>
      <c r="B28" s="8" t="s">
        <v>9</v>
      </c>
      <c r="C28" s="10">
        <v>229337</v>
      </c>
      <c r="D28" s="8" t="s">
        <v>380</v>
      </c>
      <c r="E28" s="8" t="s">
        <v>1986</v>
      </c>
      <c r="F28" s="8" t="s">
        <v>1952</v>
      </c>
      <c r="G28" s="8" t="s">
        <v>9</v>
      </c>
      <c r="H28" s="8" t="s">
        <v>352</v>
      </c>
      <c r="I28" s="8" t="s">
        <v>1973</v>
      </c>
      <c r="J28" s="8" t="s">
        <v>2005</v>
      </c>
      <c r="K28" s="8" t="s">
        <v>384</v>
      </c>
      <c r="L28" s="8" t="s">
        <v>2006</v>
      </c>
      <c r="M28" s="10">
        <v>0</v>
      </c>
      <c r="N28" s="8" t="s">
        <v>590</v>
      </c>
      <c r="O28" s="8" t="s">
        <v>9</v>
      </c>
      <c r="P28" s="8" t="s">
        <v>1955</v>
      </c>
      <c r="Q28" s="8" t="s">
        <v>1956</v>
      </c>
      <c r="R28" s="8" t="s">
        <v>1956</v>
      </c>
      <c r="S28" s="8" t="s">
        <v>356</v>
      </c>
      <c r="T28" s="8" t="s">
        <v>1172</v>
      </c>
      <c r="U28" s="8" t="s">
        <v>1957</v>
      </c>
      <c r="V28" s="8" t="s">
        <v>283</v>
      </c>
      <c r="W28" s="8" t="s">
        <v>1958</v>
      </c>
      <c r="X28" s="8" t="s">
        <v>355</v>
      </c>
      <c r="Y28" s="8" t="s">
        <v>112</v>
      </c>
      <c r="Z28" s="8" t="s">
        <v>1959</v>
      </c>
    </row>
    <row r="29" spans="1:26" ht="60" x14ac:dyDescent="0.3">
      <c r="A29" s="8" t="s">
        <v>2008</v>
      </c>
      <c r="B29" s="8" t="s">
        <v>9</v>
      </c>
      <c r="C29" s="10">
        <v>276577</v>
      </c>
      <c r="D29" s="8" t="s">
        <v>123</v>
      </c>
      <c r="E29" s="8" t="s">
        <v>1986</v>
      </c>
      <c r="F29" s="8" t="s">
        <v>1966</v>
      </c>
      <c r="G29" s="8" t="s">
        <v>9</v>
      </c>
      <c r="H29" s="8" t="s">
        <v>352</v>
      </c>
      <c r="I29" s="8" t="s">
        <v>1729</v>
      </c>
      <c r="J29" s="8" t="s">
        <v>2009</v>
      </c>
      <c r="K29" s="8" t="s">
        <v>384</v>
      </c>
      <c r="L29" s="8" t="s">
        <v>628</v>
      </c>
      <c r="M29" s="10">
        <v>0</v>
      </c>
      <c r="N29" s="8" t="s">
        <v>590</v>
      </c>
      <c r="O29" s="8" t="s">
        <v>9</v>
      </c>
      <c r="P29" s="8" t="s">
        <v>1955</v>
      </c>
      <c r="Q29" s="8" t="s">
        <v>1956</v>
      </c>
      <c r="R29" s="8" t="s">
        <v>1956</v>
      </c>
      <c r="S29" s="8" t="s">
        <v>356</v>
      </c>
      <c r="T29" s="8" t="s">
        <v>1172</v>
      </c>
      <c r="U29" s="8" t="s">
        <v>1968</v>
      </c>
      <c r="V29" s="8" t="s">
        <v>1172</v>
      </c>
      <c r="W29" s="8" t="s">
        <v>1969</v>
      </c>
      <c r="X29" s="8" t="s">
        <v>1722</v>
      </c>
      <c r="Y29" s="8" t="s">
        <v>112</v>
      </c>
      <c r="Z29" s="8" t="s">
        <v>1959</v>
      </c>
    </row>
    <row r="30" spans="1:26" ht="60" x14ac:dyDescent="0.3">
      <c r="A30" s="8" t="s">
        <v>2010</v>
      </c>
      <c r="B30" s="8" t="s">
        <v>9</v>
      </c>
      <c r="C30" s="10">
        <v>276577</v>
      </c>
      <c r="D30" s="8" t="s">
        <v>123</v>
      </c>
      <c r="E30" s="8" t="s">
        <v>1986</v>
      </c>
      <c r="F30" s="8" t="s">
        <v>1966</v>
      </c>
      <c r="G30" s="8" t="s">
        <v>9</v>
      </c>
      <c r="H30" s="8" t="s">
        <v>352</v>
      </c>
      <c r="I30" s="8" t="s">
        <v>1973</v>
      </c>
      <c r="J30" s="8" t="s">
        <v>2009</v>
      </c>
      <c r="K30" s="8" t="s">
        <v>384</v>
      </c>
      <c r="L30" s="8" t="s">
        <v>628</v>
      </c>
      <c r="M30" s="10">
        <v>0</v>
      </c>
      <c r="N30" s="8" t="s">
        <v>603</v>
      </c>
      <c r="O30" s="8" t="s">
        <v>9</v>
      </c>
      <c r="P30" s="8" t="s">
        <v>1955</v>
      </c>
      <c r="Q30" s="8" t="s">
        <v>1956</v>
      </c>
      <c r="R30" s="8" t="s">
        <v>1956</v>
      </c>
      <c r="S30" s="8" t="s">
        <v>356</v>
      </c>
      <c r="T30" s="8" t="s">
        <v>1172</v>
      </c>
      <c r="U30" s="8" t="s">
        <v>1968</v>
      </c>
      <c r="V30" s="8" t="s">
        <v>1172</v>
      </c>
      <c r="W30" s="8" t="s">
        <v>1969</v>
      </c>
      <c r="X30" s="8" t="s">
        <v>1722</v>
      </c>
      <c r="Y30" s="8" t="s">
        <v>112</v>
      </c>
      <c r="Z30" s="8" t="s">
        <v>1959</v>
      </c>
    </row>
    <row r="31" spans="1:26" ht="24" x14ac:dyDescent="0.3">
      <c r="A31" s="8" t="s">
        <v>2011</v>
      </c>
      <c r="B31" s="8" t="s">
        <v>9</v>
      </c>
      <c r="C31" s="10">
        <v>320120</v>
      </c>
      <c r="D31" s="8" t="s">
        <v>383</v>
      </c>
      <c r="E31" s="8" t="s">
        <v>1951</v>
      </c>
      <c r="F31" s="8" t="s">
        <v>1952</v>
      </c>
      <c r="G31" s="8" t="s">
        <v>9</v>
      </c>
      <c r="H31" s="8" t="s">
        <v>352</v>
      </c>
      <c r="I31" s="8" t="s">
        <v>1973</v>
      </c>
      <c r="J31" s="8" t="s">
        <v>2012</v>
      </c>
      <c r="K31" s="8" t="s">
        <v>384</v>
      </c>
      <c r="L31" s="8" t="s">
        <v>2013</v>
      </c>
      <c r="M31" s="10">
        <v>0</v>
      </c>
      <c r="N31" s="8" t="s">
        <v>2014</v>
      </c>
      <c r="O31" s="8" t="s">
        <v>9</v>
      </c>
      <c r="P31" s="8" t="s">
        <v>1955</v>
      </c>
      <c r="Q31" s="8" t="s">
        <v>1956</v>
      </c>
      <c r="R31" s="8" t="s">
        <v>1956</v>
      </c>
      <c r="S31" s="8" t="s">
        <v>356</v>
      </c>
      <c r="T31" s="8" t="s">
        <v>1172</v>
      </c>
      <c r="U31" s="8" t="s">
        <v>1957</v>
      </c>
      <c r="V31" s="8" t="s">
        <v>283</v>
      </c>
      <c r="W31" s="8" t="s">
        <v>1958</v>
      </c>
      <c r="X31" s="8" t="s">
        <v>355</v>
      </c>
      <c r="Y31" s="8" t="s">
        <v>112</v>
      </c>
      <c r="Z31" s="8" t="s">
        <v>1988</v>
      </c>
    </row>
    <row r="32" spans="1:26" ht="24" x14ac:dyDescent="0.3">
      <c r="A32" s="8" t="s">
        <v>2015</v>
      </c>
      <c r="B32" s="8" t="s">
        <v>9</v>
      </c>
      <c r="C32" s="10">
        <v>320120</v>
      </c>
      <c r="D32" s="8" t="s">
        <v>383</v>
      </c>
      <c r="E32" s="8" t="s">
        <v>1951</v>
      </c>
      <c r="F32" s="8" t="s">
        <v>1952</v>
      </c>
      <c r="G32" s="8" t="s">
        <v>9</v>
      </c>
      <c r="H32" s="8" t="s">
        <v>352</v>
      </c>
      <c r="I32" s="8" t="s">
        <v>2016</v>
      </c>
      <c r="J32" s="8" t="s">
        <v>2017</v>
      </c>
      <c r="K32" s="8" t="s">
        <v>384</v>
      </c>
      <c r="L32" s="8" t="s">
        <v>2013</v>
      </c>
      <c r="M32" s="10">
        <v>0</v>
      </c>
      <c r="N32" s="8" t="s">
        <v>2018</v>
      </c>
      <c r="O32" s="8" t="s">
        <v>9</v>
      </c>
      <c r="P32" s="8" t="s">
        <v>1955</v>
      </c>
      <c r="Q32" s="8" t="s">
        <v>1956</v>
      </c>
      <c r="R32" s="8" t="s">
        <v>1956</v>
      </c>
      <c r="S32" s="8" t="s">
        <v>356</v>
      </c>
      <c r="T32" s="8" t="s">
        <v>1172</v>
      </c>
      <c r="U32" s="8" t="s">
        <v>1957</v>
      </c>
      <c r="V32" s="8" t="s">
        <v>283</v>
      </c>
      <c r="W32" s="8" t="s">
        <v>1958</v>
      </c>
      <c r="X32" s="8" t="s">
        <v>355</v>
      </c>
      <c r="Y32" s="8" t="s">
        <v>112</v>
      </c>
      <c r="Z32" s="8" t="s">
        <v>1988</v>
      </c>
    </row>
    <row r="33" spans="1:26" ht="24" x14ac:dyDescent="0.3">
      <c r="A33" s="8" t="s">
        <v>2019</v>
      </c>
      <c r="B33" s="8" t="s">
        <v>9</v>
      </c>
      <c r="C33" s="10">
        <v>319723</v>
      </c>
      <c r="D33" s="8" t="s">
        <v>389</v>
      </c>
      <c r="E33" s="8" t="s">
        <v>1951</v>
      </c>
      <c r="F33" s="8" t="s">
        <v>1952</v>
      </c>
      <c r="G33" s="8" t="s">
        <v>9</v>
      </c>
      <c r="H33" s="8" t="s">
        <v>352</v>
      </c>
      <c r="I33" s="8" t="s">
        <v>1729</v>
      </c>
      <c r="J33" s="8" t="s">
        <v>2020</v>
      </c>
      <c r="K33" s="8" t="s">
        <v>384</v>
      </c>
      <c r="L33" s="8" t="s">
        <v>2013</v>
      </c>
      <c r="M33" s="10">
        <v>0</v>
      </c>
      <c r="N33" s="8" t="s">
        <v>2021</v>
      </c>
      <c r="O33" s="8" t="s">
        <v>9</v>
      </c>
      <c r="P33" s="8" t="s">
        <v>1955</v>
      </c>
      <c r="Q33" s="8" t="s">
        <v>1956</v>
      </c>
      <c r="R33" s="8" t="s">
        <v>1956</v>
      </c>
      <c r="S33" s="8" t="s">
        <v>356</v>
      </c>
      <c r="T33" s="8" t="s">
        <v>1172</v>
      </c>
      <c r="U33" s="8" t="s">
        <v>1957</v>
      </c>
      <c r="V33" s="8" t="s">
        <v>283</v>
      </c>
      <c r="W33" s="8" t="s">
        <v>1958</v>
      </c>
      <c r="X33" s="8" t="s">
        <v>355</v>
      </c>
      <c r="Y33" s="8" t="s">
        <v>112</v>
      </c>
      <c r="Z33" s="8" t="s">
        <v>1988</v>
      </c>
    </row>
    <row r="34" spans="1:26" ht="24" x14ac:dyDescent="0.3">
      <c r="A34" s="8" t="s">
        <v>2022</v>
      </c>
      <c r="B34" s="8" t="s">
        <v>9</v>
      </c>
      <c r="C34" s="10">
        <v>319723</v>
      </c>
      <c r="D34" s="8" t="s">
        <v>389</v>
      </c>
      <c r="E34" s="8" t="s">
        <v>1951</v>
      </c>
      <c r="F34" s="8" t="s">
        <v>1952</v>
      </c>
      <c r="G34" s="8" t="s">
        <v>9</v>
      </c>
      <c r="H34" s="8" t="s">
        <v>352</v>
      </c>
      <c r="I34" s="8" t="s">
        <v>1729</v>
      </c>
      <c r="J34" s="8" t="s">
        <v>2020</v>
      </c>
      <c r="K34" s="8" t="s">
        <v>384</v>
      </c>
      <c r="L34" s="8" t="s">
        <v>2023</v>
      </c>
      <c r="M34" s="10">
        <v>0</v>
      </c>
      <c r="N34" s="8" t="s">
        <v>2021</v>
      </c>
      <c r="O34" s="8" t="s">
        <v>9</v>
      </c>
      <c r="P34" s="8" t="s">
        <v>1955</v>
      </c>
      <c r="Q34" s="8" t="s">
        <v>1956</v>
      </c>
      <c r="R34" s="8" t="s">
        <v>1956</v>
      </c>
      <c r="S34" s="8" t="s">
        <v>356</v>
      </c>
      <c r="T34" s="8" t="s">
        <v>1172</v>
      </c>
      <c r="U34" s="8" t="s">
        <v>1957</v>
      </c>
      <c r="V34" s="8" t="s">
        <v>283</v>
      </c>
      <c r="W34" s="8" t="s">
        <v>1958</v>
      </c>
      <c r="X34" s="8" t="s">
        <v>355</v>
      </c>
      <c r="Y34" s="8" t="s">
        <v>112</v>
      </c>
      <c r="Z34" s="8" t="s">
        <v>1988</v>
      </c>
    </row>
    <row r="35" spans="1:26" ht="24" x14ac:dyDescent="0.3">
      <c r="A35" s="8" t="s">
        <v>2024</v>
      </c>
      <c r="B35" s="8" t="s">
        <v>9</v>
      </c>
      <c r="C35" s="10">
        <v>319723</v>
      </c>
      <c r="D35" s="8" t="s">
        <v>389</v>
      </c>
      <c r="E35" s="8" t="s">
        <v>1951</v>
      </c>
      <c r="F35" s="8" t="s">
        <v>1952</v>
      </c>
      <c r="G35" s="8" t="s">
        <v>9</v>
      </c>
      <c r="H35" s="8" t="s">
        <v>352</v>
      </c>
      <c r="I35" s="8" t="s">
        <v>1729</v>
      </c>
      <c r="J35" s="8" t="s">
        <v>2020</v>
      </c>
      <c r="K35" s="8" t="s">
        <v>384</v>
      </c>
      <c r="L35" s="8" t="s">
        <v>2025</v>
      </c>
      <c r="M35" s="10">
        <v>0</v>
      </c>
      <c r="N35" s="8" t="s">
        <v>2026</v>
      </c>
      <c r="O35" s="8" t="s">
        <v>9</v>
      </c>
      <c r="P35" s="8" t="s">
        <v>1955</v>
      </c>
      <c r="Q35" s="8" t="s">
        <v>1956</v>
      </c>
      <c r="R35" s="8" t="s">
        <v>1956</v>
      </c>
      <c r="S35" s="8" t="s">
        <v>356</v>
      </c>
      <c r="T35" s="8" t="s">
        <v>1172</v>
      </c>
      <c r="U35" s="8" t="s">
        <v>1957</v>
      </c>
      <c r="V35" s="8" t="s">
        <v>283</v>
      </c>
      <c r="W35" s="8" t="s">
        <v>1958</v>
      </c>
      <c r="X35" s="8" t="s">
        <v>355</v>
      </c>
      <c r="Y35" s="8" t="s">
        <v>112</v>
      </c>
      <c r="Z35" s="8" t="s">
        <v>1988</v>
      </c>
    </row>
    <row r="36" spans="1:26" ht="24" x14ac:dyDescent="0.3">
      <c r="A36" s="8" t="s">
        <v>2027</v>
      </c>
      <c r="B36" s="8" t="s">
        <v>9</v>
      </c>
      <c r="C36" s="10">
        <v>319723</v>
      </c>
      <c r="D36" s="8" t="s">
        <v>389</v>
      </c>
      <c r="E36" s="8" t="s">
        <v>1951</v>
      </c>
      <c r="F36" s="8" t="s">
        <v>1952</v>
      </c>
      <c r="G36" s="8" t="s">
        <v>9</v>
      </c>
      <c r="H36" s="8" t="s">
        <v>352</v>
      </c>
      <c r="I36" s="8" t="s">
        <v>1729</v>
      </c>
      <c r="J36" s="8" t="s">
        <v>2020</v>
      </c>
      <c r="K36" s="8" t="s">
        <v>384</v>
      </c>
      <c r="L36" s="8" t="s">
        <v>2028</v>
      </c>
      <c r="M36" s="10">
        <v>0</v>
      </c>
      <c r="N36" s="8" t="s">
        <v>2029</v>
      </c>
      <c r="O36" s="8" t="s">
        <v>9</v>
      </c>
      <c r="P36" s="8" t="s">
        <v>1955</v>
      </c>
      <c r="Q36" s="8" t="s">
        <v>1956</v>
      </c>
      <c r="R36" s="8" t="s">
        <v>1956</v>
      </c>
      <c r="S36" s="8" t="s">
        <v>356</v>
      </c>
      <c r="T36" s="8" t="s">
        <v>1172</v>
      </c>
      <c r="U36" s="8" t="s">
        <v>1957</v>
      </c>
      <c r="V36" s="8" t="s">
        <v>283</v>
      </c>
      <c r="W36" s="8" t="s">
        <v>1958</v>
      </c>
      <c r="X36" s="8" t="s">
        <v>355</v>
      </c>
      <c r="Y36" s="8" t="s">
        <v>112</v>
      </c>
      <c r="Z36" s="8" t="s">
        <v>1988</v>
      </c>
    </row>
    <row r="37" spans="1:26" ht="24" x14ac:dyDescent="0.3">
      <c r="A37" s="8" t="s">
        <v>2030</v>
      </c>
      <c r="B37" s="8" t="s">
        <v>9</v>
      </c>
      <c r="C37" s="10">
        <v>319723</v>
      </c>
      <c r="D37" s="8" t="s">
        <v>389</v>
      </c>
      <c r="E37" s="8" t="s">
        <v>1951</v>
      </c>
      <c r="F37" s="8" t="s">
        <v>1952</v>
      </c>
      <c r="G37" s="8" t="s">
        <v>9</v>
      </c>
      <c r="H37" s="8" t="s">
        <v>352</v>
      </c>
      <c r="I37" s="8" t="s">
        <v>1729</v>
      </c>
      <c r="J37" s="8" t="s">
        <v>2020</v>
      </c>
      <c r="K37" s="8" t="s">
        <v>384</v>
      </c>
      <c r="L37" s="8" t="s">
        <v>2031</v>
      </c>
      <c r="M37" s="10">
        <v>0</v>
      </c>
      <c r="N37" s="8" t="s">
        <v>2032</v>
      </c>
      <c r="O37" s="8" t="s">
        <v>9</v>
      </c>
      <c r="P37" s="8" t="s">
        <v>1955</v>
      </c>
      <c r="Q37" s="8" t="s">
        <v>1956</v>
      </c>
      <c r="R37" s="8" t="s">
        <v>1956</v>
      </c>
      <c r="S37" s="8" t="s">
        <v>356</v>
      </c>
      <c r="T37" s="8" t="s">
        <v>1172</v>
      </c>
      <c r="U37" s="8" t="s">
        <v>1957</v>
      </c>
      <c r="V37" s="8" t="s">
        <v>283</v>
      </c>
      <c r="W37" s="8" t="s">
        <v>1958</v>
      </c>
      <c r="X37" s="8" t="s">
        <v>355</v>
      </c>
      <c r="Y37" s="8" t="s">
        <v>112</v>
      </c>
      <c r="Z37" s="8" t="s">
        <v>1988</v>
      </c>
    </row>
    <row r="38" spans="1:26" ht="24" x14ac:dyDescent="0.3">
      <c r="A38" s="8" t="s">
        <v>2033</v>
      </c>
      <c r="B38" s="8" t="s">
        <v>9</v>
      </c>
      <c r="C38" s="10">
        <v>319723</v>
      </c>
      <c r="D38" s="8" t="s">
        <v>389</v>
      </c>
      <c r="E38" s="8" t="s">
        <v>1951</v>
      </c>
      <c r="F38" s="8" t="s">
        <v>1952</v>
      </c>
      <c r="G38" s="8" t="s">
        <v>9</v>
      </c>
      <c r="H38" s="8" t="s">
        <v>352</v>
      </c>
      <c r="I38" s="8" t="s">
        <v>1729</v>
      </c>
      <c r="J38" s="8" t="s">
        <v>2020</v>
      </c>
      <c r="K38" s="8" t="s">
        <v>384</v>
      </c>
      <c r="L38" s="8" t="s">
        <v>2034</v>
      </c>
      <c r="M38" s="10">
        <v>0</v>
      </c>
      <c r="N38" s="8" t="s">
        <v>2021</v>
      </c>
      <c r="O38" s="8" t="s">
        <v>9</v>
      </c>
      <c r="P38" s="8" t="s">
        <v>1955</v>
      </c>
      <c r="Q38" s="8" t="s">
        <v>1956</v>
      </c>
      <c r="R38" s="8" t="s">
        <v>1956</v>
      </c>
      <c r="S38" s="8" t="s">
        <v>356</v>
      </c>
      <c r="T38" s="8" t="s">
        <v>1172</v>
      </c>
      <c r="U38" s="8" t="s">
        <v>1957</v>
      </c>
      <c r="V38" s="8" t="s">
        <v>283</v>
      </c>
      <c r="W38" s="8" t="s">
        <v>1958</v>
      </c>
      <c r="X38" s="8" t="s">
        <v>355</v>
      </c>
      <c r="Y38" s="8" t="s">
        <v>112</v>
      </c>
      <c r="Z38" s="8" t="s">
        <v>1988</v>
      </c>
    </row>
    <row r="39" spans="1:26" ht="24" x14ac:dyDescent="0.3">
      <c r="A39" s="8" t="s">
        <v>2035</v>
      </c>
      <c r="B39" s="8" t="s">
        <v>9</v>
      </c>
      <c r="C39" s="10">
        <v>319755</v>
      </c>
      <c r="D39" s="8" t="s">
        <v>391</v>
      </c>
      <c r="E39" s="8" t="s">
        <v>1951</v>
      </c>
      <c r="F39" s="8" t="s">
        <v>1952</v>
      </c>
      <c r="G39" s="8" t="s">
        <v>9</v>
      </c>
      <c r="H39" s="8" t="s">
        <v>352</v>
      </c>
      <c r="I39" s="8" t="s">
        <v>1729</v>
      </c>
      <c r="J39" s="8" t="s">
        <v>355</v>
      </c>
      <c r="K39" s="8" t="s">
        <v>357</v>
      </c>
      <c r="L39" s="8" t="s">
        <v>966</v>
      </c>
      <c r="M39" s="10">
        <v>850748</v>
      </c>
      <c r="N39" s="8" t="s">
        <v>2036</v>
      </c>
      <c r="O39" s="8" t="s">
        <v>9</v>
      </c>
      <c r="P39" s="8" t="s">
        <v>1956</v>
      </c>
      <c r="Q39" s="8" t="s">
        <v>1956</v>
      </c>
      <c r="R39" s="8" t="s">
        <v>1956</v>
      </c>
      <c r="S39" s="8" t="s">
        <v>356</v>
      </c>
      <c r="T39" s="8" t="s">
        <v>1172</v>
      </c>
      <c r="U39" s="8" t="s">
        <v>1957</v>
      </c>
      <c r="V39" s="8" t="s">
        <v>283</v>
      </c>
      <c r="W39" s="8" t="s">
        <v>1958</v>
      </c>
      <c r="X39" s="8" t="s">
        <v>355</v>
      </c>
      <c r="Y39" s="8" t="s">
        <v>112</v>
      </c>
      <c r="Z39" s="8" t="s">
        <v>1988</v>
      </c>
    </row>
    <row r="40" spans="1:26" ht="24" x14ac:dyDescent="0.3">
      <c r="A40" s="8" t="s">
        <v>2037</v>
      </c>
      <c r="B40" s="8" t="s">
        <v>9</v>
      </c>
      <c r="C40" s="10">
        <v>320308</v>
      </c>
      <c r="D40" s="8" t="s">
        <v>125</v>
      </c>
      <c r="E40" s="8" t="s">
        <v>1951</v>
      </c>
      <c r="F40" s="8" t="s">
        <v>1966</v>
      </c>
      <c r="G40" s="8" t="s">
        <v>9</v>
      </c>
      <c r="H40" s="8" t="s">
        <v>352</v>
      </c>
      <c r="I40" s="8" t="s">
        <v>1729</v>
      </c>
      <c r="J40" s="8" t="s">
        <v>355</v>
      </c>
      <c r="K40" s="8" t="s">
        <v>357</v>
      </c>
      <c r="L40" s="8" t="s">
        <v>358</v>
      </c>
      <c r="M40" s="10">
        <v>851447</v>
      </c>
      <c r="N40" s="8" t="s">
        <v>383</v>
      </c>
      <c r="O40" s="8" t="s">
        <v>9</v>
      </c>
      <c r="P40" s="8" t="s">
        <v>2038</v>
      </c>
      <c r="Q40" s="8" t="s">
        <v>1956</v>
      </c>
      <c r="R40" s="8" t="s">
        <v>1956</v>
      </c>
      <c r="S40" s="8" t="s">
        <v>356</v>
      </c>
      <c r="T40" s="8" t="s">
        <v>1172</v>
      </c>
      <c r="U40" s="8" t="s">
        <v>1968</v>
      </c>
      <c r="V40" s="8" t="s">
        <v>1172</v>
      </c>
      <c r="W40" s="8" t="s">
        <v>1969</v>
      </c>
      <c r="X40" s="8" t="s">
        <v>1728</v>
      </c>
      <c r="Y40" s="8" t="s">
        <v>112</v>
      </c>
      <c r="Z40" s="8" t="s">
        <v>2039</v>
      </c>
    </row>
    <row r="41" spans="1:26" ht="24" x14ac:dyDescent="0.3">
      <c r="A41" s="8" t="s">
        <v>2040</v>
      </c>
      <c r="B41" s="8" t="s">
        <v>9</v>
      </c>
      <c r="C41" s="10">
        <v>315721</v>
      </c>
      <c r="D41" s="8" t="s">
        <v>127</v>
      </c>
      <c r="E41" s="8" t="s">
        <v>1951</v>
      </c>
      <c r="F41" s="8" t="s">
        <v>1966</v>
      </c>
      <c r="G41" s="8" t="s">
        <v>9</v>
      </c>
      <c r="H41" s="8" t="s">
        <v>352</v>
      </c>
      <c r="I41" s="8" t="s">
        <v>1729</v>
      </c>
      <c r="J41" s="8" t="s">
        <v>2041</v>
      </c>
      <c r="K41" s="8" t="s">
        <v>384</v>
      </c>
      <c r="L41" s="8" t="s">
        <v>633</v>
      </c>
      <c r="M41" s="10">
        <v>0</v>
      </c>
      <c r="N41" s="8" t="s">
        <v>608</v>
      </c>
      <c r="O41" s="8" t="s">
        <v>9</v>
      </c>
      <c r="P41" s="8" t="s">
        <v>1955</v>
      </c>
      <c r="Q41" s="8" t="s">
        <v>1956</v>
      </c>
      <c r="R41" s="8" t="s">
        <v>1956</v>
      </c>
      <c r="S41" s="8" t="s">
        <v>356</v>
      </c>
      <c r="T41" s="8" t="s">
        <v>1172</v>
      </c>
      <c r="U41" s="8" t="s">
        <v>1968</v>
      </c>
      <c r="V41" s="8" t="s">
        <v>1172</v>
      </c>
      <c r="W41" s="8" t="s">
        <v>1969</v>
      </c>
      <c r="X41" s="8" t="s">
        <v>1734</v>
      </c>
      <c r="Y41" s="8" t="s">
        <v>112</v>
      </c>
      <c r="Z41" s="8" t="s">
        <v>1959</v>
      </c>
    </row>
    <row r="42" spans="1:26" ht="24" x14ac:dyDescent="0.3">
      <c r="A42" s="8" t="s">
        <v>2042</v>
      </c>
      <c r="B42" s="8" t="s">
        <v>9</v>
      </c>
      <c r="C42" s="10">
        <v>315721</v>
      </c>
      <c r="D42" s="8" t="s">
        <v>127</v>
      </c>
      <c r="E42" s="8" t="s">
        <v>1951</v>
      </c>
      <c r="F42" s="8" t="s">
        <v>1966</v>
      </c>
      <c r="G42" s="8" t="s">
        <v>9</v>
      </c>
      <c r="H42" s="8" t="s">
        <v>352</v>
      </c>
      <c r="I42" s="8" t="s">
        <v>1729</v>
      </c>
      <c r="J42" s="8" t="s">
        <v>2041</v>
      </c>
      <c r="K42" s="8" t="s">
        <v>384</v>
      </c>
      <c r="L42" s="8" t="s">
        <v>639</v>
      </c>
      <c r="M42" s="10">
        <v>0</v>
      </c>
      <c r="N42" s="8" t="s">
        <v>673</v>
      </c>
      <c r="O42" s="8" t="s">
        <v>9</v>
      </c>
      <c r="P42" s="8" t="s">
        <v>1955</v>
      </c>
      <c r="Q42" s="8" t="s">
        <v>1956</v>
      </c>
      <c r="R42" s="8" t="s">
        <v>1956</v>
      </c>
      <c r="S42" s="8" t="s">
        <v>356</v>
      </c>
      <c r="T42" s="8" t="s">
        <v>1172</v>
      </c>
      <c r="U42" s="8" t="s">
        <v>1968</v>
      </c>
      <c r="V42" s="8" t="s">
        <v>1172</v>
      </c>
      <c r="W42" s="8" t="s">
        <v>1969</v>
      </c>
      <c r="X42" s="8" t="s">
        <v>1734</v>
      </c>
      <c r="Y42" s="8" t="s">
        <v>112</v>
      </c>
      <c r="Z42" s="8" t="s">
        <v>1959</v>
      </c>
    </row>
    <row r="43" spans="1:26" ht="24" x14ac:dyDescent="0.3">
      <c r="A43" s="8" t="s">
        <v>2043</v>
      </c>
      <c r="B43" s="8" t="s">
        <v>9</v>
      </c>
      <c r="C43" s="10">
        <v>315721</v>
      </c>
      <c r="D43" s="8" t="s">
        <v>127</v>
      </c>
      <c r="E43" s="8" t="s">
        <v>1951</v>
      </c>
      <c r="F43" s="8" t="s">
        <v>1966</v>
      </c>
      <c r="G43" s="8" t="s">
        <v>9</v>
      </c>
      <c r="H43" s="8" t="s">
        <v>352</v>
      </c>
      <c r="I43" s="8" t="s">
        <v>1729</v>
      </c>
      <c r="J43" s="8" t="s">
        <v>2041</v>
      </c>
      <c r="K43" s="8" t="s">
        <v>384</v>
      </c>
      <c r="L43" s="8" t="s">
        <v>641</v>
      </c>
      <c r="M43" s="10">
        <v>0</v>
      </c>
      <c r="N43" s="8" t="s">
        <v>675</v>
      </c>
      <c r="O43" s="8" t="s">
        <v>9</v>
      </c>
      <c r="P43" s="8" t="s">
        <v>1955</v>
      </c>
      <c r="Q43" s="8" t="s">
        <v>1956</v>
      </c>
      <c r="R43" s="8" t="s">
        <v>1956</v>
      </c>
      <c r="S43" s="8" t="s">
        <v>356</v>
      </c>
      <c r="T43" s="8" t="s">
        <v>1172</v>
      </c>
      <c r="U43" s="8" t="s">
        <v>1968</v>
      </c>
      <c r="V43" s="8" t="s">
        <v>1172</v>
      </c>
      <c r="W43" s="8" t="s">
        <v>1969</v>
      </c>
      <c r="X43" s="8" t="s">
        <v>1734</v>
      </c>
      <c r="Y43" s="8" t="s">
        <v>112</v>
      </c>
      <c r="Z43" s="8" t="s">
        <v>1959</v>
      </c>
    </row>
    <row r="44" spans="1:26" ht="24" x14ac:dyDescent="0.3">
      <c r="A44" s="8" t="s">
        <v>2044</v>
      </c>
      <c r="B44" s="8" t="s">
        <v>9</v>
      </c>
      <c r="C44" s="10">
        <v>315721</v>
      </c>
      <c r="D44" s="8" t="s">
        <v>127</v>
      </c>
      <c r="E44" s="8" t="s">
        <v>1951</v>
      </c>
      <c r="F44" s="8" t="s">
        <v>1966</v>
      </c>
      <c r="G44" s="8" t="s">
        <v>9</v>
      </c>
      <c r="H44" s="8" t="s">
        <v>352</v>
      </c>
      <c r="I44" s="8" t="s">
        <v>1729</v>
      </c>
      <c r="J44" s="8" t="s">
        <v>2041</v>
      </c>
      <c r="K44" s="8" t="s">
        <v>384</v>
      </c>
      <c r="L44" s="8" t="s">
        <v>643</v>
      </c>
      <c r="M44" s="10">
        <v>0</v>
      </c>
      <c r="N44" s="8" t="s">
        <v>677</v>
      </c>
      <c r="O44" s="8" t="s">
        <v>9</v>
      </c>
      <c r="P44" s="8" t="s">
        <v>1955</v>
      </c>
      <c r="Q44" s="8" t="s">
        <v>1956</v>
      </c>
      <c r="R44" s="8" t="s">
        <v>1956</v>
      </c>
      <c r="S44" s="8" t="s">
        <v>356</v>
      </c>
      <c r="T44" s="8" t="s">
        <v>1172</v>
      </c>
      <c r="U44" s="8" t="s">
        <v>1968</v>
      </c>
      <c r="V44" s="8" t="s">
        <v>1172</v>
      </c>
      <c r="W44" s="8" t="s">
        <v>1969</v>
      </c>
      <c r="X44" s="8" t="s">
        <v>1734</v>
      </c>
      <c r="Y44" s="8" t="s">
        <v>112</v>
      </c>
      <c r="Z44" s="8" t="s">
        <v>1959</v>
      </c>
    </row>
    <row r="45" spans="1:26" ht="24" x14ac:dyDescent="0.3">
      <c r="A45" s="8" t="s">
        <v>2045</v>
      </c>
      <c r="B45" s="8" t="s">
        <v>9</v>
      </c>
      <c r="C45" s="10">
        <v>315721</v>
      </c>
      <c r="D45" s="8" t="s">
        <v>127</v>
      </c>
      <c r="E45" s="8" t="s">
        <v>1951</v>
      </c>
      <c r="F45" s="8" t="s">
        <v>1966</v>
      </c>
      <c r="G45" s="8" t="s">
        <v>9</v>
      </c>
      <c r="H45" s="8" t="s">
        <v>352</v>
      </c>
      <c r="I45" s="8" t="s">
        <v>1729</v>
      </c>
      <c r="J45" s="8" t="s">
        <v>2041</v>
      </c>
      <c r="K45" s="8" t="s">
        <v>384</v>
      </c>
      <c r="L45" s="8" t="s">
        <v>645</v>
      </c>
      <c r="M45" s="10">
        <v>0</v>
      </c>
      <c r="N45" s="8" t="s">
        <v>679</v>
      </c>
      <c r="O45" s="8" t="s">
        <v>9</v>
      </c>
      <c r="P45" s="8" t="s">
        <v>1955</v>
      </c>
      <c r="Q45" s="8" t="s">
        <v>1956</v>
      </c>
      <c r="R45" s="8" t="s">
        <v>1956</v>
      </c>
      <c r="S45" s="8" t="s">
        <v>356</v>
      </c>
      <c r="T45" s="8" t="s">
        <v>1172</v>
      </c>
      <c r="U45" s="8" t="s">
        <v>1968</v>
      </c>
      <c r="V45" s="8" t="s">
        <v>1172</v>
      </c>
      <c r="W45" s="8" t="s">
        <v>1969</v>
      </c>
      <c r="X45" s="8" t="s">
        <v>1734</v>
      </c>
      <c r="Y45" s="8" t="s">
        <v>112</v>
      </c>
      <c r="Z45" s="8" t="s">
        <v>1959</v>
      </c>
    </row>
    <row r="46" spans="1:26" ht="24" x14ac:dyDescent="0.3">
      <c r="A46" s="8" t="s">
        <v>2046</v>
      </c>
      <c r="B46" s="8" t="s">
        <v>9</v>
      </c>
      <c r="C46" s="10">
        <v>315721</v>
      </c>
      <c r="D46" s="8" t="s">
        <v>127</v>
      </c>
      <c r="E46" s="8" t="s">
        <v>1951</v>
      </c>
      <c r="F46" s="8" t="s">
        <v>1966</v>
      </c>
      <c r="G46" s="8" t="s">
        <v>9</v>
      </c>
      <c r="H46" s="8" t="s">
        <v>352</v>
      </c>
      <c r="I46" s="8" t="s">
        <v>1729</v>
      </c>
      <c r="J46" s="8" t="s">
        <v>2041</v>
      </c>
      <c r="K46" s="8" t="s">
        <v>384</v>
      </c>
      <c r="L46" s="8" t="s">
        <v>635</v>
      </c>
      <c r="M46" s="10">
        <v>0</v>
      </c>
      <c r="N46" s="8" t="s">
        <v>669</v>
      </c>
      <c r="O46" s="8" t="s">
        <v>9</v>
      </c>
      <c r="P46" s="8" t="s">
        <v>1955</v>
      </c>
      <c r="Q46" s="8" t="s">
        <v>1956</v>
      </c>
      <c r="R46" s="8" t="s">
        <v>1956</v>
      </c>
      <c r="S46" s="8" t="s">
        <v>356</v>
      </c>
      <c r="T46" s="8" t="s">
        <v>1172</v>
      </c>
      <c r="U46" s="8" t="s">
        <v>1968</v>
      </c>
      <c r="V46" s="8" t="s">
        <v>1172</v>
      </c>
      <c r="W46" s="8" t="s">
        <v>1969</v>
      </c>
      <c r="X46" s="8" t="s">
        <v>1734</v>
      </c>
      <c r="Y46" s="8" t="s">
        <v>112</v>
      </c>
      <c r="Z46" s="8" t="s">
        <v>1959</v>
      </c>
    </row>
    <row r="47" spans="1:26" ht="24" x14ac:dyDescent="0.3">
      <c r="A47" s="8" t="s">
        <v>2047</v>
      </c>
      <c r="B47" s="8" t="s">
        <v>9</v>
      </c>
      <c r="C47" s="10">
        <v>315721</v>
      </c>
      <c r="D47" s="8" t="s">
        <v>127</v>
      </c>
      <c r="E47" s="8" t="s">
        <v>1951</v>
      </c>
      <c r="F47" s="8" t="s">
        <v>1966</v>
      </c>
      <c r="G47" s="8" t="s">
        <v>9</v>
      </c>
      <c r="H47" s="8" t="s">
        <v>352</v>
      </c>
      <c r="I47" s="8" t="s">
        <v>1729</v>
      </c>
      <c r="J47" s="8" t="s">
        <v>2041</v>
      </c>
      <c r="K47" s="8" t="s">
        <v>384</v>
      </c>
      <c r="L47" s="8" t="s">
        <v>647</v>
      </c>
      <c r="M47" s="10">
        <v>0</v>
      </c>
      <c r="N47" s="8" t="s">
        <v>681</v>
      </c>
      <c r="O47" s="8" t="s">
        <v>9</v>
      </c>
      <c r="P47" s="8" t="s">
        <v>1955</v>
      </c>
      <c r="Q47" s="8" t="s">
        <v>1956</v>
      </c>
      <c r="R47" s="8" t="s">
        <v>1956</v>
      </c>
      <c r="S47" s="8" t="s">
        <v>356</v>
      </c>
      <c r="T47" s="8" t="s">
        <v>1172</v>
      </c>
      <c r="U47" s="8" t="s">
        <v>1968</v>
      </c>
      <c r="V47" s="8" t="s">
        <v>1172</v>
      </c>
      <c r="W47" s="8" t="s">
        <v>1969</v>
      </c>
      <c r="X47" s="8" t="s">
        <v>1734</v>
      </c>
      <c r="Y47" s="8" t="s">
        <v>112</v>
      </c>
      <c r="Z47" s="8" t="s">
        <v>1959</v>
      </c>
    </row>
    <row r="48" spans="1:26" ht="24" x14ac:dyDescent="0.3">
      <c r="A48" s="8" t="s">
        <v>2048</v>
      </c>
      <c r="B48" s="8" t="s">
        <v>9</v>
      </c>
      <c r="C48" s="10">
        <v>315721</v>
      </c>
      <c r="D48" s="8" t="s">
        <v>127</v>
      </c>
      <c r="E48" s="8" t="s">
        <v>1951</v>
      </c>
      <c r="F48" s="8" t="s">
        <v>1966</v>
      </c>
      <c r="G48" s="8" t="s">
        <v>9</v>
      </c>
      <c r="H48" s="8" t="s">
        <v>352</v>
      </c>
      <c r="I48" s="8" t="s">
        <v>1729</v>
      </c>
      <c r="J48" s="8" t="s">
        <v>2041</v>
      </c>
      <c r="K48" s="8" t="s">
        <v>384</v>
      </c>
      <c r="L48" s="8" t="s">
        <v>649</v>
      </c>
      <c r="M48" s="10">
        <v>0</v>
      </c>
      <c r="N48" s="8" t="s">
        <v>683</v>
      </c>
      <c r="O48" s="8" t="s">
        <v>9</v>
      </c>
      <c r="P48" s="8" t="s">
        <v>1955</v>
      </c>
      <c r="Q48" s="8" t="s">
        <v>1956</v>
      </c>
      <c r="R48" s="8" t="s">
        <v>1956</v>
      </c>
      <c r="S48" s="8" t="s">
        <v>356</v>
      </c>
      <c r="T48" s="8" t="s">
        <v>1172</v>
      </c>
      <c r="U48" s="8" t="s">
        <v>1968</v>
      </c>
      <c r="V48" s="8" t="s">
        <v>1172</v>
      </c>
      <c r="W48" s="8" t="s">
        <v>1969</v>
      </c>
      <c r="X48" s="8" t="s">
        <v>1734</v>
      </c>
      <c r="Y48" s="8" t="s">
        <v>112</v>
      </c>
      <c r="Z48" s="8" t="s">
        <v>1959</v>
      </c>
    </row>
    <row r="49" spans="1:26" ht="19.95" customHeight="1" x14ac:dyDescent="0.3">
      <c r="A49" s="8" t="s">
        <v>2049</v>
      </c>
      <c r="B49" s="8" t="s">
        <v>9</v>
      </c>
      <c r="C49" s="10">
        <v>315721</v>
      </c>
      <c r="D49" s="8" t="s">
        <v>127</v>
      </c>
      <c r="E49" s="8" t="s">
        <v>1951</v>
      </c>
      <c r="F49" s="8" t="s">
        <v>1966</v>
      </c>
      <c r="G49" s="8" t="s">
        <v>9</v>
      </c>
      <c r="H49" s="8" t="s">
        <v>352</v>
      </c>
      <c r="I49" s="8" t="s">
        <v>1729</v>
      </c>
      <c r="J49" s="8" t="s">
        <v>2041</v>
      </c>
      <c r="K49" s="8" t="s">
        <v>384</v>
      </c>
      <c r="L49" s="8" t="s">
        <v>651</v>
      </c>
      <c r="M49" s="10">
        <v>0</v>
      </c>
      <c r="N49" s="8" t="s">
        <v>606</v>
      </c>
      <c r="O49" s="8" t="s">
        <v>9</v>
      </c>
      <c r="P49" s="8" t="s">
        <v>1955</v>
      </c>
      <c r="Q49" s="8" t="s">
        <v>1956</v>
      </c>
      <c r="R49" s="8" t="s">
        <v>1956</v>
      </c>
      <c r="S49" s="8" t="s">
        <v>356</v>
      </c>
      <c r="T49" s="8" t="s">
        <v>1172</v>
      </c>
      <c r="U49" s="8" t="s">
        <v>1968</v>
      </c>
      <c r="V49" s="8" t="s">
        <v>1172</v>
      </c>
      <c r="W49" s="8" t="s">
        <v>1969</v>
      </c>
      <c r="X49" s="8" t="s">
        <v>1734</v>
      </c>
      <c r="Y49" s="8" t="s">
        <v>112</v>
      </c>
      <c r="Z49" s="8" t="s">
        <v>1959</v>
      </c>
    </row>
    <row r="50" spans="1:26" ht="19.95" customHeight="1" x14ac:dyDescent="0.3">
      <c r="A50" s="8" t="s">
        <v>2050</v>
      </c>
      <c r="B50" s="8" t="s">
        <v>9</v>
      </c>
      <c r="C50" s="10">
        <v>315721</v>
      </c>
      <c r="D50" s="8" t="s">
        <v>127</v>
      </c>
      <c r="E50" s="8" t="s">
        <v>1951</v>
      </c>
      <c r="F50" s="8" t="s">
        <v>1966</v>
      </c>
      <c r="G50" s="8" t="s">
        <v>9</v>
      </c>
      <c r="H50" s="8" t="s">
        <v>352</v>
      </c>
      <c r="I50" s="8" t="s">
        <v>1729</v>
      </c>
      <c r="J50" s="8" t="s">
        <v>2041</v>
      </c>
      <c r="K50" s="8" t="s">
        <v>384</v>
      </c>
      <c r="L50" s="8" t="s">
        <v>653</v>
      </c>
      <c r="M50" s="10">
        <v>0</v>
      </c>
      <c r="N50" s="8" t="s">
        <v>606</v>
      </c>
      <c r="O50" s="8" t="s">
        <v>9</v>
      </c>
      <c r="P50" s="8" t="s">
        <v>1955</v>
      </c>
      <c r="Q50" s="8" t="s">
        <v>1956</v>
      </c>
      <c r="R50" s="8" t="s">
        <v>1956</v>
      </c>
      <c r="S50" s="8" t="s">
        <v>356</v>
      </c>
      <c r="T50" s="8" t="s">
        <v>1172</v>
      </c>
      <c r="U50" s="8" t="s">
        <v>1968</v>
      </c>
      <c r="V50" s="8" t="s">
        <v>1172</v>
      </c>
      <c r="W50" s="8" t="s">
        <v>1969</v>
      </c>
      <c r="X50" s="8" t="s">
        <v>1734</v>
      </c>
      <c r="Y50" s="8" t="s">
        <v>112</v>
      </c>
      <c r="Z50" s="8" t="s">
        <v>1959</v>
      </c>
    </row>
    <row r="51" spans="1:26" ht="24" x14ac:dyDescent="0.3">
      <c r="A51" s="8" t="s">
        <v>2051</v>
      </c>
      <c r="B51" s="8" t="s">
        <v>9</v>
      </c>
      <c r="C51" s="10">
        <v>315721</v>
      </c>
      <c r="D51" s="8" t="s">
        <v>127</v>
      </c>
      <c r="E51" s="8" t="s">
        <v>1951</v>
      </c>
      <c r="F51" s="8" t="s">
        <v>1966</v>
      </c>
      <c r="G51" s="8" t="s">
        <v>9</v>
      </c>
      <c r="H51" s="8" t="s">
        <v>352</v>
      </c>
      <c r="I51" s="8" t="s">
        <v>1729</v>
      </c>
      <c r="J51" s="8" t="s">
        <v>2041</v>
      </c>
      <c r="K51" s="8" t="s">
        <v>384</v>
      </c>
      <c r="L51" s="8" t="s">
        <v>637</v>
      </c>
      <c r="M51" s="10">
        <v>0</v>
      </c>
      <c r="N51" s="8" t="s">
        <v>671</v>
      </c>
      <c r="O51" s="8" t="s">
        <v>9</v>
      </c>
      <c r="P51" s="8" t="s">
        <v>1955</v>
      </c>
      <c r="Q51" s="8" t="s">
        <v>1956</v>
      </c>
      <c r="R51" s="8" t="s">
        <v>1956</v>
      </c>
      <c r="S51" s="8" t="s">
        <v>356</v>
      </c>
      <c r="T51" s="8" t="s">
        <v>1172</v>
      </c>
      <c r="U51" s="8" t="s">
        <v>1968</v>
      </c>
      <c r="V51" s="8" t="s">
        <v>1172</v>
      </c>
      <c r="W51" s="8" t="s">
        <v>1969</v>
      </c>
      <c r="X51" s="8" t="s">
        <v>1734</v>
      </c>
      <c r="Y51" s="8" t="s">
        <v>112</v>
      </c>
      <c r="Z51" s="8" t="s">
        <v>1959</v>
      </c>
    </row>
    <row r="52" spans="1:26" ht="24" x14ac:dyDescent="0.3">
      <c r="A52" s="8" t="s">
        <v>2052</v>
      </c>
      <c r="B52" s="8" t="s">
        <v>9</v>
      </c>
      <c r="C52" s="10">
        <v>315721</v>
      </c>
      <c r="D52" s="8" t="s">
        <v>127</v>
      </c>
      <c r="E52" s="8" t="s">
        <v>1951</v>
      </c>
      <c r="F52" s="8" t="s">
        <v>1966</v>
      </c>
      <c r="G52" s="8" t="s">
        <v>9</v>
      </c>
      <c r="H52" s="8" t="s">
        <v>352</v>
      </c>
      <c r="I52" s="8" t="s">
        <v>1973</v>
      </c>
      <c r="J52" s="8" t="s">
        <v>2053</v>
      </c>
      <c r="K52" s="8" t="s">
        <v>384</v>
      </c>
      <c r="L52" s="8" t="s">
        <v>633</v>
      </c>
      <c r="M52" s="10">
        <v>0</v>
      </c>
      <c r="N52" s="8" t="s">
        <v>606</v>
      </c>
      <c r="O52" s="8" t="s">
        <v>9</v>
      </c>
      <c r="P52" s="8" t="s">
        <v>1955</v>
      </c>
      <c r="Q52" s="8" t="s">
        <v>1956</v>
      </c>
      <c r="R52" s="8" t="s">
        <v>1956</v>
      </c>
      <c r="S52" s="8" t="s">
        <v>356</v>
      </c>
      <c r="T52" s="8" t="s">
        <v>1172</v>
      </c>
      <c r="U52" s="8" t="s">
        <v>1968</v>
      </c>
      <c r="V52" s="8" t="s">
        <v>1172</v>
      </c>
      <c r="W52" s="8" t="s">
        <v>1969</v>
      </c>
      <c r="X52" s="8" t="s">
        <v>1734</v>
      </c>
      <c r="Y52" s="8" t="s">
        <v>112</v>
      </c>
      <c r="Z52" s="8" t="s">
        <v>1959</v>
      </c>
    </row>
    <row r="53" spans="1:26" ht="24" x14ac:dyDescent="0.3">
      <c r="A53" s="8" t="s">
        <v>2054</v>
      </c>
      <c r="B53" s="8" t="s">
        <v>9</v>
      </c>
      <c r="C53" s="10">
        <v>315721</v>
      </c>
      <c r="D53" s="8" t="s">
        <v>127</v>
      </c>
      <c r="E53" s="8" t="s">
        <v>1951</v>
      </c>
      <c r="F53" s="8" t="s">
        <v>1966</v>
      </c>
      <c r="G53" s="8" t="s">
        <v>9</v>
      </c>
      <c r="H53" s="8" t="s">
        <v>352</v>
      </c>
      <c r="I53" s="8" t="s">
        <v>1973</v>
      </c>
      <c r="J53" s="8" t="s">
        <v>2053</v>
      </c>
      <c r="K53" s="8" t="s">
        <v>384</v>
      </c>
      <c r="L53" s="8" t="s">
        <v>639</v>
      </c>
      <c r="M53" s="10">
        <v>0</v>
      </c>
      <c r="N53" s="8" t="s">
        <v>606</v>
      </c>
      <c r="O53" s="8" t="s">
        <v>9</v>
      </c>
      <c r="P53" s="8" t="s">
        <v>1955</v>
      </c>
      <c r="Q53" s="8" t="s">
        <v>1956</v>
      </c>
      <c r="R53" s="8" t="s">
        <v>1956</v>
      </c>
      <c r="S53" s="8" t="s">
        <v>356</v>
      </c>
      <c r="T53" s="8" t="s">
        <v>1172</v>
      </c>
      <c r="U53" s="8" t="s">
        <v>1968</v>
      </c>
      <c r="V53" s="8" t="s">
        <v>1172</v>
      </c>
      <c r="W53" s="8" t="s">
        <v>1969</v>
      </c>
      <c r="X53" s="8" t="s">
        <v>1734</v>
      </c>
      <c r="Y53" s="8" t="s">
        <v>112</v>
      </c>
      <c r="Z53" s="8" t="s">
        <v>1959</v>
      </c>
    </row>
    <row r="54" spans="1:26" ht="24" x14ac:dyDescent="0.3">
      <c r="A54" s="8" t="s">
        <v>2055</v>
      </c>
      <c r="B54" s="8" t="s">
        <v>9</v>
      </c>
      <c r="C54" s="10">
        <v>315721</v>
      </c>
      <c r="D54" s="8" t="s">
        <v>127</v>
      </c>
      <c r="E54" s="8" t="s">
        <v>1951</v>
      </c>
      <c r="F54" s="8" t="s">
        <v>1966</v>
      </c>
      <c r="G54" s="8" t="s">
        <v>9</v>
      </c>
      <c r="H54" s="8" t="s">
        <v>352</v>
      </c>
      <c r="I54" s="8" t="s">
        <v>1973</v>
      </c>
      <c r="J54" s="8" t="s">
        <v>2053</v>
      </c>
      <c r="K54" s="8" t="s">
        <v>384</v>
      </c>
      <c r="L54" s="8" t="s">
        <v>641</v>
      </c>
      <c r="M54" s="10">
        <v>0</v>
      </c>
      <c r="N54" s="8" t="s">
        <v>606</v>
      </c>
      <c r="O54" s="8" t="s">
        <v>9</v>
      </c>
      <c r="P54" s="8" t="s">
        <v>1955</v>
      </c>
      <c r="Q54" s="8" t="s">
        <v>1956</v>
      </c>
      <c r="R54" s="8" t="s">
        <v>1956</v>
      </c>
      <c r="S54" s="8" t="s">
        <v>356</v>
      </c>
      <c r="T54" s="8" t="s">
        <v>1172</v>
      </c>
      <c r="U54" s="8" t="s">
        <v>1968</v>
      </c>
      <c r="V54" s="8" t="s">
        <v>1172</v>
      </c>
      <c r="W54" s="8" t="s">
        <v>1969</v>
      </c>
      <c r="X54" s="8" t="s">
        <v>1734</v>
      </c>
      <c r="Y54" s="8" t="s">
        <v>112</v>
      </c>
      <c r="Z54" s="8" t="s">
        <v>1959</v>
      </c>
    </row>
    <row r="55" spans="1:26" ht="24" x14ac:dyDescent="0.3">
      <c r="A55" s="8" t="s">
        <v>2056</v>
      </c>
      <c r="B55" s="8" t="s">
        <v>9</v>
      </c>
      <c r="C55" s="10">
        <v>315721</v>
      </c>
      <c r="D55" s="8" t="s">
        <v>127</v>
      </c>
      <c r="E55" s="8" t="s">
        <v>1951</v>
      </c>
      <c r="F55" s="8" t="s">
        <v>1966</v>
      </c>
      <c r="G55" s="8" t="s">
        <v>9</v>
      </c>
      <c r="H55" s="8" t="s">
        <v>352</v>
      </c>
      <c r="I55" s="8" t="s">
        <v>1973</v>
      </c>
      <c r="J55" s="8" t="s">
        <v>2053</v>
      </c>
      <c r="K55" s="8" t="s">
        <v>384</v>
      </c>
      <c r="L55" s="8" t="s">
        <v>643</v>
      </c>
      <c r="M55" s="10">
        <v>0</v>
      </c>
      <c r="N55" s="8" t="s">
        <v>606</v>
      </c>
      <c r="O55" s="8" t="s">
        <v>9</v>
      </c>
      <c r="P55" s="8" t="s">
        <v>1955</v>
      </c>
      <c r="Q55" s="8" t="s">
        <v>1956</v>
      </c>
      <c r="R55" s="8" t="s">
        <v>1956</v>
      </c>
      <c r="S55" s="8" t="s">
        <v>356</v>
      </c>
      <c r="T55" s="8" t="s">
        <v>1172</v>
      </c>
      <c r="U55" s="8" t="s">
        <v>1968</v>
      </c>
      <c r="V55" s="8" t="s">
        <v>1172</v>
      </c>
      <c r="W55" s="8" t="s">
        <v>1969</v>
      </c>
      <c r="X55" s="8" t="s">
        <v>1734</v>
      </c>
      <c r="Y55" s="8" t="s">
        <v>112</v>
      </c>
      <c r="Z55" s="8" t="s">
        <v>1959</v>
      </c>
    </row>
    <row r="56" spans="1:26" ht="24" x14ac:dyDescent="0.3">
      <c r="A56" s="8" t="s">
        <v>2057</v>
      </c>
      <c r="B56" s="8" t="s">
        <v>9</v>
      </c>
      <c r="C56" s="10">
        <v>315721</v>
      </c>
      <c r="D56" s="8" t="s">
        <v>127</v>
      </c>
      <c r="E56" s="8" t="s">
        <v>1951</v>
      </c>
      <c r="F56" s="8" t="s">
        <v>1966</v>
      </c>
      <c r="G56" s="8" t="s">
        <v>9</v>
      </c>
      <c r="H56" s="8" t="s">
        <v>352</v>
      </c>
      <c r="I56" s="8" t="s">
        <v>1973</v>
      </c>
      <c r="J56" s="8" t="s">
        <v>2053</v>
      </c>
      <c r="K56" s="8" t="s">
        <v>384</v>
      </c>
      <c r="L56" s="8" t="s">
        <v>645</v>
      </c>
      <c r="M56" s="10">
        <v>0</v>
      </c>
      <c r="N56" s="8" t="s">
        <v>606</v>
      </c>
      <c r="O56" s="8" t="s">
        <v>9</v>
      </c>
      <c r="P56" s="8" t="s">
        <v>1955</v>
      </c>
      <c r="Q56" s="8" t="s">
        <v>1956</v>
      </c>
      <c r="R56" s="8" t="s">
        <v>1956</v>
      </c>
      <c r="S56" s="8" t="s">
        <v>356</v>
      </c>
      <c r="T56" s="8" t="s">
        <v>1172</v>
      </c>
      <c r="U56" s="8" t="s">
        <v>1968</v>
      </c>
      <c r="V56" s="8" t="s">
        <v>1172</v>
      </c>
      <c r="W56" s="8" t="s">
        <v>1969</v>
      </c>
      <c r="X56" s="8" t="s">
        <v>1734</v>
      </c>
      <c r="Y56" s="8" t="s">
        <v>112</v>
      </c>
      <c r="Z56" s="8" t="s">
        <v>1959</v>
      </c>
    </row>
    <row r="57" spans="1:26" ht="24" x14ac:dyDescent="0.3">
      <c r="A57" s="8" t="s">
        <v>2058</v>
      </c>
      <c r="B57" s="8" t="s">
        <v>9</v>
      </c>
      <c r="C57" s="10">
        <v>315721</v>
      </c>
      <c r="D57" s="8" t="s">
        <v>127</v>
      </c>
      <c r="E57" s="8" t="s">
        <v>1951</v>
      </c>
      <c r="F57" s="8" t="s">
        <v>1966</v>
      </c>
      <c r="G57" s="8" t="s">
        <v>9</v>
      </c>
      <c r="H57" s="8" t="s">
        <v>352</v>
      </c>
      <c r="I57" s="8" t="s">
        <v>1973</v>
      </c>
      <c r="J57" s="8" t="s">
        <v>2053</v>
      </c>
      <c r="K57" s="8" t="s">
        <v>384</v>
      </c>
      <c r="L57" s="8" t="s">
        <v>635</v>
      </c>
      <c r="M57" s="10">
        <v>0</v>
      </c>
      <c r="N57" s="8" t="s">
        <v>606</v>
      </c>
      <c r="O57" s="8" t="s">
        <v>9</v>
      </c>
      <c r="P57" s="8" t="s">
        <v>1955</v>
      </c>
      <c r="Q57" s="8" t="s">
        <v>1956</v>
      </c>
      <c r="R57" s="8" t="s">
        <v>1956</v>
      </c>
      <c r="S57" s="8" t="s">
        <v>356</v>
      </c>
      <c r="T57" s="8" t="s">
        <v>1172</v>
      </c>
      <c r="U57" s="8" t="s">
        <v>1968</v>
      </c>
      <c r="V57" s="8" t="s">
        <v>1172</v>
      </c>
      <c r="W57" s="8" t="s">
        <v>1969</v>
      </c>
      <c r="X57" s="8" t="s">
        <v>1734</v>
      </c>
      <c r="Y57" s="8" t="s">
        <v>112</v>
      </c>
      <c r="Z57" s="8" t="s">
        <v>1959</v>
      </c>
    </row>
    <row r="58" spans="1:26" ht="24" x14ac:dyDescent="0.3">
      <c r="A58" s="8" t="s">
        <v>2059</v>
      </c>
      <c r="B58" s="8" t="s">
        <v>9</v>
      </c>
      <c r="C58" s="10">
        <v>315721</v>
      </c>
      <c r="D58" s="8" t="s">
        <v>127</v>
      </c>
      <c r="E58" s="8" t="s">
        <v>1951</v>
      </c>
      <c r="F58" s="8" t="s">
        <v>1966</v>
      </c>
      <c r="G58" s="8" t="s">
        <v>9</v>
      </c>
      <c r="H58" s="8" t="s">
        <v>352</v>
      </c>
      <c r="I58" s="8" t="s">
        <v>1973</v>
      </c>
      <c r="J58" s="8" t="s">
        <v>2053</v>
      </c>
      <c r="K58" s="8" t="s">
        <v>384</v>
      </c>
      <c r="L58" s="8" t="s">
        <v>647</v>
      </c>
      <c r="M58" s="10">
        <v>0</v>
      </c>
      <c r="N58" s="8" t="s">
        <v>606</v>
      </c>
      <c r="O58" s="8" t="s">
        <v>9</v>
      </c>
      <c r="P58" s="8" t="s">
        <v>1955</v>
      </c>
      <c r="Q58" s="8" t="s">
        <v>1956</v>
      </c>
      <c r="R58" s="8" t="s">
        <v>1956</v>
      </c>
      <c r="S58" s="8" t="s">
        <v>356</v>
      </c>
      <c r="T58" s="8" t="s">
        <v>1172</v>
      </c>
      <c r="U58" s="8" t="s">
        <v>1968</v>
      </c>
      <c r="V58" s="8" t="s">
        <v>1172</v>
      </c>
      <c r="W58" s="8" t="s">
        <v>1969</v>
      </c>
      <c r="X58" s="8" t="s">
        <v>1734</v>
      </c>
      <c r="Y58" s="8" t="s">
        <v>112</v>
      </c>
      <c r="Z58" s="8" t="s">
        <v>1959</v>
      </c>
    </row>
    <row r="59" spans="1:26" ht="24" x14ac:dyDescent="0.3">
      <c r="A59" s="8" t="s">
        <v>2060</v>
      </c>
      <c r="B59" s="8" t="s">
        <v>9</v>
      </c>
      <c r="C59" s="10">
        <v>315721</v>
      </c>
      <c r="D59" s="8" t="s">
        <v>127</v>
      </c>
      <c r="E59" s="8" t="s">
        <v>1951</v>
      </c>
      <c r="F59" s="8" t="s">
        <v>1966</v>
      </c>
      <c r="G59" s="8" t="s">
        <v>9</v>
      </c>
      <c r="H59" s="8" t="s">
        <v>352</v>
      </c>
      <c r="I59" s="8" t="s">
        <v>1973</v>
      </c>
      <c r="J59" s="8" t="s">
        <v>2053</v>
      </c>
      <c r="K59" s="8" t="s">
        <v>384</v>
      </c>
      <c r="L59" s="8" t="s">
        <v>649</v>
      </c>
      <c r="M59" s="10">
        <v>0</v>
      </c>
      <c r="N59" s="8" t="s">
        <v>606</v>
      </c>
      <c r="O59" s="8" t="s">
        <v>9</v>
      </c>
      <c r="P59" s="8" t="s">
        <v>1955</v>
      </c>
      <c r="Q59" s="8" t="s">
        <v>1956</v>
      </c>
      <c r="R59" s="8" t="s">
        <v>1956</v>
      </c>
      <c r="S59" s="8" t="s">
        <v>356</v>
      </c>
      <c r="T59" s="8" t="s">
        <v>1172</v>
      </c>
      <c r="U59" s="8" t="s">
        <v>1968</v>
      </c>
      <c r="V59" s="8" t="s">
        <v>1172</v>
      </c>
      <c r="W59" s="8" t="s">
        <v>1969</v>
      </c>
      <c r="X59" s="8" t="s">
        <v>1734</v>
      </c>
      <c r="Y59" s="8" t="s">
        <v>112</v>
      </c>
      <c r="Z59" s="8" t="s">
        <v>1959</v>
      </c>
    </row>
    <row r="60" spans="1:26" ht="19.95" customHeight="1" x14ac:dyDescent="0.3">
      <c r="A60" s="8" t="s">
        <v>2061</v>
      </c>
      <c r="B60" s="8" t="s">
        <v>9</v>
      </c>
      <c r="C60" s="10">
        <v>315721</v>
      </c>
      <c r="D60" s="8" t="s">
        <v>127</v>
      </c>
      <c r="E60" s="8" t="s">
        <v>1951</v>
      </c>
      <c r="F60" s="8" t="s">
        <v>1966</v>
      </c>
      <c r="G60" s="8" t="s">
        <v>9</v>
      </c>
      <c r="H60" s="8" t="s">
        <v>352</v>
      </c>
      <c r="I60" s="8" t="s">
        <v>1973</v>
      </c>
      <c r="J60" s="8" t="s">
        <v>2053</v>
      </c>
      <c r="K60" s="8" t="s">
        <v>384</v>
      </c>
      <c r="L60" s="8" t="s">
        <v>651</v>
      </c>
      <c r="M60" s="10">
        <v>0</v>
      </c>
      <c r="N60" s="8" t="s">
        <v>708</v>
      </c>
      <c r="O60" s="8" t="s">
        <v>9</v>
      </c>
      <c r="P60" s="8" t="s">
        <v>1955</v>
      </c>
      <c r="Q60" s="8" t="s">
        <v>1956</v>
      </c>
      <c r="R60" s="8" t="s">
        <v>1956</v>
      </c>
      <c r="S60" s="8" t="s">
        <v>356</v>
      </c>
      <c r="T60" s="8" t="s">
        <v>1172</v>
      </c>
      <c r="U60" s="8" t="s">
        <v>1968</v>
      </c>
      <c r="V60" s="8" t="s">
        <v>1172</v>
      </c>
      <c r="W60" s="8" t="s">
        <v>1969</v>
      </c>
      <c r="X60" s="8" t="s">
        <v>1734</v>
      </c>
      <c r="Y60" s="8" t="s">
        <v>112</v>
      </c>
      <c r="Z60" s="8" t="s">
        <v>1959</v>
      </c>
    </row>
    <row r="61" spans="1:26" ht="19.95" customHeight="1" x14ac:dyDescent="0.3">
      <c r="A61" s="8" t="s">
        <v>2062</v>
      </c>
      <c r="B61" s="8" t="s">
        <v>9</v>
      </c>
      <c r="C61" s="10">
        <v>315721</v>
      </c>
      <c r="D61" s="8" t="s">
        <v>127</v>
      </c>
      <c r="E61" s="8" t="s">
        <v>1951</v>
      </c>
      <c r="F61" s="8" t="s">
        <v>1966</v>
      </c>
      <c r="G61" s="8" t="s">
        <v>9</v>
      </c>
      <c r="H61" s="8" t="s">
        <v>352</v>
      </c>
      <c r="I61" s="8" t="s">
        <v>1973</v>
      </c>
      <c r="J61" s="8" t="s">
        <v>2053</v>
      </c>
      <c r="K61" s="8" t="s">
        <v>384</v>
      </c>
      <c r="L61" s="8" t="s">
        <v>653</v>
      </c>
      <c r="M61" s="10">
        <v>0</v>
      </c>
      <c r="N61" s="8" t="s">
        <v>606</v>
      </c>
      <c r="O61" s="8" t="s">
        <v>9</v>
      </c>
      <c r="P61" s="8" t="s">
        <v>1955</v>
      </c>
      <c r="Q61" s="8" t="s">
        <v>1956</v>
      </c>
      <c r="R61" s="8" t="s">
        <v>1956</v>
      </c>
      <c r="S61" s="8" t="s">
        <v>356</v>
      </c>
      <c r="T61" s="8" t="s">
        <v>1172</v>
      </c>
      <c r="U61" s="8" t="s">
        <v>1968</v>
      </c>
      <c r="V61" s="8" t="s">
        <v>1172</v>
      </c>
      <c r="W61" s="8" t="s">
        <v>1969</v>
      </c>
      <c r="X61" s="8" t="s">
        <v>1734</v>
      </c>
      <c r="Y61" s="8" t="s">
        <v>112</v>
      </c>
      <c r="Z61" s="8" t="s">
        <v>1959</v>
      </c>
    </row>
    <row r="62" spans="1:26" ht="24" x14ac:dyDescent="0.3">
      <c r="A62" s="8" t="s">
        <v>2063</v>
      </c>
      <c r="B62" s="8" t="s">
        <v>9</v>
      </c>
      <c r="C62" s="10">
        <v>315721</v>
      </c>
      <c r="D62" s="8" t="s">
        <v>127</v>
      </c>
      <c r="E62" s="8" t="s">
        <v>1951</v>
      </c>
      <c r="F62" s="8" t="s">
        <v>1966</v>
      </c>
      <c r="G62" s="8" t="s">
        <v>9</v>
      </c>
      <c r="H62" s="8" t="s">
        <v>352</v>
      </c>
      <c r="I62" s="8" t="s">
        <v>1973</v>
      </c>
      <c r="J62" s="8" t="s">
        <v>2053</v>
      </c>
      <c r="K62" s="8" t="s">
        <v>384</v>
      </c>
      <c r="L62" s="8" t="s">
        <v>637</v>
      </c>
      <c r="M62" s="10">
        <v>0</v>
      </c>
      <c r="N62" s="8" t="s">
        <v>606</v>
      </c>
      <c r="O62" s="8" t="s">
        <v>9</v>
      </c>
      <c r="P62" s="8" t="s">
        <v>1955</v>
      </c>
      <c r="Q62" s="8" t="s">
        <v>1956</v>
      </c>
      <c r="R62" s="8" t="s">
        <v>1956</v>
      </c>
      <c r="S62" s="8" t="s">
        <v>356</v>
      </c>
      <c r="T62" s="8" t="s">
        <v>1172</v>
      </c>
      <c r="U62" s="8" t="s">
        <v>1968</v>
      </c>
      <c r="V62" s="8" t="s">
        <v>1172</v>
      </c>
      <c r="W62" s="8" t="s">
        <v>1969</v>
      </c>
      <c r="X62" s="8" t="s">
        <v>1734</v>
      </c>
      <c r="Y62" s="8" t="s">
        <v>112</v>
      </c>
      <c r="Z62" s="8" t="s">
        <v>1959</v>
      </c>
    </row>
    <row r="63" spans="1:26" ht="24" x14ac:dyDescent="0.3">
      <c r="A63" s="8" t="s">
        <v>2064</v>
      </c>
      <c r="B63" s="8" t="s">
        <v>9</v>
      </c>
      <c r="C63" s="10">
        <v>315721</v>
      </c>
      <c r="D63" s="8" t="s">
        <v>127</v>
      </c>
      <c r="E63" s="8" t="s">
        <v>1951</v>
      </c>
      <c r="F63" s="8" t="s">
        <v>1966</v>
      </c>
      <c r="G63" s="8" t="s">
        <v>9</v>
      </c>
      <c r="H63" s="8" t="s">
        <v>352</v>
      </c>
      <c r="I63" s="8" t="s">
        <v>1977</v>
      </c>
      <c r="J63" s="8" t="s">
        <v>2065</v>
      </c>
      <c r="K63" s="8" t="s">
        <v>384</v>
      </c>
      <c r="L63" s="8" t="s">
        <v>633</v>
      </c>
      <c r="M63" s="10">
        <v>0</v>
      </c>
      <c r="N63" s="8" t="s">
        <v>606</v>
      </c>
      <c r="O63" s="8" t="s">
        <v>9</v>
      </c>
      <c r="P63" s="8" t="s">
        <v>1955</v>
      </c>
      <c r="Q63" s="8" t="s">
        <v>1956</v>
      </c>
      <c r="R63" s="8" t="s">
        <v>1956</v>
      </c>
      <c r="S63" s="8" t="s">
        <v>356</v>
      </c>
      <c r="T63" s="8" t="s">
        <v>1172</v>
      </c>
      <c r="U63" s="8" t="s">
        <v>1968</v>
      </c>
      <c r="V63" s="8" t="s">
        <v>1172</v>
      </c>
      <c r="W63" s="8" t="s">
        <v>1969</v>
      </c>
      <c r="X63" s="8" t="s">
        <v>1734</v>
      </c>
      <c r="Y63" s="8" t="s">
        <v>112</v>
      </c>
      <c r="Z63" s="8" t="s">
        <v>1959</v>
      </c>
    </row>
    <row r="64" spans="1:26" ht="24" x14ac:dyDescent="0.3">
      <c r="A64" s="8" t="s">
        <v>2066</v>
      </c>
      <c r="B64" s="8" t="s">
        <v>9</v>
      </c>
      <c r="C64" s="10">
        <v>315721</v>
      </c>
      <c r="D64" s="8" t="s">
        <v>127</v>
      </c>
      <c r="E64" s="8" t="s">
        <v>1951</v>
      </c>
      <c r="F64" s="8" t="s">
        <v>1966</v>
      </c>
      <c r="G64" s="8" t="s">
        <v>9</v>
      </c>
      <c r="H64" s="8" t="s">
        <v>352</v>
      </c>
      <c r="I64" s="8" t="s">
        <v>1977</v>
      </c>
      <c r="J64" s="8" t="s">
        <v>2065</v>
      </c>
      <c r="K64" s="8" t="s">
        <v>384</v>
      </c>
      <c r="L64" s="8" t="s">
        <v>639</v>
      </c>
      <c r="M64" s="10">
        <v>0</v>
      </c>
      <c r="N64" s="8" t="s">
        <v>606</v>
      </c>
      <c r="O64" s="8" t="s">
        <v>9</v>
      </c>
      <c r="P64" s="8" t="s">
        <v>1955</v>
      </c>
      <c r="Q64" s="8" t="s">
        <v>1956</v>
      </c>
      <c r="R64" s="8" t="s">
        <v>1956</v>
      </c>
      <c r="S64" s="8" t="s">
        <v>356</v>
      </c>
      <c r="T64" s="8" t="s">
        <v>1172</v>
      </c>
      <c r="U64" s="8" t="s">
        <v>1968</v>
      </c>
      <c r="V64" s="8" t="s">
        <v>1172</v>
      </c>
      <c r="W64" s="8" t="s">
        <v>1969</v>
      </c>
      <c r="X64" s="8" t="s">
        <v>1734</v>
      </c>
      <c r="Y64" s="8" t="s">
        <v>112</v>
      </c>
      <c r="Z64" s="8" t="s">
        <v>1959</v>
      </c>
    </row>
    <row r="65" spans="1:26" ht="24" x14ac:dyDescent="0.3">
      <c r="A65" s="8" t="s">
        <v>2067</v>
      </c>
      <c r="B65" s="8" t="s">
        <v>9</v>
      </c>
      <c r="C65" s="10">
        <v>315721</v>
      </c>
      <c r="D65" s="8" t="s">
        <v>127</v>
      </c>
      <c r="E65" s="8" t="s">
        <v>1951</v>
      </c>
      <c r="F65" s="8" t="s">
        <v>1966</v>
      </c>
      <c r="G65" s="8" t="s">
        <v>9</v>
      </c>
      <c r="H65" s="8" t="s">
        <v>352</v>
      </c>
      <c r="I65" s="8" t="s">
        <v>1977</v>
      </c>
      <c r="J65" s="8" t="s">
        <v>2065</v>
      </c>
      <c r="K65" s="8" t="s">
        <v>384</v>
      </c>
      <c r="L65" s="8" t="s">
        <v>641</v>
      </c>
      <c r="M65" s="10">
        <v>0</v>
      </c>
      <c r="N65" s="8" t="s">
        <v>606</v>
      </c>
      <c r="O65" s="8" t="s">
        <v>9</v>
      </c>
      <c r="P65" s="8" t="s">
        <v>1955</v>
      </c>
      <c r="Q65" s="8" t="s">
        <v>1956</v>
      </c>
      <c r="R65" s="8" t="s">
        <v>1956</v>
      </c>
      <c r="S65" s="8" t="s">
        <v>356</v>
      </c>
      <c r="T65" s="8" t="s">
        <v>1172</v>
      </c>
      <c r="U65" s="8" t="s">
        <v>1968</v>
      </c>
      <c r="V65" s="8" t="s">
        <v>1172</v>
      </c>
      <c r="W65" s="8" t="s">
        <v>1969</v>
      </c>
      <c r="X65" s="8" t="s">
        <v>1734</v>
      </c>
      <c r="Y65" s="8" t="s">
        <v>112</v>
      </c>
      <c r="Z65" s="8" t="s">
        <v>1959</v>
      </c>
    </row>
    <row r="66" spans="1:26" ht="24" x14ac:dyDescent="0.3">
      <c r="A66" s="8" t="s">
        <v>2068</v>
      </c>
      <c r="B66" s="8" t="s">
        <v>9</v>
      </c>
      <c r="C66" s="10">
        <v>315721</v>
      </c>
      <c r="D66" s="8" t="s">
        <v>127</v>
      </c>
      <c r="E66" s="8" t="s">
        <v>1951</v>
      </c>
      <c r="F66" s="8" t="s">
        <v>1966</v>
      </c>
      <c r="G66" s="8" t="s">
        <v>9</v>
      </c>
      <c r="H66" s="8" t="s">
        <v>352</v>
      </c>
      <c r="I66" s="8" t="s">
        <v>1977</v>
      </c>
      <c r="J66" s="8" t="s">
        <v>2065</v>
      </c>
      <c r="K66" s="8" t="s">
        <v>384</v>
      </c>
      <c r="L66" s="8" t="s">
        <v>643</v>
      </c>
      <c r="M66" s="10">
        <v>0</v>
      </c>
      <c r="N66" s="8" t="s">
        <v>606</v>
      </c>
      <c r="O66" s="8" t="s">
        <v>9</v>
      </c>
      <c r="P66" s="8" t="s">
        <v>1955</v>
      </c>
      <c r="Q66" s="8" t="s">
        <v>1956</v>
      </c>
      <c r="R66" s="8" t="s">
        <v>1956</v>
      </c>
      <c r="S66" s="8" t="s">
        <v>356</v>
      </c>
      <c r="T66" s="8" t="s">
        <v>1172</v>
      </c>
      <c r="U66" s="8" t="s">
        <v>1968</v>
      </c>
      <c r="V66" s="8" t="s">
        <v>1172</v>
      </c>
      <c r="W66" s="8" t="s">
        <v>1969</v>
      </c>
      <c r="X66" s="8" t="s">
        <v>1734</v>
      </c>
      <c r="Y66" s="8" t="s">
        <v>112</v>
      </c>
      <c r="Z66" s="8" t="s">
        <v>1959</v>
      </c>
    </row>
    <row r="67" spans="1:26" ht="24" x14ac:dyDescent="0.3">
      <c r="A67" s="8" t="s">
        <v>2069</v>
      </c>
      <c r="B67" s="8" t="s">
        <v>9</v>
      </c>
      <c r="C67" s="10">
        <v>315721</v>
      </c>
      <c r="D67" s="8" t="s">
        <v>127</v>
      </c>
      <c r="E67" s="8" t="s">
        <v>1951</v>
      </c>
      <c r="F67" s="8" t="s">
        <v>1966</v>
      </c>
      <c r="G67" s="8" t="s">
        <v>9</v>
      </c>
      <c r="H67" s="8" t="s">
        <v>352</v>
      </c>
      <c r="I67" s="8" t="s">
        <v>1977</v>
      </c>
      <c r="J67" s="8" t="s">
        <v>2065</v>
      </c>
      <c r="K67" s="8" t="s">
        <v>384</v>
      </c>
      <c r="L67" s="8" t="s">
        <v>645</v>
      </c>
      <c r="M67" s="10">
        <v>0</v>
      </c>
      <c r="N67" s="8" t="s">
        <v>606</v>
      </c>
      <c r="O67" s="8" t="s">
        <v>9</v>
      </c>
      <c r="P67" s="8" t="s">
        <v>1955</v>
      </c>
      <c r="Q67" s="8" t="s">
        <v>1956</v>
      </c>
      <c r="R67" s="8" t="s">
        <v>1956</v>
      </c>
      <c r="S67" s="8" t="s">
        <v>356</v>
      </c>
      <c r="T67" s="8" t="s">
        <v>1172</v>
      </c>
      <c r="U67" s="8" t="s">
        <v>1968</v>
      </c>
      <c r="V67" s="8" t="s">
        <v>1172</v>
      </c>
      <c r="W67" s="8" t="s">
        <v>1969</v>
      </c>
      <c r="X67" s="8" t="s">
        <v>1734</v>
      </c>
      <c r="Y67" s="8" t="s">
        <v>112</v>
      </c>
      <c r="Z67" s="8" t="s">
        <v>1959</v>
      </c>
    </row>
    <row r="68" spans="1:26" ht="24" x14ac:dyDescent="0.3">
      <c r="A68" s="8" t="s">
        <v>2070</v>
      </c>
      <c r="B68" s="8" t="s">
        <v>9</v>
      </c>
      <c r="C68" s="10">
        <v>315721</v>
      </c>
      <c r="D68" s="8" t="s">
        <v>127</v>
      </c>
      <c r="E68" s="8" t="s">
        <v>1951</v>
      </c>
      <c r="F68" s="8" t="s">
        <v>1966</v>
      </c>
      <c r="G68" s="8" t="s">
        <v>9</v>
      </c>
      <c r="H68" s="8" t="s">
        <v>352</v>
      </c>
      <c r="I68" s="8" t="s">
        <v>1977</v>
      </c>
      <c r="J68" s="8" t="s">
        <v>2065</v>
      </c>
      <c r="K68" s="8" t="s">
        <v>384</v>
      </c>
      <c r="L68" s="8" t="s">
        <v>635</v>
      </c>
      <c r="M68" s="10">
        <v>0</v>
      </c>
      <c r="N68" s="8" t="s">
        <v>606</v>
      </c>
      <c r="O68" s="8" t="s">
        <v>9</v>
      </c>
      <c r="P68" s="8" t="s">
        <v>1955</v>
      </c>
      <c r="Q68" s="8" t="s">
        <v>1956</v>
      </c>
      <c r="R68" s="8" t="s">
        <v>1956</v>
      </c>
      <c r="S68" s="8" t="s">
        <v>356</v>
      </c>
      <c r="T68" s="8" t="s">
        <v>1172</v>
      </c>
      <c r="U68" s="8" t="s">
        <v>1968</v>
      </c>
      <c r="V68" s="8" t="s">
        <v>1172</v>
      </c>
      <c r="W68" s="8" t="s">
        <v>1969</v>
      </c>
      <c r="X68" s="8" t="s">
        <v>1734</v>
      </c>
      <c r="Y68" s="8" t="s">
        <v>112</v>
      </c>
      <c r="Z68" s="8" t="s">
        <v>1959</v>
      </c>
    </row>
    <row r="69" spans="1:26" ht="24" x14ac:dyDescent="0.3">
      <c r="A69" s="8" t="s">
        <v>2071</v>
      </c>
      <c r="B69" s="8" t="s">
        <v>9</v>
      </c>
      <c r="C69" s="10">
        <v>315721</v>
      </c>
      <c r="D69" s="8" t="s">
        <v>127</v>
      </c>
      <c r="E69" s="8" t="s">
        <v>1951</v>
      </c>
      <c r="F69" s="8" t="s">
        <v>1966</v>
      </c>
      <c r="G69" s="8" t="s">
        <v>9</v>
      </c>
      <c r="H69" s="8" t="s">
        <v>352</v>
      </c>
      <c r="I69" s="8" t="s">
        <v>1977</v>
      </c>
      <c r="J69" s="8" t="s">
        <v>2065</v>
      </c>
      <c r="K69" s="8" t="s">
        <v>384</v>
      </c>
      <c r="L69" s="8" t="s">
        <v>647</v>
      </c>
      <c r="M69" s="10">
        <v>0</v>
      </c>
      <c r="N69" s="8" t="s">
        <v>606</v>
      </c>
      <c r="O69" s="8" t="s">
        <v>9</v>
      </c>
      <c r="P69" s="8" t="s">
        <v>1955</v>
      </c>
      <c r="Q69" s="8" t="s">
        <v>1956</v>
      </c>
      <c r="R69" s="8" t="s">
        <v>1956</v>
      </c>
      <c r="S69" s="8" t="s">
        <v>356</v>
      </c>
      <c r="T69" s="8" t="s">
        <v>1172</v>
      </c>
      <c r="U69" s="8" t="s">
        <v>1968</v>
      </c>
      <c r="V69" s="8" t="s">
        <v>1172</v>
      </c>
      <c r="W69" s="8" t="s">
        <v>1969</v>
      </c>
      <c r="X69" s="8" t="s">
        <v>1734</v>
      </c>
      <c r="Y69" s="8" t="s">
        <v>112</v>
      </c>
      <c r="Z69" s="8" t="s">
        <v>1959</v>
      </c>
    </row>
    <row r="70" spans="1:26" ht="24" x14ac:dyDescent="0.3">
      <c r="A70" s="8" t="s">
        <v>2072</v>
      </c>
      <c r="B70" s="8" t="s">
        <v>9</v>
      </c>
      <c r="C70" s="10">
        <v>315721</v>
      </c>
      <c r="D70" s="8" t="s">
        <v>127</v>
      </c>
      <c r="E70" s="8" t="s">
        <v>1951</v>
      </c>
      <c r="F70" s="8" t="s">
        <v>1966</v>
      </c>
      <c r="G70" s="8" t="s">
        <v>9</v>
      </c>
      <c r="H70" s="8" t="s">
        <v>352</v>
      </c>
      <c r="I70" s="8" t="s">
        <v>1977</v>
      </c>
      <c r="J70" s="8" t="s">
        <v>2065</v>
      </c>
      <c r="K70" s="8" t="s">
        <v>384</v>
      </c>
      <c r="L70" s="8" t="s">
        <v>649</v>
      </c>
      <c r="M70" s="10">
        <v>0</v>
      </c>
      <c r="N70" s="8" t="s">
        <v>606</v>
      </c>
      <c r="O70" s="8" t="s">
        <v>9</v>
      </c>
      <c r="P70" s="8" t="s">
        <v>1955</v>
      </c>
      <c r="Q70" s="8" t="s">
        <v>1956</v>
      </c>
      <c r="R70" s="8" t="s">
        <v>1956</v>
      </c>
      <c r="S70" s="8" t="s">
        <v>356</v>
      </c>
      <c r="T70" s="8" t="s">
        <v>1172</v>
      </c>
      <c r="U70" s="8" t="s">
        <v>1968</v>
      </c>
      <c r="V70" s="8" t="s">
        <v>1172</v>
      </c>
      <c r="W70" s="8" t="s">
        <v>1969</v>
      </c>
      <c r="X70" s="8" t="s">
        <v>1734</v>
      </c>
      <c r="Y70" s="8" t="s">
        <v>112</v>
      </c>
      <c r="Z70" s="8" t="s">
        <v>1959</v>
      </c>
    </row>
    <row r="71" spans="1:26" ht="19.95" customHeight="1" x14ac:dyDescent="0.3">
      <c r="A71" s="8" t="s">
        <v>2073</v>
      </c>
      <c r="B71" s="8" t="s">
        <v>9</v>
      </c>
      <c r="C71" s="10">
        <v>315721</v>
      </c>
      <c r="D71" s="8" t="s">
        <v>127</v>
      </c>
      <c r="E71" s="8" t="s">
        <v>1951</v>
      </c>
      <c r="F71" s="8" t="s">
        <v>1966</v>
      </c>
      <c r="G71" s="8" t="s">
        <v>9</v>
      </c>
      <c r="H71" s="8" t="s">
        <v>352</v>
      </c>
      <c r="I71" s="8" t="s">
        <v>1977</v>
      </c>
      <c r="J71" s="8" t="s">
        <v>2065</v>
      </c>
      <c r="K71" s="8" t="s">
        <v>384</v>
      </c>
      <c r="L71" s="8" t="s">
        <v>651</v>
      </c>
      <c r="M71" s="10">
        <v>0</v>
      </c>
      <c r="N71" s="8" t="s">
        <v>606</v>
      </c>
      <c r="O71" s="8" t="s">
        <v>9</v>
      </c>
      <c r="P71" s="8" t="s">
        <v>1955</v>
      </c>
      <c r="Q71" s="8" t="s">
        <v>1956</v>
      </c>
      <c r="R71" s="8" t="s">
        <v>1956</v>
      </c>
      <c r="S71" s="8" t="s">
        <v>356</v>
      </c>
      <c r="T71" s="8" t="s">
        <v>1172</v>
      </c>
      <c r="U71" s="8" t="s">
        <v>1968</v>
      </c>
      <c r="V71" s="8" t="s">
        <v>1172</v>
      </c>
      <c r="W71" s="8" t="s">
        <v>1969</v>
      </c>
      <c r="X71" s="8" t="s">
        <v>1734</v>
      </c>
      <c r="Y71" s="8" t="s">
        <v>112</v>
      </c>
      <c r="Z71" s="8" t="s">
        <v>1959</v>
      </c>
    </row>
    <row r="72" spans="1:26" ht="19.95" customHeight="1" x14ac:dyDescent="0.3">
      <c r="A72" s="8" t="s">
        <v>2074</v>
      </c>
      <c r="B72" s="8" t="s">
        <v>9</v>
      </c>
      <c r="C72" s="10">
        <v>315721</v>
      </c>
      <c r="D72" s="8" t="s">
        <v>127</v>
      </c>
      <c r="E72" s="8" t="s">
        <v>1951</v>
      </c>
      <c r="F72" s="8" t="s">
        <v>1966</v>
      </c>
      <c r="G72" s="8" t="s">
        <v>9</v>
      </c>
      <c r="H72" s="8" t="s">
        <v>352</v>
      </c>
      <c r="I72" s="8" t="s">
        <v>1977</v>
      </c>
      <c r="J72" s="8" t="s">
        <v>2065</v>
      </c>
      <c r="K72" s="8" t="s">
        <v>384</v>
      </c>
      <c r="L72" s="8" t="s">
        <v>653</v>
      </c>
      <c r="M72" s="10">
        <v>0</v>
      </c>
      <c r="N72" s="8" t="s">
        <v>666</v>
      </c>
      <c r="O72" s="8" t="s">
        <v>9</v>
      </c>
      <c r="P72" s="8" t="s">
        <v>1955</v>
      </c>
      <c r="Q72" s="8" t="s">
        <v>1956</v>
      </c>
      <c r="R72" s="8" t="s">
        <v>1956</v>
      </c>
      <c r="S72" s="8" t="s">
        <v>356</v>
      </c>
      <c r="T72" s="8" t="s">
        <v>1172</v>
      </c>
      <c r="U72" s="8" t="s">
        <v>1968</v>
      </c>
      <c r="V72" s="8" t="s">
        <v>1172</v>
      </c>
      <c r="W72" s="8" t="s">
        <v>1969</v>
      </c>
      <c r="X72" s="8" t="s">
        <v>1734</v>
      </c>
      <c r="Y72" s="8" t="s">
        <v>112</v>
      </c>
      <c r="Z72" s="8" t="s">
        <v>1959</v>
      </c>
    </row>
    <row r="73" spans="1:26" ht="24" x14ac:dyDescent="0.3">
      <c r="A73" s="8" t="s">
        <v>2075</v>
      </c>
      <c r="B73" s="8" t="s">
        <v>9</v>
      </c>
      <c r="C73" s="10">
        <v>315721</v>
      </c>
      <c r="D73" s="8" t="s">
        <v>127</v>
      </c>
      <c r="E73" s="8" t="s">
        <v>1951</v>
      </c>
      <c r="F73" s="8" t="s">
        <v>1966</v>
      </c>
      <c r="G73" s="8" t="s">
        <v>9</v>
      </c>
      <c r="H73" s="8" t="s">
        <v>352</v>
      </c>
      <c r="I73" s="8" t="s">
        <v>1977</v>
      </c>
      <c r="J73" s="8" t="s">
        <v>2065</v>
      </c>
      <c r="K73" s="8" t="s">
        <v>384</v>
      </c>
      <c r="L73" s="8" t="s">
        <v>637</v>
      </c>
      <c r="M73" s="10">
        <v>0</v>
      </c>
      <c r="N73" s="8" t="s">
        <v>606</v>
      </c>
      <c r="O73" s="8" t="s">
        <v>9</v>
      </c>
      <c r="P73" s="8" t="s">
        <v>1955</v>
      </c>
      <c r="Q73" s="8" t="s">
        <v>1956</v>
      </c>
      <c r="R73" s="8" t="s">
        <v>1956</v>
      </c>
      <c r="S73" s="8" t="s">
        <v>356</v>
      </c>
      <c r="T73" s="8" t="s">
        <v>1172</v>
      </c>
      <c r="U73" s="8" t="s">
        <v>1968</v>
      </c>
      <c r="V73" s="8" t="s">
        <v>1172</v>
      </c>
      <c r="W73" s="8" t="s">
        <v>1969</v>
      </c>
      <c r="X73" s="8" t="s">
        <v>1734</v>
      </c>
      <c r="Y73" s="8" t="s">
        <v>112</v>
      </c>
      <c r="Z73" s="8" t="s">
        <v>1959</v>
      </c>
    </row>
    <row r="74" spans="1:26" ht="24" x14ac:dyDescent="0.3">
      <c r="A74" s="8" t="s">
        <v>2076</v>
      </c>
      <c r="B74" s="8" t="s">
        <v>9</v>
      </c>
      <c r="C74" s="10">
        <v>315721</v>
      </c>
      <c r="D74" s="8" t="s">
        <v>127</v>
      </c>
      <c r="E74" s="8" t="s">
        <v>1951</v>
      </c>
      <c r="F74" s="8" t="s">
        <v>1966</v>
      </c>
      <c r="G74" s="8" t="s">
        <v>9</v>
      </c>
      <c r="H74" s="8" t="s">
        <v>352</v>
      </c>
      <c r="I74" s="8" t="s">
        <v>2016</v>
      </c>
      <c r="J74" s="8" t="s">
        <v>2077</v>
      </c>
      <c r="K74" s="8" t="s">
        <v>384</v>
      </c>
      <c r="L74" s="8" t="s">
        <v>633</v>
      </c>
      <c r="M74" s="10">
        <v>0</v>
      </c>
      <c r="N74" s="8" t="s">
        <v>606</v>
      </c>
      <c r="O74" s="8" t="s">
        <v>9</v>
      </c>
      <c r="P74" s="8" t="s">
        <v>1955</v>
      </c>
      <c r="Q74" s="8" t="s">
        <v>1956</v>
      </c>
      <c r="R74" s="8" t="s">
        <v>1956</v>
      </c>
      <c r="S74" s="8" t="s">
        <v>356</v>
      </c>
      <c r="T74" s="8" t="s">
        <v>1172</v>
      </c>
      <c r="U74" s="8" t="s">
        <v>1968</v>
      </c>
      <c r="V74" s="8" t="s">
        <v>1172</v>
      </c>
      <c r="W74" s="8" t="s">
        <v>1969</v>
      </c>
      <c r="X74" s="8" t="s">
        <v>1734</v>
      </c>
      <c r="Y74" s="8" t="s">
        <v>112</v>
      </c>
      <c r="Z74" s="8" t="s">
        <v>1959</v>
      </c>
    </row>
    <row r="75" spans="1:26" ht="24" x14ac:dyDescent="0.3">
      <c r="A75" s="8" t="s">
        <v>2078</v>
      </c>
      <c r="B75" s="8" t="s">
        <v>9</v>
      </c>
      <c r="C75" s="10">
        <v>315721</v>
      </c>
      <c r="D75" s="8" t="s">
        <v>127</v>
      </c>
      <c r="E75" s="8" t="s">
        <v>1951</v>
      </c>
      <c r="F75" s="8" t="s">
        <v>1966</v>
      </c>
      <c r="G75" s="8" t="s">
        <v>9</v>
      </c>
      <c r="H75" s="8" t="s">
        <v>352</v>
      </c>
      <c r="I75" s="8" t="s">
        <v>2016</v>
      </c>
      <c r="J75" s="8" t="s">
        <v>2077</v>
      </c>
      <c r="K75" s="8" t="s">
        <v>384</v>
      </c>
      <c r="L75" s="8" t="s">
        <v>639</v>
      </c>
      <c r="M75" s="10">
        <v>0</v>
      </c>
      <c r="N75" s="8" t="s">
        <v>606</v>
      </c>
      <c r="O75" s="8" t="s">
        <v>9</v>
      </c>
      <c r="P75" s="8" t="s">
        <v>1955</v>
      </c>
      <c r="Q75" s="8" t="s">
        <v>1956</v>
      </c>
      <c r="R75" s="8" t="s">
        <v>1956</v>
      </c>
      <c r="S75" s="8" t="s">
        <v>356</v>
      </c>
      <c r="T75" s="8" t="s">
        <v>1172</v>
      </c>
      <c r="U75" s="8" t="s">
        <v>1968</v>
      </c>
      <c r="V75" s="8" t="s">
        <v>1172</v>
      </c>
      <c r="W75" s="8" t="s">
        <v>1969</v>
      </c>
      <c r="X75" s="8" t="s">
        <v>1734</v>
      </c>
      <c r="Y75" s="8" t="s">
        <v>112</v>
      </c>
      <c r="Z75" s="8" t="s">
        <v>1959</v>
      </c>
    </row>
    <row r="76" spans="1:26" ht="24" x14ac:dyDescent="0.3">
      <c r="A76" s="8" t="s">
        <v>2079</v>
      </c>
      <c r="B76" s="8" t="s">
        <v>9</v>
      </c>
      <c r="C76" s="10">
        <v>315721</v>
      </c>
      <c r="D76" s="8" t="s">
        <v>127</v>
      </c>
      <c r="E76" s="8" t="s">
        <v>1951</v>
      </c>
      <c r="F76" s="8" t="s">
        <v>1966</v>
      </c>
      <c r="G76" s="8" t="s">
        <v>9</v>
      </c>
      <c r="H76" s="8" t="s">
        <v>352</v>
      </c>
      <c r="I76" s="8" t="s">
        <v>2016</v>
      </c>
      <c r="J76" s="8" t="s">
        <v>2077</v>
      </c>
      <c r="K76" s="8" t="s">
        <v>384</v>
      </c>
      <c r="L76" s="8" t="s">
        <v>641</v>
      </c>
      <c r="M76" s="10">
        <v>0</v>
      </c>
      <c r="N76" s="8" t="s">
        <v>606</v>
      </c>
      <c r="O76" s="8" t="s">
        <v>9</v>
      </c>
      <c r="P76" s="8" t="s">
        <v>1955</v>
      </c>
      <c r="Q76" s="8" t="s">
        <v>1956</v>
      </c>
      <c r="R76" s="8" t="s">
        <v>1956</v>
      </c>
      <c r="S76" s="8" t="s">
        <v>356</v>
      </c>
      <c r="T76" s="8" t="s">
        <v>1172</v>
      </c>
      <c r="U76" s="8" t="s">
        <v>1968</v>
      </c>
      <c r="V76" s="8" t="s">
        <v>1172</v>
      </c>
      <c r="W76" s="8" t="s">
        <v>1969</v>
      </c>
      <c r="X76" s="8" t="s">
        <v>1734</v>
      </c>
      <c r="Y76" s="8" t="s">
        <v>112</v>
      </c>
      <c r="Z76" s="8" t="s">
        <v>1959</v>
      </c>
    </row>
    <row r="77" spans="1:26" ht="24" x14ac:dyDescent="0.3">
      <c r="A77" s="8" t="s">
        <v>2080</v>
      </c>
      <c r="B77" s="8" t="s">
        <v>9</v>
      </c>
      <c r="C77" s="10">
        <v>315721</v>
      </c>
      <c r="D77" s="8" t="s">
        <v>127</v>
      </c>
      <c r="E77" s="8" t="s">
        <v>1951</v>
      </c>
      <c r="F77" s="8" t="s">
        <v>1966</v>
      </c>
      <c r="G77" s="8" t="s">
        <v>9</v>
      </c>
      <c r="H77" s="8" t="s">
        <v>352</v>
      </c>
      <c r="I77" s="8" t="s">
        <v>2016</v>
      </c>
      <c r="J77" s="8" t="s">
        <v>2077</v>
      </c>
      <c r="K77" s="8" t="s">
        <v>384</v>
      </c>
      <c r="L77" s="8" t="s">
        <v>643</v>
      </c>
      <c r="M77" s="10">
        <v>0</v>
      </c>
      <c r="N77" s="8" t="s">
        <v>606</v>
      </c>
      <c r="O77" s="8" t="s">
        <v>9</v>
      </c>
      <c r="P77" s="8" t="s">
        <v>1955</v>
      </c>
      <c r="Q77" s="8" t="s">
        <v>1956</v>
      </c>
      <c r="R77" s="8" t="s">
        <v>1956</v>
      </c>
      <c r="S77" s="8" t="s">
        <v>356</v>
      </c>
      <c r="T77" s="8" t="s">
        <v>1172</v>
      </c>
      <c r="U77" s="8" t="s">
        <v>1968</v>
      </c>
      <c r="V77" s="8" t="s">
        <v>1172</v>
      </c>
      <c r="W77" s="8" t="s">
        <v>1969</v>
      </c>
      <c r="X77" s="8" t="s">
        <v>1734</v>
      </c>
      <c r="Y77" s="8" t="s">
        <v>112</v>
      </c>
      <c r="Z77" s="8" t="s">
        <v>1959</v>
      </c>
    </row>
    <row r="78" spans="1:26" ht="24" x14ac:dyDescent="0.3">
      <c r="A78" s="8" t="s">
        <v>2081</v>
      </c>
      <c r="B78" s="8" t="s">
        <v>9</v>
      </c>
      <c r="C78" s="10">
        <v>315721</v>
      </c>
      <c r="D78" s="8" t="s">
        <v>127</v>
      </c>
      <c r="E78" s="8" t="s">
        <v>1951</v>
      </c>
      <c r="F78" s="8" t="s">
        <v>1966</v>
      </c>
      <c r="G78" s="8" t="s">
        <v>9</v>
      </c>
      <c r="H78" s="8" t="s">
        <v>352</v>
      </c>
      <c r="I78" s="8" t="s">
        <v>2016</v>
      </c>
      <c r="J78" s="8" t="s">
        <v>2077</v>
      </c>
      <c r="K78" s="8" t="s">
        <v>384</v>
      </c>
      <c r="L78" s="8" t="s">
        <v>645</v>
      </c>
      <c r="M78" s="10">
        <v>0</v>
      </c>
      <c r="N78" s="8" t="s">
        <v>606</v>
      </c>
      <c r="O78" s="8" t="s">
        <v>9</v>
      </c>
      <c r="P78" s="8" t="s">
        <v>1955</v>
      </c>
      <c r="Q78" s="8" t="s">
        <v>1956</v>
      </c>
      <c r="R78" s="8" t="s">
        <v>1956</v>
      </c>
      <c r="S78" s="8" t="s">
        <v>356</v>
      </c>
      <c r="T78" s="8" t="s">
        <v>1172</v>
      </c>
      <c r="U78" s="8" t="s">
        <v>1968</v>
      </c>
      <c r="V78" s="8" t="s">
        <v>1172</v>
      </c>
      <c r="W78" s="8" t="s">
        <v>1969</v>
      </c>
      <c r="X78" s="8" t="s">
        <v>1734</v>
      </c>
      <c r="Y78" s="8" t="s">
        <v>112</v>
      </c>
      <c r="Z78" s="8" t="s">
        <v>1959</v>
      </c>
    </row>
    <row r="79" spans="1:26" ht="24" x14ac:dyDescent="0.3">
      <c r="A79" s="8" t="s">
        <v>2082</v>
      </c>
      <c r="B79" s="8" t="s">
        <v>9</v>
      </c>
      <c r="C79" s="10">
        <v>315721</v>
      </c>
      <c r="D79" s="8" t="s">
        <v>127</v>
      </c>
      <c r="E79" s="8" t="s">
        <v>1951</v>
      </c>
      <c r="F79" s="8" t="s">
        <v>1966</v>
      </c>
      <c r="G79" s="8" t="s">
        <v>9</v>
      </c>
      <c r="H79" s="8" t="s">
        <v>352</v>
      </c>
      <c r="I79" s="8" t="s">
        <v>2016</v>
      </c>
      <c r="J79" s="8" t="s">
        <v>2077</v>
      </c>
      <c r="K79" s="8" t="s">
        <v>384</v>
      </c>
      <c r="L79" s="8" t="s">
        <v>635</v>
      </c>
      <c r="M79" s="10">
        <v>0</v>
      </c>
      <c r="N79" s="8" t="s">
        <v>606</v>
      </c>
      <c r="O79" s="8" t="s">
        <v>9</v>
      </c>
      <c r="P79" s="8" t="s">
        <v>1955</v>
      </c>
      <c r="Q79" s="8" t="s">
        <v>1956</v>
      </c>
      <c r="R79" s="8" t="s">
        <v>1956</v>
      </c>
      <c r="S79" s="8" t="s">
        <v>356</v>
      </c>
      <c r="T79" s="8" t="s">
        <v>1172</v>
      </c>
      <c r="U79" s="8" t="s">
        <v>1968</v>
      </c>
      <c r="V79" s="8" t="s">
        <v>1172</v>
      </c>
      <c r="W79" s="8" t="s">
        <v>1969</v>
      </c>
      <c r="X79" s="8" t="s">
        <v>1734</v>
      </c>
      <c r="Y79" s="8" t="s">
        <v>112</v>
      </c>
      <c r="Z79" s="8" t="s">
        <v>1959</v>
      </c>
    </row>
    <row r="80" spans="1:26" ht="24" x14ac:dyDescent="0.3">
      <c r="A80" s="8" t="s">
        <v>2083</v>
      </c>
      <c r="B80" s="8" t="s">
        <v>9</v>
      </c>
      <c r="C80" s="10">
        <v>315721</v>
      </c>
      <c r="D80" s="8" t="s">
        <v>127</v>
      </c>
      <c r="E80" s="8" t="s">
        <v>1951</v>
      </c>
      <c r="F80" s="8" t="s">
        <v>1966</v>
      </c>
      <c r="G80" s="8" t="s">
        <v>9</v>
      </c>
      <c r="H80" s="8" t="s">
        <v>352</v>
      </c>
      <c r="I80" s="8" t="s">
        <v>2016</v>
      </c>
      <c r="J80" s="8" t="s">
        <v>2077</v>
      </c>
      <c r="K80" s="8" t="s">
        <v>384</v>
      </c>
      <c r="L80" s="8" t="s">
        <v>647</v>
      </c>
      <c r="M80" s="10">
        <v>0</v>
      </c>
      <c r="N80" s="8" t="s">
        <v>606</v>
      </c>
      <c r="O80" s="8" t="s">
        <v>9</v>
      </c>
      <c r="P80" s="8" t="s">
        <v>1955</v>
      </c>
      <c r="Q80" s="8" t="s">
        <v>1956</v>
      </c>
      <c r="R80" s="8" t="s">
        <v>1956</v>
      </c>
      <c r="S80" s="8" t="s">
        <v>356</v>
      </c>
      <c r="T80" s="8" t="s">
        <v>1172</v>
      </c>
      <c r="U80" s="8" t="s">
        <v>1968</v>
      </c>
      <c r="V80" s="8" t="s">
        <v>1172</v>
      </c>
      <c r="W80" s="8" t="s">
        <v>1969</v>
      </c>
      <c r="X80" s="8" t="s">
        <v>1734</v>
      </c>
      <c r="Y80" s="8" t="s">
        <v>112</v>
      </c>
      <c r="Z80" s="8" t="s">
        <v>1959</v>
      </c>
    </row>
    <row r="81" spans="1:26" ht="24" x14ac:dyDescent="0.3">
      <c r="A81" s="8" t="s">
        <v>2084</v>
      </c>
      <c r="B81" s="8" t="s">
        <v>9</v>
      </c>
      <c r="C81" s="10">
        <v>315721</v>
      </c>
      <c r="D81" s="8" t="s">
        <v>127</v>
      </c>
      <c r="E81" s="8" t="s">
        <v>1951</v>
      </c>
      <c r="F81" s="8" t="s">
        <v>1966</v>
      </c>
      <c r="G81" s="8" t="s">
        <v>9</v>
      </c>
      <c r="H81" s="8" t="s">
        <v>352</v>
      </c>
      <c r="I81" s="8" t="s">
        <v>2016</v>
      </c>
      <c r="J81" s="8" t="s">
        <v>2077</v>
      </c>
      <c r="K81" s="8" t="s">
        <v>384</v>
      </c>
      <c r="L81" s="8" t="s">
        <v>649</v>
      </c>
      <c r="M81" s="10">
        <v>0</v>
      </c>
      <c r="N81" s="8" t="s">
        <v>606</v>
      </c>
      <c r="O81" s="8" t="s">
        <v>9</v>
      </c>
      <c r="P81" s="8" t="s">
        <v>1955</v>
      </c>
      <c r="Q81" s="8" t="s">
        <v>1956</v>
      </c>
      <c r="R81" s="8" t="s">
        <v>1956</v>
      </c>
      <c r="S81" s="8" t="s">
        <v>356</v>
      </c>
      <c r="T81" s="8" t="s">
        <v>1172</v>
      </c>
      <c r="U81" s="8" t="s">
        <v>1968</v>
      </c>
      <c r="V81" s="8" t="s">
        <v>1172</v>
      </c>
      <c r="W81" s="8" t="s">
        <v>1969</v>
      </c>
      <c r="X81" s="8" t="s">
        <v>1734</v>
      </c>
      <c r="Y81" s="8" t="s">
        <v>112</v>
      </c>
      <c r="Z81" s="8" t="s">
        <v>1959</v>
      </c>
    </row>
    <row r="82" spans="1:26" ht="19.95" customHeight="1" x14ac:dyDescent="0.3">
      <c r="A82" s="8" t="s">
        <v>2085</v>
      </c>
      <c r="B82" s="8" t="s">
        <v>9</v>
      </c>
      <c r="C82" s="10">
        <v>315721</v>
      </c>
      <c r="D82" s="8" t="s">
        <v>127</v>
      </c>
      <c r="E82" s="8" t="s">
        <v>1951</v>
      </c>
      <c r="F82" s="8" t="s">
        <v>1966</v>
      </c>
      <c r="G82" s="8" t="s">
        <v>9</v>
      </c>
      <c r="H82" s="8" t="s">
        <v>352</v>
      </c>
      <c r="I82" s="8" t="s">
        <v>2016</v>
      </c>
      <c r="J82" s="8" t="s">
        <v>2077</v>
      </c>
      <c r="K82" s="8" t="s">
        <v>384</v>
      </c>
      <c r="L82" s="8" t="s">
        <v>651</v>
      </c>
      <c r="M82" s="10">
        <v>0</v>
      </c>
      <c r="N82" s="8" t="s">
        <v>606</v>
      </c>
      <c r="O82" s="8" t="s">
        <v>9</v>
      </c>
      <c r="P82" s="8" t="s">
        <v>1955</v>
      </c>
      <c r="Q82" s="8" t="s">
        <v>1956</v>
      </c>
      <c r="R82" s="8" t="s">
        <v>1956</v>
      </c>
      <c r="S82" s="8" t="s">
        <v>356</v>
      </c>
      <c r="T82" s="8" t="s">
        <v>1172</v>
      </c>
      <c r="U82" s="8" t="s">
        <v>1968</v>
      </c>
      <c r="V82" s="8" t="s">
        <v>1172</v>
      </c>
      <c r="W82" s="8" t="s">
        <v>1969</v>
      </c>
      <c r="X82" s="8" t="s">
        <v>1734</v>
      </c>
      <c r="Y82" s="8" t="s">
        <v>112</v>
      </c>
      <c r="Z82" s="8" t="s">
        <v>1959</v>
      </c>
    </row>
    <row r="83" spans="1:26" ht="19.95" customHeight="1" x14ac:dyDescent="0.3">
      <c r="A83" s="8" t="s">
        <v>2086</v>
      </c>
      <c r="B83" s="8" t="s">
        <v>9</v>
      </c>
      <c r="C83" s="10">
        <v>315721</v>
      </c>
      <c r="D83" s="8" t="s">
        <v>127</v>
      </c>
      <c r="E83" s="8" t="s">
        <v>1951</v>
      </c>
      <c r="F83" s="8" t="s">
        <v>1966</v>
      </c>
      <c r="G83" s="8" t="s">
        <v>9</v>
      </c>
      <c r="H83" s="8" t="s">
        <v>352</v>
      </c>
      <c r="I83" s="8" t="s">
        <v>2016</v>
      </c>
      <c r="J83" s="8" t="s">
        <v>2077</v>
      </c>
      <c r="K83" s="8" t="s">
        <v>384</v>
      </c>
      <c r="L83" s="8" t="s">
        <v>653</v>
      </c>
      <c r="M83" s="10">
        <v>0</v>
      </c>
      <c r="N83" s="8" t="s">
        <v>697</v>
      </c>
      <c r="O83" s="8" t="s">
        <v>9</v>
      </c>
      <c r="P83" s="8" t="s">
        <v>1955</v>
      </c>
      <c r="Q83" s="8" t="s">
        <v>1956</v>
      </c>
      <c r="R83" s="8" t="s">
        <v>1956</v>
      </c>
      <c r="S83" s="8" t="s">
        <v>356</v>
      </c>
      <c r="T83" s="8" t="s">
        <v>1172</v>
      </c>
      <c r="U83" s="8" t="s">
        <v>1968</v>
      </c>
      <c r="V83" s="8" t="s">
        <v>1172</v>
      </c>
      <c r="W83" s="8" t="s">
        <v>1969</v>
      </c>
      <c r="X83" s="8" t="s">
        <v>1734</v>
      </c>
      <c r="Y83" s="8" t="s">
        <v>112</v>
      </c>
      <c r="Z83" s="8" t="s">
        <v>1959</v>
      </c>
    </row>
    <row r="84" spans="1:26" ht="24" x14ac:dyDescent="0.3">
      <c r="A84" s="8" t="s">
        <v>2087</v>
      </c>
      <c r="B84" s="8" t="s">
        <v>9</v>
      </c>
      <c r="C84" s="10">
        <v>315721</v>
      </c>
      <c r="D84" s="8" t="s">
        <v>127</v>
      </c>
      <c r="E84" s="8" t="s">
        <v>1951</v>
      </c>
      <c r="F84" s="8" t="s">
        <v>1966</v>
      </c>
      <c r="G84" s="8" t="s">
        <v>9</v>
      </c>
      <c r="H84" s="8" t="s">
        <v>352</v>
      </c>
      <c r="I84" s="8" t="s">
        <v>2016</v>
      </c>
      <c r="J84" s="8" t="s">
        <v>2077</v>
      </c>
      <c r="K84" s="8" t="s">
        <v>384</v>
      </c>
      <c r="L84" s="8" t="s">
        <v>637</v>
      </c>
      <c r="M84" s="10">
        <v>0</v>
      </c>
      <c r="N84" s="8" t="s">
        <v>606</v>
      </c>
      <c r="O84" s="8" t="s">
        <v>9</v>
      </c>
      <c r="P84" s="8" t="s">
        <v>1955</v>
      </c>
      <c r="Q84" s="8" t="s">
        <v>1956</v>
      </c>
      <c r="R84" s="8" t="s">
        <v>1956</v>
      </c>
      <c r="S84" s="8" t="s">
        <v>356</v>
      </c>
      <c r="T84" s="8" t="s">
        <v>1172</v>
      </c>
      <c r="U84" s="8" t="s">
        <v>1968</v>
      </c>
      <c r="V84" s="8" t="s">
        <v>1172</v>
      </c>
      <c r="W84" s="8" t="s">
        <v>1969</v>
      </c>
      <c r="X84" s="8" t="s">
        <v>1734</v>
      </c>
      <c r="Y84" s="8" t="s">
        <v>112</v>
      </c>
      <c r="Z84" s="8" t="s">
        <v>1959</v>
      </c>
    </row>
    <row r="85" spans="1:26" ht="24" x14ac:dyDescent="0.3">
      <c r="A85" s="8" t="s">
        <v>2088</v>
      </c>
      <c r="B85" s="8" t="s">
        <v>9</v>
      </c>
      <c r="C85" s="10">
        <v>315721</v>
      </c>
      <c r="D85" s="8" t="s">
        <v>127</v>
      </c>
      <c r="E85" s="8" t="s">
        <v>1951</v>
      </c>
      <c r="F85" s="8" t="s">
        <v>1966</v>
      </c>
      <c r="G85" s="8" t="s">
        <v>9</v>
      </c>
      <c r="H85" s="8" t="s">
        <v>352</v>
      </c>
      <c r="I85" s="8" t="s">
        <v>2089</v>
      </c>
      <c r="J85" s="8" t="s">
        <v>2090</v>
      </c>
      <c r="K85" s="8" t="s">
        <v>384</v>
      </c>
      <c r="L85" s="8" t="s">
        <v>633</v>
      </c>
      <c r="M85" s="10">
        <v>0</v>
      </c>
      <c r="N85" s="8" t="s">
        <v>606</v>
      </c>
      <c r="O85" s="8" t="s">
        <v>9</v>
      </c>
      <c r="P85" s="8" t="s">
        <v>1955</v>
      </c>
      <c r="Q85" s="8" t="s">
        <v>1956</v>
      </c>
      <c r="R85" s="8" t="s">
        <v>1956</v>
      </c>
      <c r="S85" s="8" t="s">
        <v>356</v>
      </c>
      <c r="T85" s="8" t="s">
        <v>1172</v>
      </c>
      <c r="U85" s="8" t="s">
        <v>1968</v>
      </c>
      <c r="V85" s="8" t="s">
        <v>1172</v>
      </c>
      <c r="W85" s="8" t="s">
        <v>1969</v>
      </c>
      <c r="X85" s="8" t="s">
        <v>1734</v>
      </c>
      <c r="Y85" s="8" t="s">
        <v>112</v>
      </c>
      <c r="Z85" s="8" t="s">
        <v>1959</v>
      </c>
    </row>
    <row r="86" spans="1:26" ht="24" x14ac:dyDescent="0.3">
      <c r="A86" s="8" t="s">
        <v>2091</v>
      </c>
      <c r="B86" s="8" t="s">
        <v>9</v>
      </c>
      <c r="C86" s="10">
        <v>315721</v>
      </c>
      <c r="D86" s="8" t="s">
        <v>127</v>
      </c>
      <c r="E86" s="8" t="s">
        <v>1951</v>
      </c>
      <c r="F86" s="8" t="s">
        <v>1966</v>
      </c>
      <c r="G86" s="8" t="s">
        <v>9</v>
      </c>
      <c r="H86" s="8" t="s">
        <v>352</v>
      </c>
      <c r="I86" s="8" t="s">
        <v>2089</v>
      </c>
      <c r="J86" s="8" t="s">
        <v>2090</v>
      </c>
      <c r="K86" s="8" t="s">
        <v>384</v>
      </c>
      <c r="L86" s="8" t="s">
        <v>639</v>
      </c>
      <c r="M86" s="10">
        <v>0</v>
      </c>
      <c r="N86" s="8" t="s">
        <v>606</v>
      </c>
      <c r="O86" s="8" t="s">
        <v>9</v>
      </c>
      <c r="P86" s="8" t="s">
        <v>1955</v>
      </c>
      <c r="Q86" s="8" t="s">
        <v>1956</v>
      </c>
      <c r="R86" s="8" t="s">
        <v>1956</v>
      </c>
      <c r="S86" s="8" t="s">
        <v>356</v>
      </c>
      <c r="T86" s="8" t="s">
        <v>1172</v>
      </c>
      <c r="U86" s="8" t="s">
        <v>1968</v>
      </c>
      <c r="V86" s="8" t="s">
        <v>1172</v>
      </c>
      <c r="W86" s="8" t="s">
        <v>1969</v>
      </c>
      <c r="X86" s="8" t="s">
        <v>1734</v>
      </c>
      <c r="Y86" s="8" t="s">
        <v>112</v>
      </c>
      <c r="Z86" s="8" t="s">
        <v>1959</v>
      </c>
    </row>
    <row r="87" spans="1:26" ht="24" x14ac:dyDescent="0.3">
      <c r="A87" s="8" t="s">
        <v>2092</v>
      </c>
      <c r="B87" s="8" t="s">
        <v>9</v>
      </c>
      <c r="C87" s="10">
        <v>315721</v>
      </c>
      <c r="D87" s="8" t="s">
        <v>127</v>
      </c>
      <c r="E87" s="8" t="s">
        <v>1951</v>
      </c>
      <c r="F87" s="8" t="s">
        <v>1966</v>
      </c>
      <c r="G87" s="8" t="s">
        <v>9</v>
      </c>
      <c r="H87" s="8" t="s">
        <v>352</v>
      </c>
      <c r="I87" s="8" t="s">
        <v>2089</v>
      </c>
      <c r="J87" s="8" t="s">
        <v>2090</v>
      </c>
      <c r="K87" s="8" t="s">
        <v>384</v>
      </c>
      <c r="L87" s="8" t="s">
        <v>641</v>
      </c>
      <c r="M87" s="10">
        <v>0</v>
      </c>
      <c r="N87" s="8" t="s">
        <v>606</v>
      </c>
      <c r="O87" s="8" t="s">
        <v>9</v>
      </c>
      <c r="P87" s="8" t="s">
        <v>1955</v>
      </c>
      <c r="Q87" s="8" t="s">
        <v>1956</v>
      </c>
      <c r="R87" s="8" t="s">
        <v>1956</v>
      </c>
      <c r="S87" s="8" t="s">
        <v>356</v>
      </c>
      <c r="T87" s="8" t="s">
        <v>1172</v>
      </c>
      <c r="U87" s="8" t="s">
        <v>1968</v>
      </c>
      <c r="V87" s="8" t="s">
        <v>1172</v>
      </c>
      <c r="W87" s="8" t="s">
        <v>1969</v>
      </c>
      <c r="X87" s="8" t="s">
        <v>1734</v>
      </c>
      <c r="Y87" s="8" t="s">
        <v>112</v>
      </c>
      <c r="Z87" s="8" t="s">
        <v>1959</v>
      </c>
    </row>
    <row r="88" spans="1:26" ht="24" x14ac:dyDescent="0.3">
      <c r="A88" s="8" t="s">
        <v>2093</v>
      </c>
      <c r="B88" s="8" t="s">
        <v>9</v>
      </c>
      <c r="C88" s="10">
        <v>315721</v>
      </c>
      <c r="D88" s="8" t="s">
        <v>127</v>
      </c>
      <c r="E88" s="8" t="s">
        <v>1951</v>
      </c>
      <c r="F88" s="8" t="s">
        <v>1966</v>
      </c>
      <c r="G88" s="8" t="s">
        <v>9</v>
      </c>
      <c r="H88" s="8" t="s">
        <v>352</v>
      </c>
      <c r="I88" s="8" t="s">
        <v>2089</v>
      </c>
      <c r="J88" s="8" t="s">
        <v>2090</v>
      </c>
      <c r="K88" s="8" t="s">
        <v>384</v>
      </c>
      <c r="L88" s="8" t="s">
        <v>643</v>
      </c>
      <c r="M88" s="10">
        <v>0</v>
      </c>
      <c r="N88" s="8" t="s">
        <v>606</v>
      </c>
      <c r="O88" s="8" t="s">
        <v>9</v>
      </c>
      <c r="P88" s="8" t="s">
        <v>1955</v>
      </c>
      <c r="Q88" s="8" t="s">
        <v>1956</v>
      </c>
      <c r="R88" s="8" t="s">
        <v>1956</v>
      </c>
      <c r="S88" s="8" t="s">
        <v>356</v>
      </c>
      <c r="T88" s="8" t="s">
        <v>1172</v>
      </c>
      <c r="U88" s="8" t="s">
        <v>1968</v>
      </c>
      <c r="V88" s="8" t="s">
        <v>1172</v>
      </c>
      <c r="W88" s="8" t="s">
        <v>1969</v>
      </c>
      <c r="X88" s="8" t="s">
        <v>1734</v>
      </c>
      <c r="Y88" s="8" t="s">
        <v>112</v>
      </c>
      <c r="Z88" s="8" t="s">
        <v>1959</v>
      </c>
    </row>
    <row r="89" spans="1:26" ht="24" x14ac:dyDescent="0.3">
      <c r="A89" s="8" t="s">
        <v>2094</v>
      </c>
      <c r="B89" s="8" t="s">
        <v>9</v>
      </c>
      <c r="C89" s="10">
        <v>315721</v>
      </c>
      <c r="D89" s="8" t="s">
        <v>127</v>
      </c>
      <c r="E89" s="8" t="s">
        <v>1951</v>
      </c>
      <c r="F89" s="8" t="s">
        <v>1966</v>
      </c>
      <c r="G89" s="8" t="s">
        <v>9</v>
      </c>
      <c r="H89" s="8" t="s">
        <v>352</v>
      </c>
      <c r="I89" s="8" t="s">
        <v>2089</v>
      </c>
      <c r="J89" s="8" t="s">
        <v>2090</v>
      </c>
      <c r="K89" s="8" t="s">
        <v>384</v>
      </c>
      <c r="L89" s="8" t="s">
        <v>645</v>
      </c>
      <c r="M89" s="10">
        <v>0</v>
      </c>
      <c r="N89" s="8" t="s">
        <v>606</v>
      </c>
      <c r="O89" s="8" t="s">
        <v>9</v>
      </c>
      <c r="P89" s="8" t="s">
        <v>1955</v>
      </c>
      <c r="Q89" s="8" t="s">
        <v>1956</v>
      </c>
      <c r="R89" s="8" t="s">
        <v>1956</v>
      </c>
      <c r="S89" s="8" t="s">
        <v>356</v>
      </c>
      <c r="T89" s="8" t="s">
        <v>1172</v>
      </c>
      <c r="U89" s="8" t="s">
        <v>1968</v>
      </c>
      <c r="V89" s="8" t="s">
        <v>1172</v>
      </c>
      <c r="W89" s="8" t="s">
        <v>1969</v>
      </c>
      <c r="X89" s="8" t="s">
        <v>1734</v>
      </c>
      <c r="Y89" s="8" t="s">
        <v>112</v>
      </c>
      <c r="Z89" s="8" t="s">
        <v>1959</v>
      </c>
    </row>
    <row r="90" spans="1:26" ht="24" x14ac:dyDescent="0.3">
      <c r="A90" s="8" t="s">
        <v>2095</v>
      </c>
      <c r="B90" s="8" t="s">
        <v>9</v>
      </c>
      <c r="C90" s="10">
        <v>315721</v>
      </c>
      <c r="D90" s="8" t="s">
        <v>127</v>
      </c>
      <c r="E90" s="8" t="s">
        <v>1951</v>
      </c>
      <c r="F90" s="8" t="s">
        <v>1966</v>
      </c>
      <c r="G90" s="8" t="s">
        <v>9</v>
      </c>
      <c r="H90" s="8" t="s">
        <v>352</v>
      </c>
      <c r="I90" s="8" t="s">
        <v>2089</v>
      </c>
      <c r="J90" s="8" t="s">
        <v>2090</v>
      </c>
      <c r="K90" s="8" t="s">
        <v>384</v>
      </c>
      <c r="L90" s="8" t="s">
        <v>635</v>
      </c>
      <c r="M90" s="10">
        <v>0</v>
      </c>
      <c r="N90" s="8" t="s">
        <v>606</v>
      </c>
      <c r="O90" s="8" t="s">
        <v>9</v>
      </c>
      <c r="P90" s="8" t="s">
        <v>1955</v>
      </c>
      <c r="Q90" s="8" t="s">
        <v>1956</v>
      </c>
      <c r="R90" s="8" t="s">
        <v>1956</v>
      </c>
      <c r="S90" s="8" t="s">
        <v>356</v>
      </c>
      <c r="T90" s="8" t="s">
        <v>1172</v>
      </c>
      <c r="U90" s="8" t="s">
        <v>1968</v>
      </c>
      <c r="V90" s="8" t="s">
        <v>1172</v>
      </c>
      <c r="W90" s="8" t="s">
        <v>1969</v>
      </c>
      <c r="X90" s="8" t="s">
        <v>1734</v>
      </c>
      <c r="Y90" s="8" t="s">
        <v>112</v>
      </c>
      <c r="Z90" s="8" t="s">
        <v>1959</v>
      </c>
    </row>
    <row r="91" spans="1:26" ht="24" x14ac:dyDescent="0.3">
      <c r="A91" s="8" t="s">
        <v>2096</v>
      </c>
      <c r="B91" s="8" t="s">
        <v>9</v>
      </c>
      <c r="C91" s="10">
        <v>315721</v>
      </c>
      <c r="D91" s="8" t="s">
        <v>127</v>
      </c>
      <c r="E91" s="8" t="s">
        <v>1951</v>
      </c>
      <c r="F91" s="8" t="s">
        <v>1966</v>
      </c>
      <c r="G91" s="8" t="s">
        <v>9</v>
      </c>
      <c r="H91" s="8" t="s">
        <v>352</v>
      </c>
      <c r="I91" s="8" t="s">
        <v>2089</v>
      </c>
      <c r="J91" s="8" t="s">
        <v>2090</v>
      </c>
      <c r="K91" s="8" t="s">
        <v>384</v>
      </c>
      <c r="L91" s="8" t="s">
        <v>647</v>
      </c>
      <c r="M91" s="10">
        <v>0</v>
      </c>
      <c r="N91" s="8" t="s">
        <v>606</v>
      </c>
      <c r="O91" s="8" t="s">
        <v>9</v>
      </c>
      <c r="P91" s="8" t="s">
        <v>1955</v>
      </c>
      <c r="Q91" s="8" t="s">
        <v>1956</v>
      </c>
      <c r="R91" s="8" t="s">
        <v>1956</v>
      </c>
      <c r="S91" s="8" t="s">
        <v>356</v>
      </c>
      <c r="T91" s="8" t="s">
        <v>1172</v>
      </c>
      <c r="U91" s="8" t="s">
        <v>1968</v>
      </c>
      <c r="V91" s="8" t="s">
        <v>1172</v>
      </c>
      <c r="W91" s="8" t="s">
        <v>1969</v>
      </c>
      <c r="X91" s="8" t="s">
        <v>1734</v>
      </c>
      <c r="Y91" s="8" t="s">
        <v>112</v>
      </c>
      <c r="Z91" s="8" t="s">
        <v>1959</v>
      </c>
    </row>
    <row r="92" spans="1:26" ht="24" x14ac:dyDescent="0.3">
      <c r="A92" s="8" t="s">
        <v>2097</v>
      </c>
      <c r="B92" s="8" t="s">
        <v>9</v>
      </c>
      <c r="C92" s="10">
        <v>315721</v>
      </c>
      <c r="D92" s="8" t="s">
        <v>127</v>
      </c>
      <c r="E92" s="8" t="s">
        <v>1951</v>
      </c>
      <c r="F92" s="8" t="s">
        <v>1966</v>
      </c>
      <c r="G92" s="8" t="s">
        <v>9</v>
      </c>
      <c r="H92" s="8" t="s">
        <v>352</v>
      </c>
      <c r="I92" s="8" t="s">
        <v>2089</v>
      </c>
      <c r="J92" s="8" t="s">
        <v>2090</v>
      </c>
      <c r="K92" s="8" t="s">
        <v>384</v>
      </c>
      <c r="L92" s="8" t="s">
        <v>649</v>
      </c>
      <c r="M92" s="10">
        <v>0</v>
      </c>
      <c r="N92" s="8" t="s">
        <v>606</v>
      </c>
      <c r="O92" s="8" t="s">
        <v>9</v>
      </c>
      <c r="P92" s="8" t="s">
        <v>1955</v>
      </c>
      <c r="Q92" s="8" t="s">
        <v>1956</v>
      </c>
      <c r="R92" s="8" t="s">
        <v>1956</v>
      </c>
      <c r="S92" s="8" t="s">
        <v>356</v>
      </c>
      <c r="T92" s="8" t="s">
        <v>1172</v>
      </c>
      <c r="U92" s="8" t="s">
        <v>1968</v>
      </c>
      <c r="V92" s="8" t="s">
        <v>1172</v>
      </c>
      <c r="W92" s="8" t="s">
        <v>1969</v>
      </c>
      <c r="X92" s="8" t="s">
        <v>1734</v>
      </c>
      <c r="Y92" s="8" t="s">
        <v>112</v>
      </c>
      <c r="Z92" s="8" t="s">
        <v>1959</v>
      </c>
    </row>
    <row r="93" spans="1:26" ht="19.95" customHeight="1" x14ac:dyDescent="0.3">
      <c r="A93" s="8" t="s">
        <v>2098</v>
      </c>
      <c r="B93" s="8" t="s">
        <v>9</v>
      </c>
      <c r="C93" s="10">
        <v>315721</v>
      </c>
      <c r="D93" s="8" t="s">
        <v>127</v>
      </c>
      <c r="E93" s="8" t="s">
        <v>1951</v>
      </c>
      <c r="F93" s="8" t="s">
        <v>1966</v>
      </c>
      <c r="G93" s="8" t="s">
        <v>9</v>
      </c>
      <c r="H93" s="8" t="s">
        <v>352</v>
      </c>
      <c r="I93" s="8" t="s">
        <v>2089</v>
      </c>
      <c r="J93" s="8" t="s">
        <v>2090</v>
      </c>
      <c r="K93" s="8" t="s">
        <v>384</v>
      </c>
      <c r="L93" s="8" t="s">
        <v>651</v>
      </c>
      <c r="M93" s="10">
        <v>0</v>
      </c>
      <c r="N93" s="8" t="s">
        <v>606</v>
      </c>
      <c r="O93" s="8" t="s">
        <v>9</v>
      </c>
      <c r="P93" s="8" t="s">
        <v>1955</v>
      </c>
      <c r="Q93" s="8" t="s">
        <v>1956</v>
      </c>
      <c r="R93" s="8" t="s">
        <v>1956</v>
      </c>
      <c r="S93" s="8" t="s">
        <v>356</v>
      </c>
      <c r="T93" s="8" t="s">
        <v>1172</v>
      </c>
      <c r="U93" s="8" t="s">
        <v>1968</v>
      </c>
      <c r="V93" s="8" t="s">
        <v>1172</v>
      </c>
      <c r="W93" s="8" t="s">
        <v>1969</v>
      </c>
      <c r="X93" s="8" t="s">
        <v>1734</v>
      </c>
      <c r="Y93" s="8" t="s">
        <v>112</v>
      </c>
      <c r="Z93" s="8" t="s">
        <v>1959</v>
      </c>
    </row>
    <row r="94" spans="1:26" ht="19.95" customHeight="1" x14ac:dyDescent="0.3">
      <c r="A94" s="8" t="s">
        <v>2099</v>
      </c>
      <c r="B94" s="8" t="s">
        <v>9</v>
      </c>
      <c r="C94" s="10">
        <v>315721</v>
      </c>
      <c r="D94" s="8" t="s">
        <v>127</v>
      </c>
      <c r="E94" s="8" t="s">
        <v>1951</v>
      </c>
      <c r="F94" s="8" t="s">
        <v>1966</v>
      </c>
      <c r="G94" s="8" t="s">
        <v>9</v>
      </c>
      <c r="H94" s="8" t="s">
        <v>352</v>
      </c>
      <c r="I94" s="8" t="s">
        <v>2089</v>
      </c>
      <c r="J94" s="8" t="s">
        <v>2090</v>
      </c>
      <c r="K94" s="8" t="s">
        <v>384</v>
      </c>
      <c r="L94" s="8" t="s">
        <v>653</v>
      </c>
      <c r="M94" s="10">
        <v>0</v>
      </c>
      <c r="N94" s="8" t="s">
        <v>654</v>
      </c>
      <c r="O94" s="8" t="s">
        <v>9</v>
      </c>
      <c r="P94" s="8" t="s">
        <v>1955</v>
      </c>
      <c r="Q94" s="8" t="s">
        <v>1956</v>
      </c>
      <c r="R94" s="8" t="s">
        <v>1956</v>
      </c>
      <c r="S94" s="8" t="s">
        <v>356</v>
      </c>
      <c r="T94" s="8" t="s">
        <v>1172</v>
      </c>
      <c r="U94" s="8" t="s">
        <v>1968</v>
      </c>
      <c r="V94" s="8" t="s">
        <v>1172</v>
      </c>
      <c r="W94" s="8" t="s">
        <v>1969</v>
      </c>
      <c r="X94" s="8" t="s">
        <v>1734</v>
      </c>
      <c r="Y94" s="8" t="s">
        <v>112</v>
      </c>
      <c r="Z94" s="8" t="s">
        <v>1959</v>
      </c>
    </row>
    <row r="95" spans="1:26" ht="24" x14ac:dyDescent="0.3">
      <c r="A95" s="8" t="s">
        <v>2100</v>
      </c>
      <c r="B95" s="8" t="s">
        <v>9</v>
      </c>
      <c r="C95" s="10">
        <v>315721</v>
      </c>
      <c r="D95" s="8" t="s">
        <v>127</v>
      </c>
      <c r="E95" s="8" t="s">
        <v>1951</v>
      </c>
      <c r="F95" s="8" t="s">
        <v>1966</v>
      </c>
      <c r="G95" s="8" t="s">
        <v>9</v>
      </c>
      <c r="H95" s="8" t="s">
        <v>352</v>
      </c>
      <c r="I95" s="8" t="s">
        <v>2089</v>
      </c>
      <c r="J95" s="8" t="s">
        <v>2090</v>
      </c>
      <c r="K95" s="8" t="s">
        <v>384</v>
      </c>
      <c r="L95" s="8" t="s">
        <v>637</v>
      </c>
      <c r="M95" s="10">
        <v>0</v>
      </c>
      <c r="N95" s="8" t="s">
        <v>606</v>
      </c>
      <c r="O95" s="8" t="s">
        <v>9</v>
      </c>
      <c r="P95" s="8" t="s">
        <v>1955</v>
      </c>
      <c r="Q95" s="8" t="s">
        <v>1956</v>
      </c>
      <c r="R95" s="8" t="s">
        <v>1956</v>
      </c>
      <c r="S95" s="8" t="s">
        <v>356</v>
      </c>
      <c r="T95" s="8" t="s">
        <v>1172</v>
      </c>
      <c r="U95" s="8" t="s">
        <v>1968</v>
      </c>
      <c r="V95" s="8" t="s">
        <v>1172</v>
      </c>
      <c r="W95" s="8" t="s">
        <v>1969</v>
      </c>
      <c r="X95" s="8" t="s">
        <v>1734</v>
      </c>
      <c r="Y95" s="8" t="s">
        <v>112</v>
      </c>
      <c r="Z95" s="8" t="s">
        <v>1959</v>
      </c>
    </row>
    <row r="96" spans="1:26" ht="48" x14ac:dyDescent="0.3">
      <c r="A96" s="8" t="s">
        <v>2101</v>
      </c>
      <c r="B96" s="8" t="s">
        <v>9</v>
      </c>
      <c r="C96" s="10">
        <v>273952</v>
      </c>
      <c r="D96" s="8" t="s">
        <v>129</v>
      </c>
      <c r="E96" s="8" t="s">
        <v>1986</v>
      </c>
      <c r="F96" s="8" t="s">
        <v>1966</v>
      </c>
      <c r="G96" s="8" t="s">
        <v>9</v>
      </c>
      <c r="H96" s="8" t="s">
        <v>352</v>
      </c>
      <c r="I96" s="8" t="s">
        <v>1729</v>
      </c>
      <c r="J96" s="8" t="s">
        <v>2102</v>
      </c>
      <c r="K96" s="8" t="s">
        <v>384</v>
      </c>
      <c r="L96" s="8" t="s">
        <v>711</v>
      </c>
      <c r="M96" s="10">
        <v>0</v>
      </c>
      <c r="N96" s="8" t="s">
        <v>355</v>
      </c>
      <c r="O96" s="8" t="s">
        <v>9</v>
      </c>
      <c r="P96" s="8" t="s">
        <v>1955</v>
      </c>
      <c r="Q96" s="8" t="s">
        <v>1956</v>
      </c>
      <c r="R96" s="8" t="s">
        <v>1172</v>
      </c>
      <c r="S96" s="8" t="s">
        <v>356</v>
      </c>
      <c r="T96" s="8" t="s">
        <v>1172</v>
      </c>
      <c r="U96" s="8" t="s">
        <v>1968</v>
      </c>
      <c r="V96" s="8" t="s">
        <v>1172</v>
      </c>
      <c r="W96" s="8" t="s">
        <v>1969</v>
      </c>
      <c r="X96" s="8" t="s">
        <v>1740</v>
      </c>
      <c r="Y96" s="8" t="s">
        <v>112</v>
      </c>
      <c r="Z96" s="8" t="s">
        <v>1959</v>
      </c>
    </row>
    <row r="97" spans="1:26" ht="48" x14ac:dyDescent="0.3">
      <c r="A97" s="8" t="s">
        <v>2103</v>
      </c>
      <c r="B97" s="8" t="s">
        <v>9</v>
      </c>
      <c r="C97" s="10">
        <v>273952</v>
      </c>
      <c r="D97" s="8" t="s">
        <v>129</v>
      </c>
      <c r="E97" s="8" t="s">
        <v>1986</v>
      </c>
      <c r="F97" s="8" t="s">
        <v>1966</v>
      </c>
      <c r="G97" s="8" t="s">
        <v>9</v>
      </c>
      <c r="H97" s="8" t="s">
        <v>352</v>
      </c>
      <c r="I97" s="8" t="s">
        <v>1973</v>
      </c>
      <c r="J97" s="8" t="s">
        <v>2102</v>
      </c>
      <c r="K97" s="8" t="s">
        <v>384</v>
      </c>
      <c r="L97" s="8" t="s">
        <v>711</v>
      </c>
      <c r="M97" s="10">
        <v>0</v>
      </c>
      <c r="N97" s="8" t="s">
        <v>590</v>
      </c>
      <c r="O97" s="8" t="s">
        <v>9</v>
      </c>
      <c r="P97" s="8" t="s">
        <v>1955</v>
      </c>
      <c r="Q97" s="8" t="s">
        <v>1956</v>
      </c>
      <c r="R97" s="8" t="s">
        <v>1172</v>
      </c>
      <c r="S97" s="8" t="s">
        <v>356</v>
      </c>
      <c r="T97" s="8" t="s">
        <v>1172</v>
      </c>
      <c r="U97" s="8" t="s">
        <v>1968</v>
      </c>
      <c r="V97" s="8" t="s">
        <v>1172</v>
      </c>
      <c r="W97" s="8" t="s">
        <v>1969</v>
      </c>
      <c r="X97" s="8" t="s">
        <v>1740</v>
      </c>
      <c r="Y97" s="8" t="s">
        <v>112</v>
      </c>
      <c r="Z97" s="8" t="s">
        <v>1959</v>
      </c>
    </row>
    <row r="98" spans="1:26" ht="24" x14ac:dyDescent="0.3">
      <c r="A98" s="8" t="s">
        <v>2104</v>
      </c>
      <c r="B98" s="8" t="s">
        <v>9</v>
      </c>
      <c r="C98" s="10">
        <v>296844</v>
      </c>
      <c r="D98" s="8" t="s">
        <v>398</v>
      </c>
      <c r="E98" s="8" t="s">
        <v>1986</v>
      </c>
      <c r="F98" s="8" t="s">
        <v>1952</v>
      </c>
      <c r="G98" s="8" t="s">
        <v>9</v>
      </c>
      <c r="H98" s="8" t="s">
        <v>352</v>
      </c>
      <c r="I98" s="8" t="s">
        <v>1729</v>
      </c>
      <c r="J98" s="8" t="s">
        <v>2105</v>
      </c>
      <c r="K98" s="8" t="s">
        <v>357</v>
      </c>
      <c r="L98" s="8" t="s">
        <v>358</v>
      </c>
      <c r="M98" s="10">
        <v>0</v>
      </c>
      <c r="N98" s="8" t="s">
        <v>606</v>
      </c>
      <c r="O98" s="8" t="s">
        <v>9</v>
      </c>
      <c r="P98" s="8" t="s">
        <v>1956</v>
      </c>
      <c r="Q98" s="8" t="s">
        <v>1172</v>
      </c>
      <c r="R98" s="8" t="s">
        <v>1956</v>
      </c>
      <c r="S98" s="8" t="s">
        <v>356</v>
      </c>
      <c r="T98" s="8" t="s">
        <v>1172</v>
      </c>
      <c r="U98" s="8" t="s">
        <v>1957</v>
      </c>
      <c r="V98" s="8" t="s">
        <v>283</v>
      </c>
      <c r="W98" s="8" t="s">
        <v>1958</v>
      </c>
      <c r="X98" s="8" t="s">
        <v>355</v>
      </c>
      <c r="Y98" s="8" t="s">
        <v>112</v>
      </c>
      <c r="Z98" s="8" t="s">
        <v>2039</v>
      </c>
    </row>
    <row r="99" spans="1:26" ht="24" x14ac:dyDescent="0.3">
      <c r="A99" s="8" t="s">
        <v>2106</v>
      </c>
      <c r="B99" s="8" t="s">
        <v>9</v>
      </c>
      <c r="C99" s="10">
        <v>296844</v>
      </c>
      <c r="D99" s="8" t="s">
        <v>398</v>
      </c>
      <c r="E99" s="8" t="s">
        <v>1986</v>
      </c>
      <c r="F99" s="8" t="s">
        <v>1952</v>
      </c>
      <c r="G99" s="8" t="s">
        <v>9</v>
      </c>
      <c r="H99" s="8" t="s">
        <v>352</v>
      </c>
      <c r="I99" s="8" t="s">
        <v>1973</v>
      </c>
      <c r="J99" s="8" t="s">
        <v>2105</v>
      </c>
      <c r="K99" s="8" t="s">
        <v>357</v>
      </c>
      <c r="L99" s="8" t="s">
        <v>358</v>
      </c>
      <c r="M99" s="10">
        <v>0</v>
      </c>
      <c r="N99" s="8" t="s">
        <v>606</v>
      </c>
      <c r="O99" s="8" t="s">
        <v>9</v>
      </c>
      <c r="P99" s="8" t="s">
        <v>1956</v>
      </c>
      <c r="Q99" s="8" t="s">
        <v>1172</v>
      </c>
      <c r="R99" s="8" t="s">
        <v>1956</v>
      </c>
      <c r="S99" s="8" t="s">
        <v>356</v>
      </c>
      <c r="T99" s="8" t="s">
        <v>1172</v>
      </c>
      <c r="U99" s="8" t="s">
        <v>1957</v>
      </c>
      <c r="V99" s="8" t="s">
        <v>283</v>
      </c>
      <c r="W99" s="8" t="s">
        <v>1958</v>
      </c>
      <c r="X99" s="8" t="s">
        <v>355</v>
      </c>
      <c r="Y99" s="8" t="s">
        <v>112</v>
      </c>
      <c r="Z99" s="8" t="s">
        <v>2039</v>
      </c>
    </row>
    <row r="100" spans="1:26" ht="24" x14ac:dyDescent="0.3">
      <c r="A100" s="8" t="s">
        <v>2107</v>
      </c>
      <c r="B100" s="8" t="s">
        <v>9</v>
      </c>
      <c r="C100" s="10">
        <v>297212</v>
      </c>
      <c r="D100" s="8" t="s">
        <v>131</v>
      </c>
      <c r="E100" s="8" t="s">
        <v>1986</v>
      </c>
      <c r="F100" s="8" t="s">
        <v>1966</v>
      </c>
      <c r="G100" s="8" t="s">
        <v>9</v>
      </c>
      <c r="H100" s="8" t="s">
        <v>352</v>
      </c>
      <c r="I100" s="8" t="s">
        <v>1729</v>
      </c>
      <c r="J100" s="8" t="s">
        <v>2108</v>
      </c>
      <c r="K100" s="8" t="s">
        <v>384</v>
      </c>
      <c r="L100" s="8" t="s">
        <v>714</v>
      </c>
      <c r="M100" s="10">
        <v>0</v>
      </c>
      <c r="N100" s="8" t="s">
        <v>606</v>
      </c>
      <c r="O100" s="8" t="s">
        <v>9</v>
      </c>
      <c r="P100" s="8" t="s">
        <v>1955</v>
      </c>
      <c r="Q100" s="8" t="s">
        <v>1956</v>
      </c>
      <c r="R100" s="8" t="s">
        <v>1956</v>
      </c>
      <c r="S100" s="8" t="s">
        <v>356</v>
      </c>
      <c r="T100" s="8" t="s">
        <v>1172</v>
      </c>
      <c r="U100" s="8" t="s">
        <v>1968</v>
      </c>
      <c r="V100" s="8" t="s">
        <v>1172</v>
      </c>
      <c r="W100" s="8" t="s">
        <v>1969</v>
      </c>
      <c r="X100" s="8" t="s">
        <v>1746</v>
      </c>
      <c r="Y100" s="8" t="s">
        <v>112</v>
      </c>
      <c r="Z100" s="8" t="s">
        <v>2109</v>
      </c>
    </row>
    <row r="101" spans="1:26" ht="24" x14ac:dyDescent="0.3">
      <c r="A101" s="8" t="s">
        <v>2110</v>
      </c>
      <c r="B101" s="8" t="s">
        <v>9</v>
      </c>
      <c r="C101" s="10">
        <v>297212</v>
      </c>
      <c r="D101" s="8" t="s">
        <v>131</v>
      </c>
      <c r="E101" s="8" t="s">
        <v>1986</v>
      </c>
      <c r="F101" s="8" t="s">
        <v>1966</v>
      </c>
      <c r="G101" s="8" t="s">
        <v>9</v>
      </c>
      <c r="H101" s="8" t="s">
        <v>352</v>
      </c>
      <c r="I101" s="8" t="s">
        <v>1973</v>
      </c>
      <c r="J101" s="8" t="s">
        <v>2108</v>
      </c>
      <c r="K101" s="8" t="s">
        <v>384</v>
      </c>
      <c r="L101" s="8" t="s">
        <v>714</v>
      </c>
      <c r="M101" s="10">
        <v>0</v>
      </c>
      <c r="N101" s="8" t="s">
        <v>717</v>
      </c>
      <c r="O101" s="8" t="s">
        <v>9</v>
      </c>
      <c r="P101" s="8" t="s">
        <v>1955</v>
      </c>
      <c r="Q101" s="8" t="s">
        <v>1956</v>
      </c>
      <c r="R101" s="8" t="s">
        <v>1956</v>
      </c>
      <c r="S101" s="8" t="s">
        <v>356</v>
      </c>
      <c r="T101" s="8" t="s">
        <v>1172</v>
      </c>
      <c r="U101" s="8" t="s">
        <v>1968</v>
      </c>
      <c r="V101" s="8" t="s">
        <v>1172</v>
      </c>
      <c r="W101" s="8" t="s">
        <v>1969</v>
      </c>
      <c r="X101" s="8" t="s">
        <v>1746</v>
      </c>
      <c r="Y101" s="8" t="s">
        <v>112</v>
      </c>
      <c r="Z101" s="8" t="s">
        <v>2109</v>
      </c>
    </row>
    <row r="102" spans="1:26" ht="24" x14ac:dyDescent="0.3">
      <c r="A102" s="8" t="s">
        <v>2111</v>
      </c>
      <c r="B102" s="8" t="s">
        <v>9</v>
      </c>
      <c r="C102" s="10">
        <v>300954</v>
      </c>
      <c r="D102" s="8" t="s">
        <v>133</v>
      </c>
      <c r="E102" s="8" t="s">
        <v>1951</v>
      </c>
      <c r="F102" s="8" t="s">
        <v>1966</v>
      </c>
      <c r="G102" s="8" t="s">
        <v>9</v>
      </c>
      <c r="H102" s="8" t="s">
        <v>352</v>
      </c>
      <c r="I102" s="8" t="s">
        <v>1729</v>
      </c>
      <c r="J102" s="8" t="s">
        <v>2112</v>
      </c>
      <c r="K102" s="8" t="s">
        <v>357</v>
      </c>
      <c r="L102" s="8" t="s">
        <v>465</v>
      </c>
      <c r="M102" s="10">
        <v>820844</v>
      </c>
      <c r="N102" s="8" t="s">
        <v>719</v>
      </c>
      <c r="O102" s="8" t="s">
        <v>9</v>
      </c>
      <c r="P102" s="8" t="s">
        <v>2038</v>
      </c>
      <c r="Q102" s="8" t="s">
        <v>1956</v>
      </c>
      <c r="R102" s="8" t="s">
        <v>1172</v>
      </c>
      <c r="S102" s="8" t="s">
        <v>356</v>
      </c>
      <c r="T102" s="8" t="s">
        <v>1172</v>
      </c>
      <c r="U102" s="8" t="s">
        <v>1968</v>
      </c>
      <c r="V102" s="8" t="s">
        <v>1172</v>
      </c>
      <c r="W102" s="8" t="s">
        <v>1969</v>
      </c>
      <c r="X102" s="8" t="s">
        <v>1752</v>
      </c>
      <c r="Y102" s="8" t="s">
        <v>112</v>
      </c>
      <c r="Z102" s="8" t="s">
        <v>2113</v>
      </c>
    </row>
    <row r="103" spans="1:26" ht="24" x14ac:dyDescent="0.3">
      <c r="A103" s="8" t="s">
        <v>2114</v>
      </c>
      <c r="B103" s="8" t="s">
        <v>9</v>
      </c>
      <c r="C103" s="10">
        <v>300954</v>
      </c>
      <c r="D103" s="8" t="s">
        <v>133</v>
      </c>
      <c r="E103" s="8" t="s">
        <v>1951</v>
      </c>
      <c r="F103" s="8" t="s">
        <v>1966</v>
      </c>
      <c r="G103" s="8" t="s">
        <v>9</v>
      </c>
      <c r="H103" s="8" t="s">
        <v>352</v>
      </c>
      <c r="I103" s="8" t="s">
        <v>1973</v>
      </c>
      <c r="J103" s="8" t="s">
        <v>2115</v>
      </c>
      <c r="K103" s="8" t="s">
        <v>357</v>
      </c>
      <c r="L103" s="8" t="s">
        <v>465</v>
      </c>
      <c r="M103" s="10">
        <v>820845</v>
      </c>
      <c r="N103" s="8" t="s">
        <v>722</v>
      </c>
      <c r="O103" s="8" t="s">
        <v>9</v>
      </c>
      <c r="P103" s="8" t="s">
        <v>2038</v>
      </c>
      <c r="Q103" s="8" t="s">
        <v>1956</v>
      </c>
      <c r="R103" s="8" t="s">
        <v>1172</v>
      </c>
      <c r="S103" s="8" t="s">
        <v>356</v>
      </c>
      <c r="T103" s="8" t="s">
        <v>1172</v>
      </c>
      <c r="U103" s="8" t="s">
        <v>1968</v>
      </c>
      <c r="V103" s="8" t="s">
        <v>1172</v>
      </c>
      <c r="W103" s="8" t="s">
        <v>1969</v>
      </c>
      <c r="X103" s="8" t="s">
        <v>1752</v>
      </c>
      <c r="Y103" s="8" t="s">
        <v>112</v>
      </c>
      <c r="Z103" s="8" t="s">
        <v>2113</v>
      </c>
    </row>
    <row r="104" spans="1:26" ht="48" x14ac:dyDescent="0.3">
      <c r="A104" s="8" t="s">
        <v>2116</v>
      </c>
      <c r="B104" s="8" t="s">
        <v>9</v>
      </c>
      <c r="C104" s="10">
        <v>296396</v>
      </c>
      <c r="D104" s="8" t="s">
        <v>404</v>
      </c>
      <c r="E104" s="8" t="s">
        <v>1986</v>
      </c>
      <c r="F104" s="8" t="s">
        <v>1952</v>
      </c>
      <c r="G104" s="8" t="s">
        <v>9</v>
      </c>
      <c r="H104" s="8" t="s">
        <v>352</v>
      </c>
      <c r="I104" s="8" t="s">
        <v>1729</v>
      </c>
      <c r="J104" s="8" t="s">
        <v>2117</v>
      </c>
      <c r="K104" s="8" t="s">
        <v>384</v>
      </c>
      <c r="L104" s="8" t="s">
        <v>2118</v>
      </c>
      <c r="M104" s="10">
        <v>0</v>
      </c>
      <c r="N104" s="8" t="s">
        <v>2119</v>
      </c>
      <c r="O104" s="8" t="s">
        <v>9</v>
      </c>
      <c r="P104" s="8" t="s">
        <v>1955</v>
      </c>
      <c r="Q104" s="8" t="s">
        <v>1172</v>
      </c>
      <c r="R104" s="8" t="s">
        <v>1956</v>
      </c>
      <c r="S104" s="8" t="s">
        <v>356</v>
      </c>
      <c r="T104" s="8" t="s">
        <v>1172</v>
      </c>
      <c r="U104" s="8" t="s">
        <v>1957</v>
      </c>
      <c r="V104" s="8" t="s">
        <v>283</v>
      </c>
      <c r="W104" s="8" t="s">
        <v>1958</v>
      </c>
      <c r="X104" s="8" t="s">
        <v>355</v>
      </c>
      <c r="Y104" s="8" t="s">
        <v>112</v>
      </c>
      <c r="Z104" s="8" t="s">
        <v>1959</v>
      </c>
    </row>
    <row r="105" spans="1:26" ht="24" x14ac:dyDescent="0.3">
      <c r="A105" s="8" t="s">
        <v>2120</v>
      </c>
      <c r="B105" s="8" t="s">
        <v>9</v>
      </c>
      <c r="C105" s="10">
        <v>296396</v>
      </c>
      <c r="D105" s="8" t="s">
        <v>404</v>
      </c>
      <c r="E105" s="8" t="s">
        <v>1986</v>
      </c>
      <c r="F105" s="8" t="s">
        <v>1952</v>
      </c>
      <c r="G105" s="8" t="s">
        <v>9</v>
      </c>
      <c r="H105" s="8" t="s">
        <v>352</v>
      </c>
      <c r="I105" s="8" t="s">
        <v>1729</v>
      </c>
      <c r="J105" s="8" t="s">
        <v>2117</v>
      </c>
      <c r="K105" s="8" t="s">
        <v>384</v>
      </c>
      <c r="L105" s="8" t="s">
        <v>2121</v>
      </c>
      <c r="M105" s="10">
        <v>0</v>
      </c>
      <c r="N105" s="8" t="s">
        <v>606</v>
      </c>
      <c r="O105" s="8" t="s">
        <v>9</v>
      </c>
      <c r="P105" s="8" t="s">
        <v>1955</v>
      </c>
      <c r="Q105" s="8" t="s">
        <v>1172</v>
      </c>
      <c r="R105" s="8" t="s">
        <v>1956</v>
      </c>
      <c r="S105" s="8" t="s">
        <v>356</v>
      </c>
      <c r="T105" s="8" t="s">
        <v>1172</v>
      </c>
      <c r="U105" s="8" t="s">
        <v>1957</v>
      </c>
      <c r="V105" s="8" t="s">
        <v>283</v>
      </c>
      <c r="W105" s="8" t="s">
        <v>1958</v>
      </c>
      <c r="X105" s="8" t="s">
        <v>355</v>
      </c>
      <c r="Y105" s="8" t="s">
        <v>112</v>
      </c>
      <c r="Z105" s="8" t="s">
        <v>1959</v>
      </c>
    </row>
    <row r="106" spans="1:26" ht="48" x14ac:dyDescent="0.3">
      <c r="A106" s="8" t="s">
        <v>2122</v>
      </c>
      <c r="B106" s="8" t="s">
        <v>9</v>
      </c>
      <c r="C106" s="10">
        <v>296396</v>
      </c>
      <c r="D106" s="8" t="s">
        <v>404</v>
      </c>
      <c r="E106" s="8" t="s">
        <v>1986</v>
      </c>
      <c r="F106" s="8" t="s">
        <v>1952</v>
      </c>
      <c r="G106" s="8" t="s">
        <v>9</v>
      </c>
      <c r="H106" s="8" t="s">
        <v>352</v>
      </c>
      <c r="I106" s="8" t="s">
        <v>1973</v>
      </c>
      <c r="J106" s="8" t="s">
        <v>2117</v>
      </c>
      <c r="K106" s="8" t="s">
        <v>384</v>
      </c>
      <c r="L106" s="8" t="s">
        <v>2118</v>
      </c>
      <c r="M106" s="10">
        <v>0</v>
      </c>
      <c r="N106" s="8" t="s">
        <v>606</v>
      </c>
      <c r="O106" s="8" t="s">
        <v>9</v>
      </c>
      <c r="P106" s="8" t="s">
        <v>1955</v>
      </c>
      <c r="Q106" s="8" t="s">
        <v>1172</v>
      </c>
      <c r="R106" s="8" t="s">
        <v>1956</v>
      </c>
      <c r="S106" s="8" t="s">
        <v>356</v>
      </c>
      <c r="T106" s="8" t="s">
        <v>1172</v>
      </c>
      <c r="U106" s="8" t="s">
        <v>1957</v>
      </c>
      <c r="V106" s="8" t="s">
        <v>283</v>
      </c>
      <c r="W106" s="8" t="s">
        <v>1958</v>
      </c>
      <c r="X106" s="8" t="s">
        <v>355</v>
      </c>
      <c r="Y106" s="8" t="s">
        <v>112</v>
      </c>
      <c r="Z106" s="8" t="s">
        <v>1959</v>
      </c>
    </row>
    <row r="107" spans="1:26" ht="24" x14ac:dyDescent="0.3">
      <c r="A107" s="8" t="s">
        <v>2123</v>
      </c>
      <c r="B107" s="8" t="s">
        <v>9</v>
      </c>
      <c r="C107" s="10">
        <v>296396</v>
      </c>
      <c r="D107" s="8" t="s">
        <v>404</v>
      </c>
      <c r="E107" s="8" t="s">
        <v>1986</v>
      </c>
      <c r="F107" s="8" t="s">
        <v>1952</v>
      </c>
      <c r="G107" s="8" t="s">
        <v>9</v>
      </c>
      <c r="H107" s="8" t="s">
        <v>352</v>
      </c>
      <c r="I107" s="8" t="s">
        <v>1973</v>
      </c>
      <c r="J107" s="8" t="s">
        <v>2117</v>
      </c>
      <c r="K107" s="8" t="s">
        <v>384</v>
      </c>
      <c r="L107" s="8" t="s">
        <v>2121</v>
      </c>
      <c r="M107" s="10">
        <v>0</v>
      </c>
      <c r="N107" s="8" t="s">
        <v>673</v>
      </c>
      <c r="O107" s="8" t="s">
        <v>9</v>
      </c>
      <c r="P107" s="8" t="s">
        <v>1955</v>
      </c>
      <c r="Q107" s="8" t="s">
        <v>1172</v>
      </c>
      <c r="R107" s="8" t="s">
        <v>1956</v>
      </c>
      <c r="S107" s="8" t="s">
        <v>356</v>
      </c>
      <c r="T107" s="8" t="s">
        <v>1172</v>
      </c>
      <c r="U107" s="8" t="s">
        <v>1957</v>
      </c>
      <c r="V107" s="8" t="s">
        <v>283</v>
      </c>
      <c r="W107" s="8" t="s">
        <v>1958</v>
      </c>
      <c r="X107" s="8" t="s">
        <v>355</v>
      </c>
      <c r="Y107" s="8" t="s">
        <v>112</v>
      </c>
      <c r="Z107" s="8" t="s">
        <v>1959</v>
      </c>
    </row>
    <row r="108" spans="1:26" ht="36" x14ac:dyDescent="0.3">
      <c r="A108" s="8" t="s">
        <v>2124</v>
      </c>
      <c r="B108" s="8" t="s">
        <v>9</v>
      </c>
      <c r="C108" s="10">
        <v>234366</v>
      </c>
      <c r="D108" s="8" t="s">
        <v>135</v>
      </c>
      <c r="E108" s="8" t="s">
        <v>1986</v>
      </c>
      <c r="F108" s="8" t="s">
        <v>1966</v>
      </c>
      <c r="G108" s="8" t="s">
        <v>9</v>
      </c>
      <c r="H108" s="8" t="s">
        <v>352</v>
      </c>
      <c r="I108" s="8" t="s">
        <v>1729</v>
      </c>
      <c r="J108" s="8" t="s">
        <v>2125</v>
      </c>
      <c r="K108" s="8" t="s">
        <v>384</v>
      </c>
      <c r="L108" s="8" t="s">
        <v>724</v>
      </c>
      <c r="M108" s="10">
        <v>0</v>
      </c>
      <c r="N108" s="8" t="s">
        <v>355</v>
      </c>
      <c r="O108" s="8" t="s">
        <v>9</v>
      </c>
      <c r="P108" s="8" t="s">
        <v>1955</v>
      </c>
      <c r="Q108" s="8" t="s">
        <v>1956</v>
      </c>
      <c r="R108" s="8" t="s">
        <v>1956</v>
      </c>
      <c r="S108" s="8" t="s">
        <v>356</v>
      </c>
      <c r="T108" s="8" t="s">
        <v>1172</v>
      </c>
      <c r="U108" s="8" t="s">
        <v>1968</v>
      </c>
      <c r="V108" s="8" t="s">
        <v>1172</v>
      </c>
      <c r="W108" s="8" t="s">
        <v>1969</v>
      </c>
      <c r="X108" s="8" t="s">
        <v>1760</v>
      </c>
      <c r="Y108" s="8" t="s">
        <v>112</v>
      </c>
      <c r="Z108" s="8" t="s">
        <v>1959</v>
      </c>
    </row>
    <row r="109" spans="1:26" ht="36" x14ac:dyDescent="0.3">
      <c r="A109" s="8" t="s">
        <v>2126</v>
      </c>
      <c r="B109" s="8" t="s">
        <v>9</v>
      </c>
      <c r="C109" s="10">
        <v>234366</v>
      </c>
      <c r="D109" s="8" t="s">
        <v>135</v>
      </c>
      <c r="E109" s="8" t="s">
        <v>1986</v>
      </c>
      <c r="F109" s="8" t="s">
        <v>1966</v>
      </c>
      <c r="G109" s="8" t="s">
        <v>9</v>
      </c>
      <c r="H109" s="8" t="s">
        <v>352</v>
      </c>
      <c r="I109" s="8" t="s">
        <v>1729</v>
      </c>
      <c r="J109" s="8" t="s">
        <v>2125</v>
      </c>
      <c r="K109" s="8" t="s">
        <v>384</v>
      </c>
      <c r="L109" s="8" t="s">
        <v>726</v>
      </c>
      <c r="M109" s="10">
        <v>0</v>
      </c>
      <c r="N109" s="8" t="s">
        <v>355</v>
      </c>
      <c r="O109" s="8" t="s">
        <v>9</v>
      </c>
      <c r="P109" s="8" t="s">
        <v>1955</v>
      </c>
      <c r="Q109" s="8" t="s">
        <v>1956</v>
      </c>
      <c r="R109" s="8" t="s">
        <v>1956</v>
      </c>
      <c r="S109" s="8" t="s">
        <v>356</v>
      </c>
      <c r="T109" s="8" t="s">
        <v>1172</v>
      </c>
      <c r="U109" s="8" t="s">
        <v>1968</v>
      </c>
      <c r="V109" s="8" t="s">
        <v>1172</v>
      </c>
      <c r="W109" s="8" t="s">
        <v>1969</v>
      </c>
      <c r="X109" s="8" t="s">
        <v>1760</v>
      </c>
      <c r="Y109" s="8" t="s">
        <v>112</v>
      </c>
      <c r="Z109" s="8" t="s">
        <v>1959</v>
      </c>
    </row>
    <row r="110" spans="1:26" ht="36" x14ac:dyDescent="0.3">
      <c r="A110" s="8" t="s">
        <v>2127</v>
      </c>
      <c r="B110" s="8" t="s">
        <v>9</v>
      </c>
      <c r="C110" s="10">
        <v>234366</v>
      </c>
      <c r="D110" s="8" t="s">
        <v>135</v>
      </c>
      <c r="E110" s="8" t="s">
        <v>1986</v>
      </c>
      <c r="F110" s="8" t="s">
        <v>1966</v>
      </c>
      <c r="G110" s="8" t="s">
        <v>9</v>
      </c>
      <c r="H110" s="8" t="s">
        <v>352</v>
      </c>
      <c r="I110" s="8" t="s">
        <v>1973</v>
      </c>
      <c r="J110" s="8" t="s">
        <v>2125</v>
      </c>
      <c r="K110" s="8" t="s">
        <v>384</v>
      </c>
      <c r="L110" s="8" t="s">
        <v>724</v>
      </c>
      <c r="M110" s="10">
        <v>0</v>
      </c>
      <c r="N110" s="8" t="s">
        <v>590</v>
      </c>
      <c r="O110" s="8" t="s">
        <v>9</v>
      </c>
      <c r="P110" s="8" t="s">
        <v>1955</v>
      </c>
      <c r="Q110" s="8" t="s">
        <v>1956</v>
      </c>
      <c r="R110" s="8" t="s">
        <v>1956</v>
      </c>
      <c r="S110" s="8" t="s">
        <v>356</v>
      </c>
      <c r="T110" s="8" t="s">
        <v>1172</v>
      </c>
      <c r="U110" s="8" t="s">
        <v>1968</v>
      </c>
      <c r="V110" s="8" t="s">
        <v>1172</v>
      </c>
      <c r="W110" s="8" t="s">
        <v>1969</v>
      </c>
      <c r="X110" s="8" t="s">
        <v>1760</v>
      </c>
      <c r="Y110" s="8" t="s">
        <v>112</v>
      </c>
      <c r="Z110" s="8" t="s">
        <v>1959</v>
      </c>
    </row>
    <row r="111" spans="1:26" ht="36" x14ac:dyDescent="0.3">
      <c r="A111" s="8" t="s">
        <v>2128</v>
      </c>
      <c r="B111" s="8" t="s">
        <v>9</v>
      </c>
      <c r="C111" s="10">
        <v>234366</v>
      </c>
      <c r="D111" s="8" t="s">
        <v>135</v>
      </c>
      <c r="E111" s="8" t="s">
        <v>1986</v>
      </c>
      <c r="F111" s="8" t="s">
        <v>1966</v>
      </c>
      <c r="G111" s="8" t="s">
        <v>9</v>
      </c>
      <c r="H111" s="8" t="s">
        <v>352</v>
      </c>
      <c r="I111" s="8" t="s">
        <v>1973</v>
      </c>
      <c r="J111" s="8" t="s">
        <v>2125</v>
      </c>
      <c r="K111" s="8" t="s">
        <v>384</v>
      </c>
      <c r="L111" s="8" t="s">
        <v>726</v>
      </c>
      <c r="M111" s="10">
        <v>0</v>
      </c>
      <c r="N111" s="8" t="s">
        <v>603</v>
      </c>
      <c r="O111" s="8" t="s">
        <v>9</v>
      </c>
      <c r="P111" s="8" t="s">
        <v>1955</v>
      </c>
      <c r="Q111" s="8" t="s">
        <v>1956</v>
      </c>
      <c r="R111" s="8" t="s">
        <v>1956</v>
      </c>
      <c r="S111" s="8" t="s">
        <v>356</v>
      </c>
      <c r="T111" s="8" t="s">
        <v>1172</v>
      </c>
      <c r="U111" s="8" t="s">
        <v>1968</v>
      </c>
      <c r="V111" s="8" t="s">
        <v>1172</v>
      </c>
      <c r="W111" s="8" t="s">
        <v>1969</v>
      </c>
      <c r="X111" s="8" t="s">
        <v>1760</v>
      </c>
      <c r="Y111" s="8" t="s">
        <v>112</v>
      </c>
      <c r="Z111" s="8" t="s">
        <v>1959</v>
      </c>
    </row>
    <row r="112" spans="1:26" ht="72" x14ac:dyDescent="0.3">
      <c r="A112" s="8" t="s">
        <v>2129</v>
      </c>
      <c r="B112" s="8" t="s">
        <v>9</v>
      </c>
      <c r="C112" s="10">
        <v>230418</v>
      </c>
      <c r="D112" s="8" t="s">
        <v>407</v>
      </c>
      <c r="E112" s="8" t="s">
        <v>1986</v>
      </c>
      <c r="F112" s="8" t="s">
        <v>1952</v>
      </c>
      <c r="G112" s="8" t="s">
        <v>9</v>
      </c>
      <c r="H112" s="8" t="s">
        <v>352</v>
      </c>
      <c r="I112" s="8" t="s">
        <v>1729</v>
      </c>
      <c r="J112" s="8" t="s">
        <v>2130</v>
      </c>
      <c r="K112" s="8" t="s">
        <v>384</v>
      </c>
      <c r="L112" s="8" t="s">
        <v>2131</v>
      </c>
      <c r="M112" s="10">
        <v>0</v>
      </c>
      <c r="N112" s="8" t="s">
        <v>355</v>
      </c>
      <c r="O112" s="8" t="s">
        <v>9</v>
      </c>
      <c r="P112" s="8" t="s">
        <v>1955</v>
      </c>
      <c r="Q112" s="8" t="s">
        <v>1956</v>
      </c>
      <c r="R112" s="8" t="s">
        <v>1956</v>
      </c>
      <c r="S112" s="8" t="s">
        <v>356</v>
      </c>
      <c r="T112" s="8" t="s">
        <v>1172</v>
      </c>
      <c r="U112" s="8" t="s">
        <v>1957</v>
      </c>
      <c r="V112" s="8" t="s">
        <v>283</v>
      </c>
      <c r="W112" s="8" t="s">
        <v>1958</v>
      </c>
      <c r="X112" s="8" t="s">
        <v>355</v>
      </c>
      <c r="Y112" s="8" t="s">
        <v>112</v>
      </c>
      <c r="Z112" s="8" t="s">
        <v>1959</v>
      </c>
    </row>
    <row r="113" spans="1:26" ht="72" x14ac:dyDescent="0.3">
      <c r="A113" s="8" t="s">
        <v>2132</v>
      </c>
      <c r="B113" s="8" t="s">
        <v>9</v>
      </c>
      <c r="C113" s="10">
        <v>230418</v>
      </c>
      <c r="D113" s="8" t="s">
        <v>407</v>
      </c>
      <c r="E113" s="8" t="s">
        <v>1986</v>
      </c>
      <c r="F113" s="8" t="s">
        <v>1952</v>
      </c>
      <c r="G113" s="8" t="s">
        <v>9</v>
      </c>
      <c r="H113" s="8" t="s">
        <v>352</v>
      </c>
      <c r="I113" s="8" t="s">
        <v>1973</v>
      </c>
      <c r="J113" s="8" t="s">
        <v>2130</v>
      </c>
      <c r="K113" s="8" t="s">
        <v>384</v>
      </c>
      <c r="L113" s="8" t="s">
        <v>2131</v>
      </c>
      <c r="M113" s="10">
        <v>0</v>
      </c>
      <c r="N113" s="8" t="s">
        <v>590</v>
      </c>
      <c r="O113" s="8" t="s">
        <v>9</v>
      </c>
      <c r="P113" s="8" t="s">
        <v>1955</v>
      </c>
      <c r="Q113" s="8" t="s">
        <v>1956</v>
      </c>
      <c r="R113" s="8" t="s">
        <v>1956</v>
      </c>
      <c r="S113" s="8" t="s">
        <v>356</v>
      </c>
      <c r="T113" s="8" t="s">
        <v>1172</v>
      </c>
      <c r="U113" s="8" t="s">
        <v>1957</v>
      </c>
      <c r="V113" s="8" t="s">
        <v>283</v>
      </c>
      <c r="W113" s="8" t="s">
        <v>1958</v>
      </c>
      <c r="X113" s="8" t="s">
        <v>355</v>
      </c>
      <c r="Y113" s="8" t="s">
        <v>112</v>
      </c>
      <c r="Z113" s="8" t="s">
        <v>1959</v>
      </c>
    </row>
    <row r="114" spans="1:26" ht="19.95" customHeight="1" x14ac:dyDescent="0.3">
      <c r="A114" s="8" t="s">
        <v>2133</v>
      </c>
      <c r="B114" s="8" t="s">
        <v>9</v>
      </c>
      <c r="C114" s="10">
        <v>293981</v>
      </c>
      <c r="D114" s="8" t="s">
        <v>137</v>
      </c>
      <c r="E114" s="8" t="s">
        <v>1986</v>
      </c>
      <c r="F114" s="8" t="s">
        <v>1966</v>
      </c>
      <c r="G114" s="8" t="s">
        <v>9</v>
      </c>
      <c r="H114" s="8" t="s">
        <v>352</v>
      </c>
      <c r="I114" s="8" t="s">
        <v>2134</v>
      </c>
      <c r="J114" s="8" t="s">
        <v>2135</v>
      </c>
      <c r="K114" s="8" t="s">
        <v>384</v>
      </c>
      <c r="L114" s="8" t="s">
        <v>730</v>
      </c>
      <c r="M114" s="10">
        <v>0</v>
      </c>
      <c r="N114" s="8" t="s">
        <v>606</v>
      </c>
      <c r="O114" s="8" t="s">
        <v>9</v>
      </c>
      <c r="P114" s="8" t="s">
        <v>1955</v>
      </c>
      <c r="Q114" s="8" t="s">
        <v>1956</v>
      </c>
      <c r="R114" s="8" t="s">
        <v>1956</v>
      </c>
      <c r="S114" s="8" t="s">
        <v>356</v>
      </c>
      <c r="T114" s="8" t="s">
        <v>1172</v>
      </c>
      <c r="U114" s="8" t="s">
        <v>1968</v>
      </c>
      <c r="V114" s="8" t="s">
        <v>1172</v>
      </c>
      <c r="W114" s="8" t="s">
        <v>1969</v>
      </c>
      <c r="X114" s="8" t="s">
        <v>1765</v>
      </c>
      <c r="Y114" s="8" t="s">
        <v>112</v>
      </c>
      <c r="Z114" s="8" t="s">
        <v>1959</v>
      </c>
    </row>
    <row r="115" spans="1:26" ht="19.95" customHeight="1" x14ac:dyDescent="0.3">
      <c r="A115" s="8" t="s">
        <v>2136</v>
      </c>
      <c r="B115" s="8" t="s">
        <v>9</v>
      </c>
      <c r="C115" s="10">
        <v>293981</v>
      </c>
      <c r="D115" s="8" t="s">
        <v>137</v>
      </c>
      <c r="E115" s="8" t="s">
        <v>1986</v>
      </c>
      <c r="F115" s="8" t="s">
        <v>1966</v>
      </c>
      <c r="G115" s="8" t="s">
        <v>9</v>
      </c>
      <c r="H115" s="8" t="s">
        <v>352</v>
      </c>
      <c r="I115" s="8" t="s">
        <v>2137</v>
      </c>
      <c r="J115" s="8" t="s">
        <v>2135</v>
      </c>
      <c r="K115" s="8" t="s">
        <v>384</v>
      </c>
      <c r="L115" s="8" t="s">
        <v>730</v>
      </c>
      <c r="M115" s="10">
        <v>0</v>
      </c>
      <c r="N115" s="8" t="s">
        <v>732</v>
      </c>
      <c r="O115" s="8" t="s">
        <v>9</v>
      </c>
      <c r="P115" s="8" t="s">
        <v>1955</v>
      </c>
      <c r="Q115" s="8" t="s">
        <v>1956</v>
      </c>
      <c r="R115" s="8" t="s">
        <v>1956</v>
      </c>
      <c r="S115" s="8" t="s">
        <v>356</v>
      </c>
      <c r="T115" s="8" t="s">
        <v>1172</v>
      </c>
      <c r="U115" s="8" t="s">
        <v>1968</v>
      </c>
      <c r="V115" s="8" t="s">
        <v>1172</v>
      </c>
      <c r="W115" s="8" t="s">
        <v>1969</v>
      </c>
      <c r="X115" s="8" t="s">
        <v>1765</v>
      </c>
      <c r="Y115" s="8" t="s">
        <v>112</v>
      </c>
      <c r="Z115" s="8" t="s">
        <v>1959</v>
      </c>
    </row>
    <row r="116" spans="1:26" ht="24" x14ac:dyDescent="0.3">
      <c r="A116" s="8" t="s">
        <v>2138</v>
      </c>
      <c r="B116" s="8" t="s">
        <v>9</v>
      </c>
      <c r="C116" s="10">
        <v>292990</v>
      </c>
      <c r="D116" s="8" t="s">
        <v>139</v>
      </c>
      <c r="E116" s="8" t="s">
        <v>1951</v>
      </c>
      <c r="F116" s="8" t="s">
        <v>1966</v>
      </c>
      <c r="G116" s="8" t="s">
        <v>9</v>
      </c>
      <c r="H116" s="8" t="s">
        <v>352</v>
      </c>
      <c r="I116" s="8" t="s">
        <v>1729</v>
      </c>
      <c r="J116" s="8" t="s">
        <v>2139</v>
      </c>
      <c r="K116" s="8" t="s">
        <v>357</v>
      </c>
      <c r="L116" s="8" t="s">
        <v>358</v>
      </c>
      <c r="M116" s="10">
        <v>807475</v>
      </c>
      <c r="N116" s="8" t="s">
        <v>734</v>
      </c>
      <c r="O116" s="8" t="s">
        <v>9</v>
      </c>
      <c r="P116" s="8" t="s">
        <v>2038</v>
      </c>
      <c r="Q116" s="8" t="s">
        <v>1956</v>
      </c>
      <c r="R116" s="8" t="s">
        <v>1956</v>
      </c>
      <c r="S116" s="8" t="s">
        <v>356</v>
      </c>
      <c r="T116" s="8" t="s">
        <v>1172</v>
      </c>
      <c r="U116" s="8" t="s">
        <v>1968</v>
      </c>
      <c r="V116" s="8" t="s">
        <v>1172</v>
      </c>
      <c r="W116" s="8" t="s">
        <v>1969</v>
      </c>
      <c r="X116" s="8" t="s">
        <v>1772</v>
      </c>
      <c r="Y116" s="8" t="s">
        <v>112</v>
      </c>
      <c r="Z116" s="8" t="s">
        <v>2039</v>
      </c>
    </row>
    <row r="117" spans="1:26" ht="24" x14ac:dyDescent="0.3">
      <c r="A117" s="8" t="s">
        <v>2140</v>
      </c>
      <c r="B117" s="8" t="s">
        <v>9</v>
      </c>
      <c r="C117" s="10">
        <v>293148</v>
      </c>
      <c r="D117" s="8" t="s">
        <v>141</v>
      </c>
      <c r="E117" s="8" t="s">
        <v>1986</v>
      </c>
      <c r="F117" s="8" t="s">
        <v>1966</v>
      </c>
      <c r="G117" s="8" t="s">
        <v>9</v>
      </c>
      <c r="H117" s="8" t="s">
        <v>352</v>
      </c>
      <c r="I117" s="8" t="s">
        <v>1729</v>
      </c>
      <c r="J117" s="8" t="s">
        <v>2141</v>
      </c>
      <c r="K117" s="8" t="s">
        <v>384</v>
      </c>
      <c r="L117" s="8" t="s">
        <v>714</v>
      </c>
      <c r="M117" s="10">
        <v>0</v>
      </c>
      <c r="N117" s="8" t="s">
        <v>606</v>
      </c>
      <c r="O117" s="8" t="s">
        <v>9</v>
      </c>
      <c r="P117" s="8" t="s">
        <v>1955</v>
      </c>
      <c r="Q117" s="8" t="s">
        <v>1956</v>
      </c>
      <c r="R117" s="8" t="s">
        <v>1956</v>
      </c>
      <c r="S117" s="8" t="s">
        <v>356</v>
      </c>
      <c r="T117" s="8" t="s">
        <v>1172</v>
      </c>
      <c r="U117" s="8" t="s">
        <v>1968</v>
      </c>
      <c r="V117" s="8" t="s">
        <v>1172</v>
      </c>
      <c r="W117" s="8" t="s">
        <v>1969</v>
      </c>
      <c r="X117" s="8" t="s">
        <v>1777</v>
      </c>
      <c r="Y117" s="8" t="s">
        <v>112</v>
      </c>
      <c r="Z117" s="8" t="s">
        <v>2109</v>
      </c>
    </row>
    <row r="118" spans="1:26" ht="24" x14ac:dyDescent="0.3">
      <c r="A118" s="8" t="s">
        <v>2142</v>
      </c>
      <c r="B118" s="8" t="s">
        <v>9</v>
      </c>
      <c r="C118" s="10">
        <v>293148</v>
      </c>
      <c r="D118" s="8" t="s">
        <v>141</v>
      </c>
      <c r="E118" s="8" t="s">
        <v>1986</v>
      </c>
      <c r="F118" s="8" t="s">
        <v>1966</v>
      </c>
      <c r="G118" s="8" t="s">
        <v>9</v>
      </c>
      <c r="H118" s="8" t="s">
        <v>352</v>
      </c>
      <c r="I118" s="8" t="s">
        <v>1973</v>
      </c>
      <c r="J118" s="8" t="s">
        <v>2141</v>
      </c>
      <c r="K118" s="8" t="s">
        <v>384</v>
      </c>
      <c r="L118" s="8" t="s">
        <v>714</v>
      </c>
      <c r="M118" s="10">
        <v>0</v>
      </c>
      <c r="N118" s="8" t="s">
        <v>608</v>
      </c>
      <c r="O118" s="8" t="s">
        <v>9</v>
      </c>
      <c r="P118" s="8" t="s">
        <v>1955</v>
      </c>
      <c r="Q118" s="8" t="s">
        <v>1956</v>
      </c>
      <c r="R118" s="8" t="s">
        <v>1956</v>
      </c>
      <c r="S118" s="8" t="s">
        <v>356</v>
      </c>
      <c r="T118" s="8" t="s">
        <v>1172</v>
      </c>
      <c r="U118" s="8" t="s">
        <v>1968</v>
      </c>
      <c r="V118" s="8" t="s">
        <v>1172</v>
      </c>
      <c r="W118" s="8" t="s">
        <v>1969</v>
      </c>
      <c r="X118" s="8" t="s">
        <v>1777</v>
      </c>
      <c r="Y118" s="8" t="s">
        <v>112</v>
      </c>
      <c r="Z118" s="8" t="s">
        <v>2109</v>
      </c>
    </row>
    <row r="119" spans="1:26" ht="36" x14ac:dyDescent="0.3">
      <c r="A119" s="8" t="s">
        <v>2143</v>
      </c>
      <c r="B119" s="8" t="s">
        <v>9</v>
      </c>
      <c r="C119" s="10">
        <v>301378</v>
      </c>
      <c r="D119" s="8" t="s">
        <v>412</v>
      </c>
      <c r="E119" s="8" t="s">
        <v>1986</v>
      </c>
      <c r="F119" s="8" t="s">
        <v>1952</v>
      </c>
      <c r="G119" s="8" t="s">
        <v>9</v>
      </c>
      <c r="H119" s="8" t="s">
        <v>352</v>
      </c>
      <c r="I119" s="8" t="s">
        <v>1729</v>
      </c>
      <c r="J119" s="8" t="s">
        <v>2144</v>
      </c>
      <c r="K119" s="8" t="s">
        <v>384</v>
      </c>
      <c r="L119" s="8" t="s">
        <v>2145</v>
      </c>
      <c r="M119" s="10">
        <v>0</v>
      </c>
      <c r="N119" s="8" t="s">
        <v>606</v>
      </c>
      <c r="O119" s="8" t="s">
        <v>9</v>
      </c>
      <c r="P119" s="8" t="s">
        <v>1955</v>
      </c>
      <c r="Q119" s="8" t="s">
        <v>1956</v>
      </c>
      <c r="R119" s="8" t="s">
        <v>1956</v>
      </c>
      <c r="S119" s="8" t="s">
        <v>356</v>
      </c>
      <c r="T119" s="8" t="s">
        <v>1172</v>
      </c>
      <c r="U119" s="8" t="s">
        <v>1957</v>
      </c>
      <c r="V119" s="8" t="s">
        <v>283</v>
      </c>
      <c r="W119" s="8" t="s">
        <v>1958</v>
      </c>
      <c r="X119" s="8" t="s">
        <v>355</v>
      </c>
      <c r="Y119" s="8" t="s">
        <v>112</v>
      </c>
      <c r="Z119" s="8" t="s">
        <v>1959</v>
      </c>
    </row>
    <row r="120" spans="1:26" ht="36" x14ac:dyDescent="0.3">
      <c r="A120" s="8" t="s">
        <v>2146</v>
      </c>
      <c r="B120" s="8" t="s">
        <v>9</v>
      </c>
      <c r="C120" s="10">
        <v>301378</v>
      </c>
      <c r="D120" s="8" t="s">
        <v>412</v>
      </c>
      <c r="E120" s="8" t="s">
        <v>1986</v>
      </c>
      <c r="F120" s="8" t="s">
        <v>1952</v>
      </c>
      <c r="G120" s="8" t="s">
        <v>9</v>
      </c>
      <c r="H120" s="8" t="s">
        <v>352</v>
      </c>
      <c r="I120" s="8" t="s">
        <v>1729</v>
      </c>
      <c r="J120" s="8" t="s">
        <v>2144</v>
      </c>
      <c r="K120" s="8" t="s">
        <v>384</v>
      </c>
      <c r="L120" s="8" t="s">
        <v>2147</v>
      </c>
      <c r="M120" s="10">
        <v>0</v>
      </c>
      <c r="N120" s="8" t="s">
        <v>606</v>
      </c>
      <c r="O120" s="8" t="s">
        <v>9</v>
      </c>
      <c r="P120" s="8" t="s">
        <v>1955</v>
      </c>
      <c r="Q120" s="8" t="s">
        <v>1956</v>
      </c>
      <c r="R120" s="8" t="s">
        <v>1956</v>
      </c>
      <c r="S120" s="8" t="s">
        <v>356</v>
      </c>
      <c r="T120" s="8" t="s">
        <v>1172</v>
      </c>
      <c r="U120" s="8" t="s">
        <v>1957</v>
      </c>
      <c r="V120" s="8" t="s">
        <v>283</v>
      </c>
      <c r="W120" s="8" t="s">
        <v>1958</v>
      </c>
      <c r="X120" s="8" t="s">
        <v>355</v>
      </c>
      <c r="Y120" s="8" t="s">
        <v>112</v>
      </c>
      <c r="Z120" s="8" t="s">
        <v>1959</v>
      </c>
    </row>
    <row r="121" spans="1:26" ht="36" x14ac:dyDescent="0.3">
      <c r="A121" s="8" t="s">
        <v>2148</v>
      </c>
      <c r="B121" s="8" t="s">
        <v>9</v>
      </c>
      <c r="C121" s="10">
        <v>301378</v>
      </c>
      <c r="D121" s="8" t="s">
        <v>412</v>
      </c>
      <c r="E121" s="8" t="s">
        <v>1986</v>
      </c>
      <c r="F121" s="8" t="s">
        <v>1952</v>
      </c>
      <c r="G121" s="8" t="s">
        <v>9</v>
      </c>
      <c r="H121" s="8" t="s">
        <v>352</v>
      </c>
      <c r="I121" s="8" t="s">
        <v>1729</v>
      </c>
      <c r="J121" s="8" t="s">
        <v>2144</v>
      </c>
      <c r="K121" s="8" t="s">
        <v>384</v>
      </c>
      <c r="L121" s="8" t="s">
        <v>2149</v>
      </c>
      <c r="M121" s="10">
        <v>0</v>
      </c>
      <c r="N121" s="8" t="s">
        <v>606</v>
      </c>
      <c r="O121" s="8" t="s">
        <v>9</v>
      </c>
      <c r="P121" s="8" t="s">
        <v>1955</v>
      </c>
      <c r="Q121" s="8" t="s">
        <v>1956</v>
      </c>
      <c r="R121" s="8" t="s">
        <v>1956</v>
      </c>
      <c r="S121" s="8" t="s">
        <v>356</v>
      </c>
      <c r="T121" s="8" t="s">
        <v>1172</v>
      </c>
      <c r="U121" s="8" t="s">
        <v>1957</v>
      </c>
      <c r="V121" s="8" t="s">
        <v>283</v>
      </c>
      <c r="W121" s="8" t="s">
        <v>1958</v>
      </c>
      <c r="X121" s="8" t="s">
        <v>355</v>
      </c>
      <c r="Y121" s="8" t="s">
        <v>112</v>
      </c>
      <c r="Z121" s="8" t="s">
        <v>1959</v>
      </c>
    </row>
    <row r="122" spans="1:26" ht="48" x14ac:dyDescent="0.3">
      <c r="A122" s="8" t="s">
        <v>2150</v>
      </c>
      <c r="B122" s="8" t="s">
        <v>9</v>
      </c>
      <c r="C122" s="10">
        <v>301378</v>
      </c>
      <c r="D122" s="8" t="s">
        <v>412</v>
      </c>
      <c r="E122" s="8" t="s">
        <v>1986</v>
      </c>
      <c r="F122" s="8" t="s">
        <v>1952</v>
      </c>
      <c r="G122" s="8" t="s">
        <v>9</v>
      </c>
      <c r="H122" s="8" t="s">
        <v>352</v>
      </c>
      <c r="I122" s="8" t="s">
        <v>1729</v>
      </c>
      <c r="J122" s="8" t="s">
        <v>2144</v>
      </c>
      <c r="K122" s="8" t="s">
        <v>384</v>
      </c>
      <c r="L122" s="8" t="s">
        <v>2151</v>
      </c>
      <c r="M122" s="10">
        <v>0</v>
      </c>
      <c r="N122" s="8" t="s">
        <v>606</v>
      </c>
      <c r="O122" s="8" t="s">
        <v>9</v>
      </c>
      <c r="P122" s="8" t="s">
        <v>1955</v>
      </c>
      <c r="Q122" s="8" t="s">
        <v>1956</v>
      </c>
      <c r="R122" s="8" t="s">
        <v>1956</v>
      </c>
      <c r="S122" s="8" t="s">
        <v>356</v>
      </c>
      <c r="T122" s="8" t="s">
        <v>1172</v>
      </c>
      <c r="U122" s="8" t="s">
        <v>1957</v>
      </c>
      <c r="V122" s="8" t="s">
        <v>283</v>
      </c>
      <c r="W122" s="8" t="s">
        <v>1958</v>
      </c>
      <c r="X122" s="8" t="s">
        <v>355</v>
      </c>
      <c r="Y122" s="8" t="s">
        <v>112</v>
      </c>
      <c r="Z122" s="8" t="s">
        <v>1959</v>
      </c>
    </row>
    <row r="123" spans="1:26" ht="48" x14ac:dyDescent="0.3">
      <c r="A123" s="8" t="s">
        <v>2152</v>
      </c>
      <c r="B123" s="8" t="s">
        <v>9</v>
      </c>
      <c r="C123" s="10">
        <v>301378</v>
      </c>
      <c r="D123" s="8" t="s">
        <v>412</v>
      </c>
      <c r="E123" s="8" t="s">
        <v>1986</v>
      </c>
      <c r="F123" s="8" t="s">
        <v>1952</v>
      </c>
      <c r="G123" s="8" t="s">
        <v>9</v>
      </c>
      <c r="H123" s="8" t="s">
        <v>352</v>
      </c>
      <c r="I123" s="8" t="s">
        <v>1729</v>
      </c>
      <c r="J123" s="8" t="s">
        <v>2144</v>
      </c>
      <c r="K123" s="8" t="s">
        <v>384</v>
      </c>
      <c r="L123" s="8" t="s">
        <v>2153</v>
      </c>
      <c r="M123" s="10">
        <v>0</v>
      </c>
      <c r="N123" s="8" t="s">
        <v>606</v>
      </c>
      <c r="O123" s="8" t="s">
        <v>9</v>
      </c>
      <c r="P123" s="8" t="s">
        <v>1955</v>
      </c>
      <c r="Q123" s="8" t="s">
        <v>1956</v>
      </c>
      <c r="R123" s="8" t="s">
        <v>1956</v>
      </c>
      <c r="S123" s="8" t="s">
        <v>356</v>
      </c>
      <c r="T123" s="8" t="s">
        <v>1172</v>
      </c>
      <c r="U123" s="8" t="s">
        <v>1957</v>
      </c>
      <c r="V123" s="8" t="s">
        <v>283</v>
      </c>
      <c r="W123" s="8" t="s">
        <v>1958</v>
      </c>
      <c r="X123" s="8" t="s">
        <v>355</v>
      </c>
      <c r="Y123" s="8" t="s">
        <v>112</v>
      </c>
      <c r="Z123" s="8" t="s">
        <v>1959</v>
      </c>
    </row>
    <row r="124" spans="1:26" ht="48" x14ac:dyDescent="0.3">
      <c r="A124" s="8" t="s">
        <v>2154</v>
      </c>
      <c r="B124" s="8" t="s">
        <v>9</v>
      </c>
      <c r="C124" s="10">
        <v>301378</v>
      </c>
      <c r="D124" s="8" t="s">
        <v>412</v>
      </c>
      <c r="E124" s="8" t="s">
        <v>1986</v>
      </c>
      <c r="F124" s="8" t="s">
        <v>1952</v>
      </c>
      <c r="G124" s="8" t="s">
        <v>9</v>
      </c>
      <c r="H124" s="8" t="s">
        <v>352</v>
      </c>
      <c r="I124" s="8" t="s">
        <v>1729</v>
      </c>
      <c r="J124" s="8" t="s">
        <v>2144</v>
      </c>
      <c r="K124" s="8" t="s">
        <v>384</v>
      </c>
      <c r="L124" s="8" t="s">
        <v>2155</v>
      </c>
      <c r="M124" s="10">
        <v>0</v>
      </c>
      <c r="N124" s="8" t="s">
        <v>606</v>
      </c>
      <c r="O124" s="8" t="s">
        <v>9</v>
      </c>
      <c r="P124" s="8" t="s">
        <v>1955</v>
      </c>
      <c r="Q124" s="8" t="s">
        <v>1956</v>
      </c>
      <c r="R124" s="8" t="s">
        <v>1956</v>
      </c>
      <c r="S124" s="8" t="s">
        <v>356</v>
      </c>
      <c r="T124" s="8" t="s">
        <v>1172</v>
      </c>
      <c r="U124" s="8" t="s">
        <v>1957</v>
      </c>
      <c r="V124" s="8" t="s">
        <v>283</v>
      </c>
      <c r="W124" s="8" t="s">
        <v>1958</v>
      </c>
      <c r="X124" s="8" t="s">
        <v>355</v>
      </c>
      <c r="Y124" s="8" t="s">
        <v>112</v>
      </c>
      <c r="Z124" s="8" t="s">
        <v>1959</v>
      </c>
    </row>
    <row r="125" spans="1:26" ht="48" x14ac:dyDescent="0.3">
      <c r="A125" s="8" t="s">
        <v>2156</v>
      </c>
      <c r="B125" s="8" t="s">
        <v>9</v>
      </c>
      <c r="C125" s="10">
        <v>301378</v>
      </c>
      <c r="D125" s="8" t="s">
        <v>412</v>
      </c>
      <c r="E125" s="8" t="s">
        <v>1986</v>
      </c>
      <c r="F125" s="8" t="s">
        <v>1952</v>
      </c>
      <c r="G125" s="8" t="s">
        <v>9</v>
      </c>
      <c r="H125" s="8" t="s">
        <v>352</v>
      </c>
      <c r="I125" s="8" t="s">
        <v>1729</v>
      </c>
      <c r="J125" s="8" t="s">
        <v>2144</v>
      </c>
      <c r="K125" s="8" t="s">
        <v>384</v>
      </c>
      <c r="L125" s="8" t="s">
        <v>2157</v>
      </c>
      <c r="M125" s="10">
        <v>0</v>
      </c>
      <c r="N125" s="8" t="s">
        <v>606</v>
      </c>
      <c r="O125" s="8" t="s">
        <v>9</v>
      </c>
      <c r="P125" s="8" t="s">
        <v>1955</v>
      </c>
      <c r="Q125" s="8" t="s">
        <v>1956</v>
      </c>
      <c r="R125" s="8" t="s">
        <v>1956</v>
      </c>
      <c r="S125" s="8" t="s">
        <v>356</v>
      </c>
      <c r="T125" s="8" t="s">
        <v>1172</v>
      </c>
      <c r="U125" s="8" t="s">
        <v>1957</v>
      </c>
      <c r="V125" s="8" t="s">
        <v>283</v>
      </c>
      <c r="W125" s="8" t="s">
        <v>1958</v>
      </c>
      <c r="X125" s="8" t="s">
        <v>355</v>
      </c>
      <c r="Y125" s="8" t="s">
        <v>112</v>
      </c>
      <c r="Z125" s="8" t="s">
        <v>1959</v>
      </c>
    </row>
    <row r="126" spans="1:26" ht="48" x14ac:dyDescent="0.3">
      <c r="A126" s="8" t="s">
        <v>2158</v>
      </c>
      <c r="B126" s="8" t="s">
        <v>9</v>
      </c>
      <c r="C126" s="10">
        <v>301378</v>
      </c>
      <c r="D126" s="8" t="s">
        <v>412</v>
      </c>
      <c r="E126" s="8" t="s">
        <v>1986</v>
      </c>
      <c r="F126" s="8" t="s">
        <v>1952</v>
      </c>
      <c r="G126" s="8" t="s">
        <v>9</v>
      </c>
      <c r="H126" s="8" t="s">
        <v>352</v>
      </c>
      <c r="I126" s="8" t="s">
        <v>1729</v>
      </c>
      <c r="J126" s="8" t="s">
        <v>2144</v>
      </c>
      <c r="K126" s="8" t="s">
        <v>384</v>
      </c>
      <c r="L126" s="8" t="s">
        <v>2159</v>
      </c>
      <c r="M126" s="10">
        <v>0</v>
      </c>
      <c r="N126" s="8" t="s">
        <v>606</v>
      </c>
      <c r="O126" s="8" t="s">
        <v>9</v>
      </c>
      <c r="P126" s="8" t="s">
        <v>1955</v>
      </c>
      <c r="Q126" s="8" t="s">
        <v>1956</v>
      </c>
      <c r="R126" s="8" t="s">
        <v>1956</v>
      </c>
      <c r="S126" s="8" t="s">
        <v>356</v>
      </c>
      <c r="T126" s="8" t="s">
        <v>1172</v>
      </c>
      <c r="U126" s="8" t="s">
        <v>1957</v>
      </c>
      <c r="V126" s="8" t="s">
        <v>283</v>
      </c>
      <c r="W126" s="8" t="s">
        <v>1958</v>
      </c>
      <c r="X126" s="8" t="s">
        <v>355</v>
      </c>
      <c r="Y126" s="8" t="s">
        <v>112</v>
      </c>
      <c r="Z126" s="8" t="s">
        <v>1959</v>
      </c>
    </row>
    <row r="127" spans="1:26" ht="48" x14ac:dyDescent="0.3">
      <c r="A127" s="8" t="s">
        <v>2160</v>
      </c>
      <c r="B127" s="8" t="s">
        <v>9</v>
      </c>
      <c r="C127" s="10">
        <v>301378</v>
      </c>
      <c r="D127" s="8" t="s">
        <v>412</v>
      </c>
      <c r="E127" s="8" t="s">
        <v>1986</v>
      </c>
      <c r="F127" s="8" t="s">
        <v>1952</v>
      </c>
      <c r="G127" s="8" t="s">
        <v>9</v>
      </c>
      <c r="H127" s="8" t="s">
        <v>352</v>
      </c>
      <c r="I127" s="8" t="s">
        <v>1729</v>
      </c>
      <c r="J127" s="8" t="s">
        <v>2144</v>
      </c>
      <c r="K127" s="8" t="s">
        <v>384</v>
      </c>
      <c r="L127" s="8" t="s">
        <v>2161</v>
      </c>
      <c r="M127" s="10">
        <v>0</v>
      </c>
      <c r="N127" s="8" t="s">
        <v>606</v>
      </c>
      <c r="O127" s="8" t="s">
        <v>9</v>
      </c>
      <c r="P127" s="8" t="s">
        <v>1955</v>
      </c>
      <c r="Q127" s="8" t="s">
        <v>1956</v>
      </c>
      <c r="R127" s="8" t="s">
        <v>1956</v>
      </c>
      <c r="S127" s="8" t="s">
        <v>356</v>
      </c>
      <c r="T127" s="8" t="s">
        <v>1172</v>
      </c>
      <c r="U127" s="8" t="s">
        <v>1957</v>
      </c>
      <c r="V127" s="8" t="s">
        <v>283</v>
      </c>
      <c r="W127" s="8" t="s">
        <v>1958</v>
      </c>
      <c r="X127" s="8" t="s">
        <v>355</v>
      </c>
      <c r="Y127" s="8" t="s">
        <v>112</v>
      </c>
      <c r="Z127" s="8" t="s">
        <v>1959</v>
      </c>
    </row>
    <row r="128" spans="1:26" ht="48" x14ac:dyDescent="0.3">
      <c r="A128" s="8" t="s">
        <v>2162</v>
      </c>
      <c r="B128" s="8" t="s">
        <v>9</v>
      </c>
      <c r="C128" s="10">
        <v>301378</v>
      </c>
      <c r="D128" s="8" t="s">
        <v>412</v>
      </c>
      <c r="E128" s="8" t="s">
        <v>1986</v>
      </c>
      <c r="F128" s="8" t="s">
        <v>1952</v>
      </c>
      <c r="G128" s="8" t="s">
        <v>9</v>
      </c>
      <c r="H128" s="8" t="s">
        <v>352</v>
      </c>
      <c r="I128" s="8" t="s">
        <v>1729</v>
      </c>
      <c r="J128" s="8" t="s">
        <v>2144</v>
      </c>
      <c r="K128" s="8" t="s">
        <v>384</v>
      </c>
      <c r="L128" s="8" t="s">
        <v>2163</v>
      </c>
      <c r="M128" s="10">
        <v>0</v>
      </c>
      <c r="N128" s="8" t="s">
        <v>606</v>
      </c>
      <c r="O128" s="8" t="s">
        <v>9</v>
      </c>
      <c r="P128" s="8" t="s">
        <v>1955</v>
      </c>
      <c r="Q128" s="8" t="s">
        <v>1956</v>
      </c>
      <c r="R128" s="8" t="s">
        <v>1956</v>
      </c>
      <c r="S128" s="8" t="s">
        <v>356</v>
      </c>
      <c r="T128" s="8" t="s">
        <v>1172</v>
      </c>
      <c r="U128" s="8" t="s">
        <v>1957</v>
      </c>
      <c r="V128" s="8" t="s">
        <v>283</v>
      </c>
      <c r="W128" s="8" t="s">
        <v>1958</v>
      </c>
      <c r="X128" s="8" t="s">
        <v>355</v>
      </c>
      <c r="Y128" s="8" t="s">
        <v>112</v>
      </c>
      <c r="Z128" s="8" t="s">
        <v>1959</v>
      </c>
    </row>
    <row r="129" spans="1:26" ht="36" x14ac:dyDescent="0.3">
      <c r="A129" s="8" t="s">
        <v>2164</v>
      </c>
      <c r="B129" s="8" t="s">
        <v>9</v>
      </c>
      <c r="C129" s="10">
        <v>301378</v>
      </c>
      <c r="D129" s="8" t="s">
        <v>412</v>
      </c>
      <c r="E129" s="8" t="s">
        <v>1986</v>
      </c>
      <c r="F129" s="8" t="s">
        <v>1952</v>
      </c>
      <c r="G129" s="8" t="s">
        <v>9</v>
      </c>
      <c r="H129" s="8" t="s">
        <v>352</v>
      </c>
      <c r="I129" s="8" t="s">
        <v>1729</v>
      </c>
      <c r="J129" s="8" t="s">
        <v>2144</v>
      </c>
      <c r="K129" s="8" t="s">
        <v>384</v>
      </c>
      <c r="L129" s="8" t="s">
        <v>2165</v>
      </c>
      <c r="M129" s="10">
        <v>0</v>
      </c>
      <c r="N129" s="8" t="s">
        <v>606</v>
      </c>
      <c r="O129" s="8" t="s">
        <v>9</v>
      </c>
      <c r="P129" s="8" t="s">
        <v>1955</v>
      </c>
      <c r="Q129" s="8" t="s">
        <v>1956</v>
      </c>
      <c r="R129" s="8" t="s">
        <v>1956</v>
      </c>
      <c r="S129" s="8" t="s">
        <v>356</v>
      </c>
      <c r="T129" s="8" t="s">
        <v>1172</v>
      </c>
      <c r="U129" s="8" t="s">
        <v>1957</v>
      </c>
      <c r="V129" s="8" t="s">
        <v>283</v>
      </c>
      <c r="W129" s="8" t="s">
        <v>1958</v>
      </c>
      <c r="X129" s="8" t="s">
        <v>355</v>
      </c>
      <c r="Y129" s="8" t="s">
        <v>112</v>
      </c>
      <c r="Z129" s="8" t="s">
        <v>1959</v>
      </c>
    </row>
    <row r="130" spans="1:26" ht="36" x14ac:dyDescent="0.3">
      <c r="A130" s="8" t="s">
        <v>2166</v>
      </c>
      <c r="B130" s="8" t="s">
        <v>9</v>
      </c>
      <c r="C130" s="10">
        <v>301378</v>
      </c>
      <c r="D130" s="8" t="s">
        <v>412</v>
      </c>
      <c r="E130" s="8" t="s">
        <v>1986</v>
      </c>
      <c r="F130" s="8" t="s">
        <v>1952</v>
      </c>
      <c r="G130" s="8" t="s">
        <v>9</v>
      </c>
      <c r="H130" s="8" t="s">
        <v>352</v>
      </c>
      <c r="I130" s="8" t="s">
        <v>1973</v>
      </c>
      <c r="J130" s="8" t="s">
        <v>2144</v>
      </c>
      <c r="K130" s="8" t="s">
        <v>384</v>
      </c>
      <c r="L130" s="8" t="s">
        <v>2145</v>
      </c>
      <c r="M130" s="10">
        <v>0</v>
      </c>
      <c r="N130" s="8" t="s">
        <v>732</v>
      </c>
      <c r="O130" s="8" t="s">
        <v>9</v>
      </c>
      <c r="P130" s="8" t="s">
        <v>1955</v>
      </c>
      <c r="Q130" s="8" t="s">
        <v>1956</v>
      </c>
      <c r="R130" s="8" t="s">
        <v>1956</v>
      </c>
      <c r="S130" s="8" t="s">
        <v>356</v>
      </c>
      <c r="T130" s="8" t="s">
        <v>1172</v>
      </c>
      <c r="U130" s="8" t="s">
        <v>1957</v>
      </c>
      <c r="V130" s="8" t="s">
        <v>283</v>
      </c>
      <c r="W130" s="8" t="s">
        <v>1958</v>
      </c>
      <c r="X130" s="8" t="s">
        <v>355</v>
      </c>
      <c r="Y130" s="8" t="s">
        <v>112</v>
      </c>
      <c r="Z130" s="8" t="s">
        <v>1959</v>
      </c>
    </row>
    <row r="131" spans="1:26" ht="36" x14ac:dyDescent="0.3">
      <c r="A131" s="8" t="s">
        <v>2167</v>
      </c>
      <c r="B131" s="8" t="s">
        <v>9</v>
      </c>
      <c r="C131" s="10">
        <v>301378</v>
      </c>
      <c r="D131" s="8" t="s">
        <v>412</v>
      </c>
      <c r="E131" s="8" t="s">
        <v>1986</v>
      </c>
      <c r="F131" s="8" t="s">
        <v>1952</v>
      </c>
      <c r="G131" s="8" t="s">
        <v>9</v>
      </c>
      <c r="H131" s="8" t="s">
        <v>352</v>
      </c>
      <c r="I131" s="8" t="s">
        <v>1973</v>
      </c>
      <c r="J131" s="8" t="s">
        <v>2144</v>
      </c>
      <c r="K131" s="8" t="s">
        <v>384</v>
      </c>
      <c r="L131" s="8" t="s">
        <v>2147</v>
      </c>
      <c r="M131" s="10">
        <v>0</v>
      </c>
      <c r="N131" s="8" t="s">
        <v>2168</v>
      </c>
      <c r="O131" s="8" t="s">
        <v>9</v>
      </c>
      <c r="P131" s="8" t="s">
        <v>1955</v>
      </c>
      <c r="Q131" s="8" t="s">
        <v>1956</v>
      </c>
      <c r="R131" s="8" t="s">
        <v>1956</v>
      </c>
      <c r="S131" s="8" t="s">
        <v>356</v>
      </c>
      <c r="T131" s="8" t="s">
        <v>1172</v>
      </c>
      <c r="U131" s="8" t="s">
        <v>1957</v>
      </c>
      <c r="V131" s="8" t="s">
        <v>283</v>
      </c>
      <c r="W131" s="8" t="s">
        <v>1958</v>
      </c>
      <c r="X131" s="8" t="s">
        <v>355</v>
      </c>
      <c r="Y131" s="8" t="s">
        <v>112</v>
      </c>
      <c r="Z131" s="8" t="s">
        <v>1959</v>
      </c>
    </row>
    <row r="132" spans="1:26" ht="36" x14ac:dyDescent="0.3">
      <c r="A132" s="8" t="s">
        <v>2169</v>
      </c>
      <c r="B132" s="8" t="s">
        <v>9</v>
      </c>
      <c r="C132" s="10">
        <v>301378</v>
      </c>
      <c r="D132" s="8" t="s">
        <v>412</v>
      </c>
      <c r="E132" s="8" t="s">
        <v>1986</v>
      </c>
      <c r="F132" s="8" t="s">
        <v>1952</v>
      </c>
      <c r="G132" s="8" t="s">
        <v>9</v>
      </c>
      <c r="H132" s="8" t="s">
        <v>352</v>
      </c>
      <c r="I132" s="8" t="s">
        <v>1973</v>
      </c>
      <c r="J132" s="8" t="s">
        <v>2144</v>
      </c>
      <c r="K132" s="8" t="s">
        <v>384</v>
      </c>
      <c r="L132" s="8" t="s">
        <v>2149</v>
      </c>
      <c r="M132" s="10">
        <v>0</v>
      </c>
      <c r="N132" s="8" t="s">
        <v>2170</v>
      </c>
      <c r="O132" s="8" t="s">
        <v>9</v>
      </c>
      <c r="P132" s="8" t="s">
        <v>1955</v>
      </c>
      <c r="Q132" s="8" t="s">
        <v>1956</v>
      </c>
      <c r="R132" s="8" t="s">
        <v>1956</v>
      </c>
      <c r="S132" s="8" t="s">
        <v>356</v>
      </c>
      <c r="T132" s="8" t="s">
        <v>1172</v>
      </c>
      <c r="U132" s="8" t="s">
        <v>1957</v>
      </c>
      <c r="V132" s="8" t="s">
        <v>283</v>
      </c>
      <c r="W132" s="8" t="s">
        <v>1958</v>
      </c>
      <c r="X132" s="8" t="s">
        <v>355</v>
      </c>
      <c r="Y132" s="8" t="s">
        <v>112</v>
      </c>
      <c r="Z132" s="8" t="s">
        <v>1959</v>
      </c>
    </row>
    <row r="133" spans="1:26" ht="48" x14ac:dyDescent="0.3">
      <c r="A133" s="8" t="s">
        <v>2171</v>
      </c>
      <c r="B133" s="8" t="s">
        <v>9</v>
      </c>
      <c r="C133" s="10">
        <v>301378</v>
      </c>
      <c r="D133" s="8" t="s">
        <v>412</v>
      </c>
      <c r="E133" s="8" t="s">
        <v>1986</v>
      </c>
      <c r="F133" s="8" t="s">
        <v>1952</v>
      </c>
      <c r="G133" s="8" t="s">
        <v>9</v>
      </c>
      <c r="H133" s="8" t="s">
        <v>352</v>
      </c>
      <c r="I133" s="8" t="s">
        <v>1973</v>
      </c>
      <c r="J133" s="8" t="s">
        <v>2144</v>
      </c>
      <c r="K133" s="8" t="s">
        <v>384</v>
      </c>
      <c r="L133" s="8" t="s">
        <v>2151</v>
      </c>
      <c r="M133" s="10">
        <v>0</v>
      </c>
      <c r="N133" s="8" t="s">
        <v>2172</v>
      </c>
      <c r="O133" s="8" t="s">
        <v>9</v>
      </c>
      <c r="P133" s="8" t="s">
        <v>1955</v>
      </c>
      <c r="Q133" s="8" t="s">
        <v>1956</v>
      </c>
      <c r="R133" s="8" t="s">
        <v>1956</v>
      </c>
      <c r="S133" s="8" t="s">
        <v>356</v>
      </c>
      <c r="T133" s="8" t="s">
        <v>1172</v>
      </c>
      <c r="U133" s="8" t="s">
        <v>1957</v>
      </c>
      <c r="V133" s="8" t="s">
        <v>283</v>
      </c>
      <c r="W133" s="8" t="s">
        <v>1958</v>
      </c>
      <c r="X133" s="8" t="s">
        <v>355</v>
      </c>
      <c r="Y133" s="8" t="s">
        <v>112</v>
      </c>
      <c r="Z133" s="8" t="s">
        <v>1959</v>
      </c>
    </row>
    <row r="134" spans="1:26" ht="48" x14ac:dyDescent="0.3">
      <c r="A134" s="8" t="s">
        <v>2173</v>
      </c>
      <c r="B134" s="8" t="s">
        <v>9</v>
      </c>
      <c r="C134" s="10">
        <v>301378</v>
      </c>
      <c r="D134" s="8" t="s">
        <v>412</v>
      </c>
      <c r="E134" s="8" t="s">
        <v>1986</v>
      </c>
      <c r="F134" s="8" t="s">
        <v>1952</v>
      </c>
      <c r="G134" s="8" t="s">
        <v>9</v>
      </c>
      <c r="H134" s="8" t="s">
        <v>352</v>
      </c>
      <c r="I134" s="8" t="s">
        <v>1973</v>
      </c>
      <c r="J134" s="8" t="s">
        <v>2144</v>
      </c>
      <c r="K134" s="8" t="s">
        <v>384</v>
      </c>
      <c r="L134" s="8" t="s">
        <v>2153</v>
      </c>
      <c r="M134" s="10">
        <v>0</v>
      </c>
      <c r="N134" s="8" t="s">
        <v>2174</v>
      </c>
      <c r="O134" s="8" t="s">
        <v>9</v>
      </c>
      <c r="P134" s="8" t="s">
        <v>1955</v>
      </c>
      <c r="Q134" s="8" t="s">
        <v>1956</v>
      </c>
      <c r="R134" s="8" t="s">
        <v>1956</v>
      </c>
      <c r="S134" s="8" t="s">
        <v>356</v>
      </c>
      <c r="T134" s="8" t="s">
        <v>1172</v>
      </c>
      <c r="U134" s="8" t="s">
        <v>1957</v>
      </c>
      <c r="V134" s="8" t="s">
        <v>283</v>
      </c>
      <c r="W134" s="8" t="s">
        <v>1958</v>
      </c>
      <c r="X134" s="8" t="s">
        <v>355</v>
      </c>
      <c r="Y134" s="8" t="s">
        <v>112</v>
      </c>
      <c r="Z134" s="8" t="s">
        <v>1959</v>
      </c>
    </row>
    <row r="135" spans="1:26" ht="48" x14ac:dyDescent="0.3">
      <c r="A135" s="8" t="s">
        <v>2175</v>
      </c>
      <c r="B135" s="8" t="s">
        <v>9</v>
      </c>
      <c r="C135" s="10">
        <v>301378</v>
      </c>
      <c r="D135" s="8" t="s">
        <v>412</v>
      </c>
      <c r="E135" s="8" t="s">
        <v>1986</v>
      </c>
      <c r="F135" s="8" t="s">
        <v>1952</v>
      </c>
      <c r="G135" s="8" t="s">
        <v>9</v>
      </c>
      <c r="H135" s="8" t="s">
        <v>352</v>
      </c>
      <c r="I135" s="8" t="s">
        <v>1973</v>
      </c>
      <c r="J135" s="8" t="s">
        <v>2144</v>
      </c>
      <c r="K135" s="8" t="s">
        <v>384</v>
      </c>
      <c r="L135" s="8" t="s">
        <v>2155</v>
      </c>
      <c r="M135" s="10">
        <v>0</v>
      </c>
      <c r="N135" s="8" t="s">
        <v>671</v>
      </c>
      <c r="O135" s="8" t="s">
        <v>9</v>
      </c>
      <c r="P135" s="8" t="s">
        <v>1955</v>
      </c>
      <c r="Q135" s="8" t="s">
        <v>1956</v>
      </c>
      <c r="R135" s="8" t="s">
        <v>1956</v>
      </c>
      <c r="S135" s="8" t="s">
        <v>356</v>
      </c>
      <c r="T135" s="8" t="s">
        <v>1172</v>
      </c>
      <c r="U135" s="8" t="s">
        <v>1957</v>
      </c>
      <c r="V135" s="8" t="s">
        <v>283</v>
      </c>
      <c r="W135" s="8" t="s">
        <v>1958</v>
      </c>
      <c r="X135" s="8" t="s">
        <v>355</v>
      </c>
      <c r="Y135" s="8" t="s">
        <v>112</v>
      </c>
      <c r="Z135" s="8" t="s">
        <v>1959</v>
      </c>
    </row>
    <row r="136" spans="1:26" ht="48" x14ac:dyDescent="0.3">
      <c r="A136" s="8" t="s">
        <v>2176</v>
      </c>
      <c r="B136" s="8" t="s">
        <v>9</v>
      </c>
      <c r="C136" s="10">
        <v>301378</v>
      </c>
      <c r="D136" s="8" t="s">
        <v>412</v>
      </c>
      <c r="E136" s="8" t="s">
        <v>1986</v>
      </c>
      <c r="F136" s="8" t="s">
        <v>1952</v>
      </c>
      <c r="G136" s="8" t="s">
        <v>9</v>
      </c>
      <c r="H136" s="8" t="s">
        <v>352</v>
      </c>
      <c r="I136" s="8" t="s">
        <v>1973</v>
      </c>
      <c r="J136" s="8" t="s">
        <v>2144</v>
      </c>
      <c r="K136" s="8" t="s">
        <v>384</v>
      </c>
      <c r="L136" s="8" t="s">
        <v>2157</v>
      </c>
      <c r="M136" s="10">
        <v>0</v>
      </c>
      <c r="N136" s="8" t="s">
        <v>2177</v>
      </c>
      <c r="O136" s="8" t="s">
        <v>9</v>
      </c>
      <c r="P136" s="8" t="s">
        <v>1955</v>
      </c>
      <c r="Q136" s="8" t="s">
        <v>1956</v>
      </c>
      <c r="R136" s="8" t="s">
        <v>1956</v>
      </c>
      <c r="S136" s="8" t="s">
        <v>356</v>
      </c>
      <c r="T136" s="8" t="s">
        <v>1172</v>
      </c>
      <c r="U136" s="8" t="s">
        <v>1957</v>
      </c>
      <c r="V136" s="8" t="s">
        <v>283</v>
      </c>
      <c r="W136" s="8" t="s">
        <v>1958</v>
      </c>
      <c r="X136" s="8" t="s">
        <v>355</v>
      </c>
      <c r="Y136" s="8" t="s">
        <v>112</v>
      </c>
      <c r="Z136" s="8" t="s">
        <v>1959</v>
      </c>
    </row>
    <row r="137" spans="1:26" ht="48" x14ac:dyDescent="0.3">
      <c r="A137" s="8" t="s">
        <v>2178</v>
      </c>
      <c r="B137" s="8" t="s">
        <v>9</v>
      </c>
      <c r="C137" s="10">
        <v>301378</v>
      </c>
      <c r="D137" s="8" t="s">
        <v>412</v>
      </c>
      <c r="E137" s="8" t="s">
        <v>1986</v>
      </c>
      <c r="F137" s="8" t="s">
        <v>1952</v>
      </c>
      <c r="G137" s="8" t="s">
        <v>9</v>
      </c>
      <c r="H137" s="8" t="s">
        <v>352</v>
      </c>
      <c r="I137" s="8" t="s">
        <v>1973</v>
      </c>
      <c r="J137" s="8" t="s">
        <v>2144</v>
      </c>
      <c r="K137" s="8" t="s">
        <v>384</v>
      </c>
      <c r="L137" s="8" t="s">
        <v>2159</v>
      </c>
      <c r="M137" s="10">
        <v>0</v>
      </c>
      <c r="N137" s="8" t="s">
        <v>2179</v>
      </c>
      <c r="O137" s="8" t="s">
        <v>9</v>
      </c>
      <c r="P137" s="8" t="s">
        <v>1955</v>
      </c>
      <c r="Q137" s="8" t="s">
        <v>1956</v>
      </c>
      <c r="R137" s="8" t="s">
        <v>1956</v>
      </c>
      <c r="S137" s="8" t="s">
        <v>356</v>
      </c>
      <c r="T137" s="8" t="s">
        <v>1172</v>
      </c>
      <c r="U137" s="8" t="s">
        <v>1957</v>
      </c>
      <c r="V137" s="8" t="s">
        <v>283</v>
      </c>
      <c r="W137" s="8" t="s">
        <v>1958</v>
      </c>
      <c r="X137" s="8" t="s">
        <v>355</v>
      </c>
      <c r="Y137" s="8" t="s">
        <v>112</v>
      </c>
      <c r="Z137" s="8" t="s">
        <v>1959</v>
      </c>
    </row>
    <row r="138" spans="1:26" ht="48" x14ac:dyDescent="0.3">
      <c r="A138" s="8" t="s">
        <v>2180</v>
      </c>
      <c r="B138" s="8" t="s">
        <v>9</v>
      </c>
      <c r="C138" s="10">
        <v>301378</v>
      </c>
      <c r="D138" s="8" t="s">
        <v>412</v>
      </c>
      <c r="E138" s="8" t="s">
        <v>1986</v>
      </c>
      <c r="F138" s="8" t="s">
        <v>1952</v>
      </c>
      <c r="G138" s="8" t="s">
        <v>9</v>
      </c>
      <c r="H138" s="8" t="s">
        <v>352</v>
      </c>
      <c r="I138" s="8" t="s">
        <v>1973</v>
      </c>
      <c r="J138" s="8" t="s">
        <v>2144</v>
      </c>
      <c r="K138" s="8" t="s">
        <v>384</v>
      </c>
      <c r="L138" s="8" t="s">
        <v>2161</v>
      </c>
      <c r="M138" s="10">
        <v>0</v>
      </c>
      <c r="N138" s="8" t="s">
        <v>2181</v>
      </c>
      <c r="O138" s="8" t="s">
        <v>9</v>
      </c>
      <c r="P138" s="8" t="s">
        <v>1955</v>
      </c>
      <c r="Q138" s="8" t="s">
        <v>1956</v>
      </c>
      <c r="R138" s="8" t="s">
        <v>1956</v>
      </c>
      <c r="S138" s="8" t="s">
        <v>356</v>
      </c>
      <c r="T138" s="8" t="s">
        <v>1172</v>
      </c>
      <c r="U138" s="8" t="s">
        <v>1957</v>
      </c>
      <c r="V138" s="8" t="s">
        <v>283</v>
      </c>
      <c r="W138" s="8" t="s">
        <v>1958</v>
      </c>
      <c r="X138" s="8" t="s">
        <v>355</v>
      </c>
      <c r="Y138" s="8" t="s">
        <v>112</v>
      </c>
      <c r="Z138" s="8" t="s">
        <v>1959</v>
      </c>
    </row>
    <row r="139" spans="1:26" ht="48" x14ac:dyDescent="0.3">
      <c r="A139" s="8" t="s">
        <v>2182</v>
      </c>
      <c r="B139" s="8" t="s">
        <v>9</v>
      </c>
      <c r="C139" s="10">
        <v>301378</v>
      </c>
      <c r="D139" s="8" t="s">
        <v>412</v>
      </c>
      <c r="E139" s="8" t="s">
        <v>1986</v>
      </c>
      <c r="F139" s="8" t="s">
        <v>1952</v>
      </c>
      <c r="G139" s="8" t="s">
        <v>9</v>
      </c>
      <c r="H139" s="8" t="s">
        <v>352</v>
      </c>
      <c r="I139" s="8" t="s">
        <v>1973</v>
      </c>
      <c r="J139" s="8" t="s">
        <v>2144</v>
      </c>
      <c r="K139" s="8" t="s">
        <v>384</v>
      </c>
      <c r="L139" s="8" t="s">
        <v>2163</v>
      </c>
      <c r="M139" s="10">
        <v>0</v>
      </c>
      <c r="N139" s="8" t="s">
        <v>2119</v>
      </c>
      <c r="O139" s="8" t="s">
        <v>9</v>
      </c>
      <c r="P139" s="8" t="s">
        <v>1955</v>
      </c>
      <c r="Q139" s="8" t="s">
        <v>1956</v>
      </c>
      <c r="R139" s="8" t="s">
        <v>1956</v>
      </c>
      <c r="S139" s="8" t="s">
        <v>356</v>
      </c>
      <c r="T139" s="8" t="s">
        <v>1172</v>
      </c>
      <c r="U139" s="8" t="s">
        <v>1957</v>
      </c>
      <c r="V139" s="8" t="s">
        <v>283</v>
      </c>
      <c r="W139" s="8" t="s">
        <v>1958</v>
      </c>
      <c r="X139" s="8" t="s">
        <v>355</v>
      </c>
      <c r="Y139" s="8" t="s">
        <v>112</v>
      </c>
      <c r="Z139" s="8" t="s">
        <v>1959</v>
      </c>
    </row>
    <row r="140" spans="1:26" ht="36" x14ac:dyDescent="0.3">
      <c r="A140" s="8" t="s">
        <v>2183</v>
      </c>
      <c r="B140" s="8" t="s">
        <v>9</v>
      </c>
      <c r="C140" s="10">
        <v>301378</v>
      </c>
      <c r="D140" s="8" t="s">
        <v>412</v>
      </c>
      <c r="E140" s="8" t="s">
        <v>1986</v>
      </c>
      <c r="F140" s="8" t="s">
        <v>1952</v>
      </c>
      <c r="G140" s="8" t="s">
        <v>9</v>
      </c>
      <c r="H140" s="8" t="s">
        <v>352</v>
      </c>
      <c r="I140" s="8" t="s">
        <v>1973</v>
      </c>
      <c r="J140" s="8" t="s">
        <v>2144</v>
      </c>
      <c r="K140" s="8" t="s">
        <v>384</v>
      </c>
      <c r="L140" s="8" t="s">
        <v>2165</v>
      </c>
      <c r="M140" s="10">
        <v>0</v>
      </c>
      <c r="N140" s="8" t="s">
        <v>832</v>
      </c>
      <c r="O140" s="8" t="s">
        <v>9</v>
      </c>
      <c r="P140" s="8" t="s">
        <v>1955</v>
      </c>
      <c r="Q140" s="8" t="s">
        <v>1956</v>
      </c>
      <c r="R140" s="8" t="s">
        <v>1956</v>
      </c>
      <c r="S140" s="8" t="s">
        <v>356</v>
      </c>
      <c r="T140" s="8" t="s">
        <v>1172</v>
      </c>
      <c r="U140" s="8" t="s">
        <v>1957</v>
      </c>
      <c r="V140" s="8" t="s">
        <v>283</v>
      </c>
      <c r="W140" s="8" t="s">
        <v>1958</v>
      </c>
      <c r="X140" s="8" t="s">
        <v>355</v>
      </c>
      <c r="Y140" s="8" t="s">
        <v>112</v>
      </c>
      <c r="Z140" s="8" t="s">
        <v>1959</v>
      </c>
    </row>
    <row r="141" spans="1:26" ht="48" x14ac:dyDescent="0.3">
      <c r="A141" s="8" t="s">
        <v>2184</v>
      </c>
      <c r="B141" s="8" t="s">
        <v>9</v>
      </c>
      <c r="C141" s="10">
        <v>277464</v>
      </c>
      <c r="D141" s="8" t="s">
        <v>414</v>
      </c>
      <c r="E141" s="8" t="s">
        <v>1986</v>
      </c>
      <c r="F141" s="8" t="s">
        <v>1952</v>
      </c>
      <c r="G141" s="8" t="s">
        <v>9</v>
      </c>
      <c r="H141" s="8" t="s">
        <v>352</v>
      </c>
      <c r="I141" s="8" t="s">
        <v>1729</v>
      </c>
      <c r="J141" s="8" t="s">
        <v>2185</v>
      </c>
      <c r="K141" s="8" t="s">
        <v>384</v>
      </c>
      <c r="L141" s="8" t="s">
        <v>2186</v>
      </c>
      <c r="M141" s="10">
        <v>0</v>
      </c>
      <c r="N141" s="8" t="s">
        <v>590</v>
      </c>
      <c r="O141" s="8" t="s">
        <v>9</v>
      </c>
      <c r="P141" s="8" t="s">
        <v>1955</v>
      </c>
      <c r="Q141" s="8" t="s">
        <v>1956</v>
      </c>
      <c r="R141" s="8" t="s">
        <v>1956</v>
      </c>
      <c r="S141" s="8" t="s">
        <v>356</v>
      </c>
      <c r="T141" s="8" t="s">
        <v>1172</v>
      </c>
      <c r="U141" s="8" t="s">
        <v>1957</v>
      </c>
      <c r="V141" s="8" t="s">
        <v>283</v>
      </c>
      <c r="W141" s="8" t="s">
        <v>1958</v>
      </c>
      <c r="X141" s="8" t="s">
        <v>355</v>
      </c>
      <c r="Y141" s="8" t="s">
        <v>112</v>
      </c>
      <c r="Z141" s="8" t="s">
        <v>1970</v>
      </c>
    </row>
    <row r="142" spans="1:26" ht="48" x14ac:dyDescent="0.3">
      <c r="A142" s="8" t="s">
        <v>2187</v>
      </c>
      <c r="B142" s="8" t="s">
        <v>9</v>
      </c>
      <c r="C142" s="10">
        <v>277464</v>
      </c>
      <c r="D142" s="8" t="s">
        <v>414</v>
      </c>
      <c r="E142" s="8" t="s">
        <v>1986</v>
      </c>
      <c r="F142" s="8" t="s">
        <v>1952</v>
      </c>
      <c r="G142" s="8" t="s">
        <v>9</v>
      </c>
      <c r="H142" s="8" t="s">
        <v>352</v>
      </c>
      <c r="I142" s="8" t="s">
        <v>1729</v>
      </c>
      <c r="J142" s="8" t="s">
        <v>2185</v>
      </c>
      <c r="K142" s="8" t="s">
        <v>384</v>
      </c>
      <c r="L142" s="8" t="s">
        <v>605</v>
      </c>
      <c r="M142" s="10">
        <v>0</v>
      </c>
      <c r="N142" s="8" t="s">
        <v>355</v>
      </c>
      <c r="O142" s="8" t="s">
        <v>9</v>
      </c>
      <c r="P142" s="8" t="s">
        <v>1955</v>
      </c>
      <c r="Q142" s="8" t="s">
        <v>1956</v>
      </c>
      <c r="R142" s="8" t="s">
        <v>1956</v>
      </c>
      <c r="S142" s="8" t="s">
        <v>356</v>
      </c>
      <c r="T142" s="8" t="s">
        <v>1172</v>
      </c>
      <c r="U142" s="8" t="s">
        <v>1957</v>
      </c>
      <c r="V142" s="8" t="s">
        <v>283</v>
      </c>
      <c r="W142" s="8" t="s">
        <v>1958</v>
      </c>
      <c r="X142" s="8" t="s">
        <v>355</v>
      </c>
      <c r="Y142" s="8" t="s">
        <v>112</v>
      </c>
      <c r="Z142" s="8" t="s">
        <v>1970</v>
      </c>
    </row>
    <row r="143" spans="1:26" ht="48" x14ac:dyDescent="0.3">
      <c r="A143" s="8" t="s">
        <v>2188</v>
      </c>
      <c r="B143" s="8" t="s">
        <v>9</v>
      </c>
      <c r="C143" s="10">
        <v>277464</v>
      </c>
      <c r="D143" s="8" t="s">
        <v>414</v>
      </c>
      <c r="E143" s="8" t="s">
        <v>1986</v>
      </c>
      <c r="F143" s="8" t="s">
        <v>1952</v>
      </c>
      <c r="G143" s="8" t="s">
        <v>9</v>
      </c>
      <c r="H143" s="8" t="s">
        <v>352</v>
      </c>
      <c r="I143" s="8" t="s">
        <v>1729</v>
      </c>
      <c r="J143" s="8" t="s">
        <v>2185</v>
      </c>
      <c r="K143" s="8" t="s">
        <v>384</v>
      </c>
      <c r="L143" s="8" t="s">
        <v>2189</v>
      </c>
      <c r="M143" s="10">
        <v>0</v>
      </c>
      <c r="N143" s="8" t="s">
        <v>355</v>
      </c>
      <c r="O143" s="8" t="s">
        <v>9</v>
      </c>
      <c r="P143" s="8" t="s">
        <v>1955</v>
      </c>
      <c r="Q143" s="8" t="s">
        <v>1956</v>
      </c>
      <c r="R143" s="8" t="s">
        <v>1956</v>
      </c>
      <c r="S143" s="8" t="s">
        <v>356</v>
      </c>
      <c r="T143" s="8" t="s">
        <v>1172</v>
      </c>
      <c r="U143" s="8" t="s">
        <v>1957</v>
      </c>
      <c r="V143" s="8" t="s">
        <v>283</v>
      </c>
      <c r="W143" s="8" t="s">
        <v>1958</v>
      </c>
      <c r="X143" s="8" t="s">
        <v>355</v>
      </c>
      <c r="Y143" s="8" t="s">
        <v>112</v>
      </c>
      <c r="Z143" s="8" t="s">
        <v>1970</v>
      </c>
    </row>
    <row r="144" spans="1:26" ht="48" x14ac:dyDescent="0.3">
      <c r="A144" s="8" t="s">
        <v>2190</v>
      </c>
      <c r="B144" s="8" t="s">
        <v>9</v>
      </c>
      <c r="C144" s="10">
        <v>277464</v>
      </c>
      <c r="D144" s="8" t="s">
        <v>414</v>
      </c>
      <c r="E144" s="8" t="s">
        <v>1986</v>
      </c>
      <c r="F144" s="8" t="s">
        <v>1952</v>
      </c>
      <c r="G144" s="8" t="s">
        <v>9</v>
      </c>
      <c r="H144" s="8" t="s">
        <v>352</v>
      </c>
      <c r="I144" s="8" t="s">
        <v>1973</v>
      </c>
      <c r="J144" s="8" t="s">
        <v>2185</v>
      </c>
      <c r="K144" s="8" t="s">
        <v>384</v>
      </c>
      <c r="L144" s="8" t="s">
        <v>2186</v>
      </c>
      <c r="M144" s="10">
        <v>0</v>
      </c>
      <c r="N144" s="8" t="s">
        <v>355</v>
      </c>
      <c r="O144" s="8" t="s">
        <v>9</v>
      </c>
      <c r="P144" s="8" t="s">
        <v>1955</v>
      </c>
      <c r="Q144" s="8" t="s">
        <v>1956</v>
      </c>
      <c r="R144" s="8" t="s">
        <v>1956</v>
      </c>
      <c r="S144" s="8" t="s">
        <v>356</v>
      </c>
      <c r="T144" s="8" t="s">
        <v>1172</v>
      </c>
      <c r="U144" s="8" t="s">
        <v>1957</v>
      </c>
      <c r="V144" s="8" t="s">
        <v>283</v>
      </c>
      <c r="W144" s="8" t="s">
        <v>1958</v>
      </c>
      <c r="X144" s="8" t="s">
        <v>355</v>
      </c>
      <c r="Y144" s="8" t="s">
        <v>112</v>
      </c>
      <c r="Z144" s="8" t="s">
        <v>1970</v>
      </c>
    </row>
    <row r="145" spans="1:26" ht="48" x14ac:dyDescent="0.3">
      <c r="A145" s="8" t="s">
        <v>2191</v>
      </c>
      <c r="B145" s="8" t="s">
        <v>9</v>
      </c>
      <c r="C145" s="10">
        <v>277464</v>
      </c>
      <c r="D145" s="8" t="s">
        <v>414</v>
      </c>
      <c r="E145" s="8" t="s">
        <v>1986</v>
      </c>
      <c r="F145" s="8" t="s">
        <v>1952</v>
      </c>
      <c r="G145" s="8" t="s">
        <v>9</v>
      </c>
      <c r="H145" s="8" t="s">
        <v>352</v>
      </c>
      <c r="I145" s="8" t="s">
        <v>1973</v>
      </c>
      <c r="J145" s="8" t="s">
        <v>2185</v>
      </c>
      <c r="K145" s="8" t="s">
        <v>384</v>
      </c>
      <c r="L145" s="8" t="s">
        <v>605</v>
      </c>
      <c r="M145" s="10">
        <v>0</v>
      </c>
      <c r="N145" s="8" t="s">
        <v>603</v>
      </c>
      <c r="O145" s="8" t="s">
        <v>9</v>
      </c>
      <c r="P145" s="8" t="s">
        <v>1955</v>
      </c>
      <c r="Q145" s="8" t="s">
        <v>1956</v>
      </c>
      <c r="R145" s="8" t="s">
        <v>1956</v>
      </c>
      <c r="S145" s="8" t="s">
        <v>356</v>
      </c>
      <c r="T145" s="8" t="s">
        <v>1172</v>
      </c>
      <c r="U145" s="8" t="s">
        <v>1957</v>
      </c>
      <c r="V145" s="8" t="s">
        <v>283</v>
      </c>
      <c r="W145" s="8" t="s">
        <v>1958</v>
      </c>
      <c r="X145" s="8" t="s">
        <v>355</v>
      </c>
      <c r="Y145" s="8" t="s">
        <v>112</v>
      </c>
      <c r="Z145" s="8" t="s">
        <v>1970</v>
      </c>
    </row>
    <row r="146" spans="1:26" ht="48" x14ac:dyDescent="0.3">
      <c r="A146" s="8" t="s">
        <v>2192</v>
      </c>
      <c r="B146" s="8" t="s">
        <v>9</v>
      </c>
      <c r="C146" s="10">
        <v>277464</v>
      </c>
      <c r="D146" s="8" t="s">
        <v>414</v>
      </c>
      <c r="E146" s="8" t="s">
        <v>1986</v>
      </c>
      <c r="F146" s="8" t="s">
        <v>1952</v>
      </c>
      <c r="G146" s="8" t="s">
        <v>9</v>
      </c>
      <c r="H146" s="8" t="s">
        <v>352</v>
      </c>
      <c r="I146" s="8" t="s">
        <v>1973</v>
      </c>
      <c r="J146" s="8" t="s">
        <v>2185</v>
      </c>
      <c r="K146" s="8" t="s">
        <v>384</v>
      </c>
      <c r="L146" s="8" t="s">
        <v>2189</v>
      </c>
      <c r="M146" s="10">
        <v>0</v>
      </c>
      <c r="N146" s="8" t="s">
        <v>601</v>
      </c>
      <c r="O146" s="8" t="s">
        <v>9</v>
      </c>
      <c r="P146" s="8" t="s">
        <v>1955</v>
      </c>
      <c r="Q146" s="8" t="s">
        <v>1956</v>
      </c>
      <c r="R146" s="8" t="s">
        <v>1956</v>
      </c>
      <c r="S146" s="8" t="s">
        <v>356</v>
      </c>
      <c r="T146" s="8" t="s">
        <v>1172</v>
      </c>
      <c r="U146" s="8" t="s">
        <v>1957</v>
      </c>
      <c r="V146" s="8" t="s">
        <v>283</v>
      </c>
      <c r="W146" s="8" t="s">
        <v>1958</v>
      </c>
      <c r="X146" s="8" t="s">
        <v>355</v>
      </c>
      <c r="Y146" s="8" t="s">
        <v>112</v>
      </c>
      <c r="Z146" s="8" t="s">
        <v>1970</v>
      </c>
    </row>
    <row r="147" spans="1:26" ht="36" x14ac:dyDescent="0.3">
      <c r="A147" s="8" t="s">
        <v>2193</v>
      </c>
      <c r="B147" s="8" t="s">
        <v>9</v>
      </c>
      <c r="C147" s="10">
        <v>277466</v>
      </c>
      <c r="D147" s="8" t="s">
        <v>421</v>
      </c>
      <c r="E147" s="8" t="s">
        <v>2194</v>
      </c>
      <c r="F147" s="8" t="s">
        <v>1952</v>
      </c>
      <c r="G147" s="8" t="s">
        <v>9</v>
      </c>
      <c r="H147" s="8" t="s">
        <v>352</v>
      </c>
      <c r="I147" s="8" t="s">
        <v>355</v>
      </c>
      <c r="J147" s="8" t="s">
        <v>355</v>
      </c>
      <c r="K147" s="8" t="s">
        <v>355</v>
      </c>
      <c r="L147" s="8" t="s">
        <v>355</v>
      </c>
      <c r="M147" s="10" t="s">
        <v>355</v>
      </c>
      <c r="N147" s="8" t="s">
        <v>355</v>
      </c>
      <c r="O147" s="8" t="s">
        <v>9</v>
      </c>
      <c r="P147" s="8" t="s">
        <v>1956</v>
      </c>
      <c r="Q147" s="8" t="s">
        <v>1956</v>
      </c>
      <c r="R147" s="8" t="s">
        <v>1956</v>
      </c>
      <c r="S147" s="8" t="s">
        <v>356</v>
      </c>
      <c r="T147" s="8" t="s">
        <v>1956</v>
      </c>
      <c r="U147" s="8" t="s">
        <v>2195</v>
      </c>
      <c r="V147" s="8" t="s">
        <v>283</v>
      </c>
      <c r="W147" s="8" t="s">
        <v>1958</v>
      </c>
      <c r="X147" s="8" t="s">
        <v>355</v>
      </c>
      <c r="Y147" s="8" t="s">
        <v>112</v>
      </c>
      <c r="Z147" s="8" t="s">
        <v>2003</v>
      </c>
    </row>
    <row r="148" spans="1:26" ht="48" x14ac:dyDescent="0.3">
      <c r="A148" s="8" t="s">
        <v>2196</v>
      </c>
      <c r="B148" s="8" t="s">
        <v>9</v>
      </c>
      <c r="C148" s="10">
        <v>277465</v>
      </c>
      <c r="D148" s="8" t="s">
        <v>423</v>
      </c>
      <c r="E148" s="8" t="s">
        <v>1951</v>
      </c>
      <c r="F148" s="8" t="s">
        <v>1952</v>
      </c>
      <c r="G148" s="8" t="s">
        <v>9</v>
      </c>
      <c r="H148" s="8" t="s">
        <v>352</v>
      </c>
      <c r="I148" s="8" t="s">
        <v>1729</v>
      </c>
      <c r="J148" s="8" t="s">
        <v>2197</v>
      </c>
      <c r="K148" s="8" t="s">
        <v>384</v>
      </c>
      <c r="L148" s="8" t="s">
        <v>2186</v>
      </c>
      <c r="M148" s="10">
        <v>0</v>
      </c>
      <c r="N148" s="8" t="s">
        <v>590</v>
      </c>
      <c r="O148" s="8" t="s">
        <v>9</v>
      </c>
      <c r="P148" s="8" t="s">
        <v>1955</v>
      </c>
      <c r="Q148" s="8" t="s">
        <v>1956</v>
      </c>
      <c r="R148" s="8" t="s">
        <v>1956</v>
      </c>
      <c r="S148" s="8" t="s">
        <v>356</v>
      </c>
      <c r="T148" s="8" t="s">
        <v>1172</v>
      </c>
      <c r="U148" s="8" t="s">
        <v>1957</v>
      </c>
      <c r="V148" s="8" t="s">
        <v>283</v>
      </c>
      <c r="W148" s="8" t="s">
        <v>1958</v>
      </c>
      <c r="X148" s="8" t="s">
        <v>355</v>
      </c>
      <c r="Y148" s="8" t="s">
        <v>112</v>
      </c>
      <c r="Z148" s="8" t="s">
        <v>1970</v>
      </c>
    </row>
    <row r="149" spans="1:26" ht="48" x14ac:dyDescent="0.3">
      <c r="A149" s="8" t="s">
        <v>2198</v>
      </c>
      <c r="B149" s="8" t="s">
        <v>9</v>
      </c>
      <c r="C149" s="10">
        <v>277465</v>
      </c>
      <c r="D149" s="8" t="s">
        <v>423</v>
      </c>
      <c r="E149" s="8" t="s">
        <v>1951</v>
      </c>
      <c r="F149" s="8" t="s">
        <v>1952</v>
      </c>
      <c r="G149" s="8" t="s">
        <v>9</v>
      </c>
      <c r="H149" s="8" t="s">
        <v>352</v>
      </c>
      <c r="I149" s="8" t="s">
        <v>1973</v>
      </c>
      <c r="J149" s="8" t="s">
        <v>2199</v>
      </c>
      <c r="K149" s="8" t="s">
        <v>384</v>
      </c>
      <c r="L149" s="8" t="s">
        <v>2186</v>
      </c>
      <c r="M149" s="10">
        <v>0</v>
      </c>
      <c r="N149" s="8" t="s">
        <v>603</v>
      </c>
      <c r="O149" s="8" t="s">
        <v>9</v>
      </c>
      <c r="P149" s="8" t="s">
        <v>1955</v>
      </c>
      <c r="Q149" s="8" t="s">
        <v>1956</v>
      </c>
      <c r="R149" s="8" t="s">
        <v>1956</v>
      </c>
      <c r="S149" s="8" t="s">
        <v>356</v>
      </c>
      <c r="T149" s="8" t="s">
        <v>1172</v>
      </c>
      <c r="U149" s="8" t="s">
        <v>1957</v>
      </c>
      <c r="V149" s="8" t="s">
        <v>283</v>
      </c>
      <c r="W149" s="8" t="s">
        <v>1958</v>
      </c>
      <c r="X149" s="8" t="s">
        <v>355</v>
      </c>
      <c r="Y149" s="8" t="s">
        <v>112</v>
      </c>
      <c r="Z149" s="8" t="s">
        <v>1970</v>
      </c>
    </row>
    <row r="150" spans="1:26" ht="24" x14ac:dyDescent="0.3">
      <c r="A150" s="8" t="s">
        <v>2200</v>
      </c>
      <c r="B150" s="8" t="s">
        <v>9</v>
      </c>
      <c r="C150" s="10">
        <v>313102</v>
      </c>
      <c r="D150" s="8" t="s">
        <v>425</v>
      </c>
      <c r="E150" s="8" t="s">
        <v>1986</v>
      </c>
      <c r="F150" s="8" t="s">
        <v>1952</v>
      </c>
      <c r="G150" s="8" t="s">
        <v>9</v>
      </c>
      <c r="H150" s="8" t="s">
        <v>352</v>
      </c>
      <c r="I150" s="8" t="s">
        <v>1729</v>
      </c>
      <c r="J150" s="8" t="s">
        <v>2201</v>
      </c>
      <c r="K150" s="8" t="s">
        <v>384</v>
      </c>
      <c r="L150" s="8" t="s">
        <v>2202</v>
      </c>
      <c r="M150" s="10">
        <v>0</v>
      </c>
      <c r="N150" s="8" t="s">
        <v>606</v>
      </c>
      <c r="O150" s="8" t="s">
        <v>9</v>
      </c>
      <c r="P150" s="8" t="s">
        <v>1956</v>
      </c>
      <c r="Q150" s="8" t="s">
        <v>1956</v>
      </c>
      <c r="R150" s="8" t="s">
        <v>1956</v>
      </c>
      <c r="S150" s="8" t="s">
        <v>356</v>
      </c>
      <c r="T150" s="8" t="s">
        <v>1172</v>
      </c>
      <c r="U150" s="8" t="s">
        <v>1957</v>
      </c>
      <c r="V150" s="8" t="s">
        <v>283</v>
      </c>
      <c r="W150" s="8" t="s">
        <v>1958</v>
      </c>
      <c r="X150" s="8" t="s">
        <v>355</v>
      </c>
      <c r="Y150" s="8" t="s">
        <v>112</v>
      </c>
      <c r="Z150" s="8" t="s">
        <v>1988</v>
      </c>
    </row>
    <row r="151" spans="1:26" ht="24" x14ac:dyDescent="0.3">
      <c r="A151" s="8" t="s">
        <v>2203</v>
      </c>
      <c r="B151" s="8" t="s">
        <v>9</v>
      </c>
      <c r="C151" s="10">
        <v>313102</v>
      </c>
      <c r="D151" s="8" t="s">
        <v>425</v>
      </c>
      <c r="E151" s="8" t="s">
        <v>1986</v>
      </c>
      <c r="F151" s="8" t="s">
        <v>1952</v>
      </c>
      <c r="G151" s="8" t="s">
        <v>9</v>
      </c>
      <c r="H151" s="8" t="s">
        <v>352</v>
      </c>
      <c r="I151" s="8" t="s">
        <v>1973</v>
      </c>
      <c r="J151" s="8" t="s">
        <v>2201</v>
      </c>
      <c r="K151" s="8" t="s">
        <v>384</v>
      </c>
      <c r="L151" s="8" t="s">
        <v>2202</v>
      </c>
      <c r="M151" s="10">
        <v>0</v>
      </c>
      <c r="N151" s="8" t="s">
        <v>606</v>
      </c>
      <c r="O151" s="8" t="s">
        <v>9</v>
      </c>
      <c r="P151" s="8" t="s">
        <v>1956</v>
      </c>
      <c r="Q151" s="8" t="s">
        <v>1956</v>
      </c>
      <c r="R151" s="8" t="s">
        <v>1956</v>
      </c>
      <c r="S151" s="8" t="s">
        <v>356</v>
      </c>
      <c r="T151" s="8" t="s">
        <v>1172</v>
      </c>
      <c r="U151" s="8" t="s">
        <v>1957</v>
      </c>
      <c r="V151" s="8" t="s">
        <v>283</v>
      </c>
      <c r="W151" s="8" t="s">
        <v>1958</v>
      </c>
      <c r="X151" s="8" t="s">
        <v>355</v>
      </c>
      <c r="Y151" s="8" t="s">
        <v>112</v>
      </c>
      <c r="Z151" s="8" t="s">
        <v>1988</v>
      </c>
    </row>
    <row r="152" spans="1:26" ht="19.95" customHeight="1" x14ac:dyDescent="0.3">
      <c r="A152" s="8" t="s">
        <v>2204</v>
      </c>
      <c r="B152" s="8" t="s">
        <v>9</v>
      </c>
      <c r="C152" s="10">
        <v>292739</v>
      </c>
      <c r="D152" s="8" t="s">
        <v>143</v>
      </c>
      <c r="E152" s="8" t="s">
        <v>1951</v>
      </c>
      <c r="F152" s="8" t="s">
        <v>1966</v>
      </c>
      <c r="G152" s="8" t="s">
        <v>9</v>
      </c>
      <c r="H152" s="8" t="s">
        <v>352</v>
      </c>
      <c r="I152" s="8" t="s">
        <v>1729</v>
      </c>
      <c r="J152" s="8" t="s">
        <v>2205</v>
      </c>
      <c r="K152" s="8" t="s">
        <v>357</v>
      </c>
      <c r="L152" s="8" t="s">
        <v>740</v>
      </c>
      <c r="M152" s="10">
        <v>807069</v>
      </c>
      <c r="N152" s="8" t="s">
        <v>741</v>
      </c>
      <c r="O152" s="8" t="s">
        <v>9</v>
      </c>
      <c r="P152" s="8" t="s">
        <v>2038</v>
      </c>
      <c r="Q152" s="8" t="s">
        <v>1956</v>
      </c>
      <c r="R152" s="8" t="s">
        <v>1956</v>
      </c>
      <c r="S152" s="8" t="s">
        <v>356</v>
      </c>
      <c r="T152" s="8" t="s">
        <v>1172</v>
      </c>
      <c r="U152" s="8" t="s">
        <v>1968</v>
      </c>
      <c r="V152" s="8" t="s">
        <v>1172</v>
      </c>
      <c r="W152" s="8" t="s">
        <v>1969</v>
      </c>
      <c r="X152" s="8" t="s">
        <v>1781</v>
      </c>
      <c r="Y152" s="8" t="s">
        <v>112</v>
      </c>
      <c r="Z152" s="8" t="s">
        <v>1959</v>
      </c>
    </row>
    <row r="153" spans="1:26" ht="72" x14ac:dyDescent="0.3">
      <c r="A153" s="8" t="s">
        <v>2206</v>
      </c>
      <c r="B153" s="8" t="s">
        <v>9</v>
      </c>
      <c r="C153" s="10">
        <v>292589</v>
      </c>
      <c r="D153" s="8" t="s">
        <v>145</v>
      </c>
      <c r="E153" s="8" t="s">
        <v>1986</v>
      </c>
      <c r="F153" s="8" t="s">
        <v>1966</v>
      </c>
      <c r="G153" s="8" t="s">
        <v>9</v>
      </c>
      <c r="H153" s="8" t="s">
        <v>352</v>
      </c>
      <c r="I153" s="8" t="s">
        <v>1729</v>
      </c>
      <c r="J153" s="8" t="s">
        <v>2207</v>
      </c>
      <c r="K153" s="8" t="s">
        <v>384</v>
      </c>
      <c r="L153" s="8" t="s">
        <v>743</v>
      </c>
      <c r="M153" s="10">
        <v>0</v>
      </c>
      <c r="N153" s="8" t="s">
        <v>671</v>
      </c>
      <c r="O153" s="8" t="s">
        <v>9</v>
      </c>
      <c r="P153" s="8" t="s">
        <v>1955</v>
      </c>
      <c r="Q153" s="8" t="s">
        <v>1172</v>
      </c>
      <c r="R153" s="8" t="s">
        <v>1956</v>
      </c>
      <c r="S153" s="8" t="s">
        <v>356</v>
      </c>
      <c r="T153" s="8" t="s">
        <v>1172</v>
      </c>
      <c r="U153" s="8" t="s">
        <v>1968</v>
      </c>
      <c r="V153" s="8" t="s">
        <v>1172</v>
      </c>
      <c r="W153" s="8" t="s">
        <v>1969</v>
      </c>
      <c r="X153" s="8" t="s">
        <v>1789</v>
      </c>
      <c r="Y153" s="8" t="s">
        <v>112</v>
      </c>
      <c r="Z153" s="8" t="s">
        <v>1959</v>
      </c>
    </row>
    <row r="154" spans="1:26" ht="72" x14ac:dyDescent="0.3">
      <c r="A154" s="8" t="s">
        <v>2208</v>
      </c>
      <c r="B154" s="8" t="s">
        <v>9</v>
      </c>
      <c r="C154" s="10">
        <v>292589</v>
      </c>
      <c r="D154" s="8" t="s">
        <v>145</v>
      </c>
      <c r="E154" s="8" t="s">
        <v>1986</v>
      </c>
      <c r="F154" s="8" t="s">
        <v>1966</v>
      </c>
      <c r="G154" s="8" t="s">
        <v>9</v>
      </c>
      <c r="H154" s="8" t="s">
        <v>352</v>
      </c>
      <c r="I154" s="8" t="s">
        <v>1973</v>
      </c>
      <c r="J154" s="8" t="s">
        <v>2207</v>
      </c>
      <c r="K154" s="8" t="s">
        <v>384</v>
      </c>
      <c r="L154" s="8" t="s">
        <v>743</v>
      </c>
      <c r="M154" s="10">
        <v>0</v>
      </c>
      <c r="N154" s="8" t="s">
        <v>745</v>
      </c>
      <c r="O154" s="8" t="s">
        <v>9</v>
      </c>
      <c r="P154" s="8" t="s">
        <v>1955</v>
      </c>
      <c r="Q154" s="8" t="s">
        <v>1172</v>
      </c>
      <c r="R154" s="8" t="s">
        <v>1956</v>
      </c>
      <c r="S154" s="8" t="s">
        <v>356</v>
      </c>
      <c r="T154" s="8" t="s">
        <v>1172</v>
      </c>
      <c r="U154" s="8" t="s">
        <v>1968</v>
      </c>
      <c r="V154" s="8" t="s">
        <v>1172</v>
      </c>
      <c r="W154" s="8" t="s">
        <v>1969</v>
      </c>
      <c r="X154" s="8" t="s">
        <v>1789</v>
      </c>
      <c r="Y154" s="8" t="s">
        <v>112</v>
      </c>
      <c r="Z154" s="8" t="s">
        <v>1959</v>
      </c>
    </row>
    <row r="155" spans="1:26" ht="19.95" customHeight="1" x14ac:dyDescent="0.3">
      <c r="A155" s="8" t="s">
        <v>2209</v>
      </c>
      <c r="B155" s="8" t="s">
        <v>9</v>
      </c>
      <c r="C155" s="10">
        <v>245616</v>
      </c>
      <c r="D155" s="8" t="s">
        <v>147</v>
      </c>
      <c r="E155" s="8" t="s">
        <v>1986</v>
      </c>
      <c r="F155" s="8" t="s">
        <v>1966</v>
      </c>
      <c r="G155" s="8" t="s">
        <v>9</v>
      </c>
      <c r="H155" s="8" t="s">
        <v>352</v>
      </c>
      <c r="I155" s="8" t="s">
        <v>1729</v>
      </c>
      <c r="J155" s="8" t="s">
        <v>2210</v>
      </c>
      <c r="K155" s="8" t="s">
        <v>384</v>
      </c>
      <c r="L155" s="8" t="s">
        <v>747</v>
      </c>
      <c r="M155" s="10">
        <v>0</v>
      </c>
      <c r="N155" s="8" t="s">
        <v>590</v>
      </c>
      <c r="O155" s="8" t="s">
        <v>9</v>
      </c>
      <c r="P155" s="8" t="s">
        <v>1955</v>
      </c>
      <c r="Q155" s="8" t="s">
        <v>1956</v>
      </c>
      <c r="R155" s="8" t="s">
        <v>1956</v>
      </c>
      <c r="S155" s="8" t="s">
        <v>356</v>
      </c>
      <c r="T155" s="8" t="s">
        <v>1172</v>
      </c>
      <c r="U155" s="8" t="s">
        <v>1968</v>
      </c>
      <c r="V155" s="8" t="s">
        <v>1172</v>
      </c>
      <c r="W155" s="8" t="s">
        <v>1969</v>
      </c>
      <c r="X155" s="8" t="s">
        <v>1795</v>
      </c>
      <c r="Y155" s="8" t="s">
        <v>112</v>
      </c>
      <c r="Z155" s="8" t="s">
        <v>1959</v>
      </c>
    </row>
    <row r="156" spans="1:26" ht="19.95" customHeight="1" x14ac:dyDescent="0.3">
      <c r="A156" s="8" t="s">
        <v>2211</v>
      </c>
      <c r="B156" s="8" t="s">
        <v>9</v>
      </c>
      <c r="C156" s="10">
        <v>245616</v>
      </c>
      <c r="D156" s="8" t="s">
        <v>147</v>
      </c>
      <c r="E156" s="8" t="s">
        <v>1986</v>
      </c>
      <c r="F156" s="8" t="s">
        <v>1966</v>
      </c>
      <c r="G156" s="8" t="s">
        <v>9</v>
      </c>
      <c r="H156" s="8" t="s">
        <v>352</v>
      </c>
      <c r="I156" s="8" t="s">
        <v>1973</v>
      </c>
      <c r="J156" s="8" t="s">
        <v>2210</v>
      </c>
      <c r="K156" s="8" t="s">
        <v>384</v>
      </c>
      <c r="L156" s="8" t="s">
        <v>747</v>
      </c>
      <c r="M156" s="10">
        <v>0</v>
      </c>
      <c r="N156" s="8" t="s">
        <v>603</v>
      </c>
      <c r="O156" s="8" t="s">
        <v>9</v>
      </c>
      <c r="P156" s="8" t="s">
        <v>1955</v>
      </c>
      <c r="Q156" s="8" t="s">
        <v>1956</v>
      </c>
      <c r="R156" s="8" t="s">
        <v>1956</v>
      </c>
      <c r="S156" s="8" t="s">
        <v>356</v>
      </c>
      <c r="T156" s="8" t="s">
        <v>1172</v>
      </c>
      <c r="U156" s="8" t="s">
        <v>1968</v>
      </c>
      <c r="V156" s="8" t="s">
        <v>1172</v>
      </c>
      <c r="W156" s="8" t="s">
        <v>1969</v>
      </c>
      <c r="X156" s="8" t="s">
        <v>1795</v>
      </c>
      <c r="Y156" s="8" t="s">
        <v>112</v>
      </c>
      <c r="Z156" s="8" t="s">
        <v>1959</v>
      </c>
    </row>
    <row r="157" spans="1:26" ht="60" x14ac:dyDescent="0.3">
      <c r="A157" s="8" t="s">
        <v>2212</v>
      </c>
      <c r="B157" s="8" t="s">
        <v>9</v>
      </c>
      <c r="C157" s="10">
        <v>258825</v>
      </c>
      <c r="D157" s="8" t="s">
        <v>149</v>
      </c>
      <c r="E157" s="8" t="s">
        <v>1986</v>
      </c>
      <c r="F157" s="8" t="s">
        <v>1966</v>
      </c>
      <c r="G157" s="8" t="s">
        <v>9</v>
      </c>
      <c r="H157" s="8" t="s">
        <v>352</v>
      </c>
      <c r="I157" s="8" t="s">
        <v>1729</v>
      </c>
      <c r="J157" s="8" t="s">
        <v>2213</v>
      </c>
      <c r="K157" s="8" t="s">
        <v>384</v>
      </c>
      <c r="L157" s="8" t="s">
        <v>750</v>
      </c>
      <c r="M157" s="10">
        <v>0</v>
      </c>
      <c r="N157" s="8" t="s">
        <v>590</v>
      </c>
      <c r="O157" s="8" t="s">
        <v>9</v>
      </c>
      <c r="P157" s="8" t="s">
        <v>1955</v>
      </c>
      <c r="Q157" s="8" t="s">
        <v>1956</v>
      </c>
      <c r="R157" s="8" t="s">
        <v>1956</v>
      </c>
      <c r="S157" s="8" t="s">
        <v>356</v>
      </c>
      <c r="T157" s="8" t="s">
        <v>1172</v>
      </c>
      <c r="U157" s="8" t="s">
        <v>1968</v>
      </c>
      <c r="V157" s="8" t="s">
        <v>1172</v>
      </c>
      <c r="W157" s="8" t="s">
        <v>1969</v>
      </c>
      <c r="X157" s="8" t="s">
        <v>1800</v>
      </c>
      <c r="Y157" s="8" t="s">
        <v>112</v>
      </c>
      <c r="Z157" s="8" t="s">
        <v>1959</v>
      </c>
    </row>
    <row r="158" spans="1:26" ht="60" x14ac:dyDescent="0.3">
      <c r="A158" s="8" t="s">
        <v>2214</v>
      </c>
      <c r="B158" s="8" t="s">
        <v>9</v>
      </c>
      <c r="C158" s="10">
        <v>258825</v>
      </c>
      <c r="D158" s="8" t="s">
        <v>149</v>
      </c>
      <c r="E158" s="8" t="s">
        <v>1986</v>
      </c>
      <c r="F158" s="8" t="s">
        <v>1966</v>
      </c>
      <c r="G158" s="8" t="s">
        <v>9</v>
      </c>
      <c r="H158" s="8" t="s">
        <v>352</v>
      </c>
      <c r="I158" s="8" t="s">
        <v>1729</v>
      </c>
      <c r="J158" s="8" t="s">
        <v>2213</v>
      </c>
      <c r="K158" s="8" t="s">
        <v>384</v>
      </c>
      <c r="L158" s="8" t="s">
        <v>752</v>
      </c>
      <c r="M158" s="10">
        <v>0</v>
      </c>
      <c r="N158" s="8" t="s">
        <v>603</v>
      </c>
      <c r="O158" s="8" t="s">
        <v>9</v>
      </c>
      <c r="P158" s="8" t="s">
        <v>1955</v>
      </c>
      <c r="Q158" s="8" t="s">
        <v>1956</v>
      </c>
      <c r="R158" s="8" t="s">
        <v>1956</v>
      </c>
      <c r="S158" s="8" t="s">
        <v>356</v>
      </c>
      <c r="T158" s="8" t="s">
        <v>1172</v>
      </c>
      <c r="U158" s="8" t="s">
        <v>1968</v>
      </c>
      <c r="V158" s="8" t="s">
        <v>1172</v>
      </c>
      <c r="W158" s="8" t="s">
        <v>1969</v>
      </c>
      <c r="X158" s="8" t="s">
        <v>1800</v>
      </c>
      <c r="Y158" s="8" t="s">
        <v>112</v>
      </c>
      <c r="Z158" s="8" t="s">
        <v>1959</v>
      </c>
    </row>
    <row r="159" spans="1:26" ht="48" x14ac:dyDescent="0.3">
      <c r="A159" s="8" t="s">
        <v>2215</v>
      </c>
      <c r="B159" s="8" t="s">
        <v>9</v>
      </c>
      <c r="C159" s="10">
        <v>258825</v>
      </c>
      <c r="D159" s="8" t="s">
        <v>149</v>
      </c>
      <c r="E159" s="8" t="s">
        <v>1986</v>
      </c>
      <c r="F159" s="8" t="s">
        <v>1966</v>
      </c>
      <c r="G159" s="8" t="s">
        <v>9</v>
      </c>
      <c r="H159" s="8" t="s">
        <v>352</v>
      </c>
      <c r="I159" s="8" t="s">
        <v>1729</v>
      </c>
      <c r="J159" s="8" t="s">
        <v>2213</v>
      </c>
      <c r="K159" s="8" t="s">
        <v>384</v>
      </c>
      <c r="L159" s="8" t="s">
        <v>754</v>
      </c>
      <c r="M159" s="10">
        <v>0</v>
      </c>
      <c r="N159" s="8" t="s">
        <v>601</v>
      </c>
      <c r="O159" s="8" t="s">
        <v>9</v>
      </c>
      <c r="P159" s="8" t="s">
        <v>1955</v>
      </c>
      <c r="Q159" s="8" t="s">
        <v>1956</v>
      </c>
      <c r="R159" s="8" t="s">
        <v>1956</v>
      </c>
      <c r="S159" s="8" t="s">
        <v>356</v>
      </c>
      <c r="T159" s="8" t="s">
        <v>1172</v>
      </c>
      <c r="U159" s="8" t="s">
        <v>1968</v>
      </c>
      <c r="V159" s="8" t="s">
        <v>1172</v>
      </c>
      <c r="W159" s="8" t="s">
        <v>1969</v>
      </c>
      <c r="X159" s="8" t="s">
        <v>1800</v>
      </c>
      <c r="Y159" s="8" t="s">
        <v>112</v>
      </c>
      <c r="Z159" s="8" t="s">
        <v>1959</v>
      </c>
    </row>
    <row r="160" spans="1:26" ht="60" x14ac:dyDescent="0.3">
      <c r="A160" s="8" t="s">
        <v>2216</v>
      </c>
      <c r="B160" s="8" t="s">
        <v>9</v>
      </c>
      <c r="C160" s="10">
        <v>258825</v>
      </c>
      <c r="D160" s="8" t="s">
        <v>149</v>
      </c>
      <c r="E160" s="8" t="s">
        <v>1986</v>
      </c>
      <c r="F160" s="8" t="s">
        <v>1966</v>
      </c>
      <c r="G160" s="8" t="s">
        <v>9</v>
      </c>
      <c r="H160" s="8" t="s">
        <v>352</v>
      </c>
      <c r="I160" s="8" t="s">
        <v>1729</v>
      </c>
      <c r="J160" s="8" t="s">
        <v>2213</v>
      </c>
      <c r="K160" s="8" t="s">
        <v>384</v>
      </c>
      <c r="L160" s="8" t="s">
        <v>756</v>
      </c>
      <c r="M160" s="10">
        <v>0</v>
      </c>
      <c r="N160" s="8" t="s">
        <v>355</v>
      </c>
      <c r="O160" s="8" t="s">
        <v>9</v>
      </c>
      <c r="P160" s="8" t="s">
        <v>1955</v>
      </c>
      <c r="Q160" s="8" t="s">
        <v>1956</v>
      </c>
      <c r="R160" s="8" t="s">
        <v>1956</v>
      </c>
      <c r="S160" s="8" t="s">
        <v>356</v>
      </c>
      <c r="T160" s="8" t="s">
        <v>1172</v>
      </c>
      <c r="U160" s="8" t="s">
        <v>1968</v>
      </c>
      <c r="V160" s="8" t="s">
        <v>1172</v>
      </c>
      <c r="W160" s="8" t="s">
        <v>1969</v>
      </c>
      <c r="X160" s="8" t="s">
        <v>1800</v>
      </c>
      <c r="Y160" s="8" t="s">
        <v>112</v>
      </c>
      <c r="Z160" s="8" t="s">
        <v>1959</v>
      </c>
    </row>
    <row r="161" spans="1:26" ht="60" x14ac:dyDescent="0.3">
      <c r="A161" s="8" t="s">
        <v>2217</v>
      </c>
      <c r="B161" s="8" t="s">
        <v>9</v>
      </c>
      <c r="C161" s="10">
        <v>258825</v>
      </c>
      <c r="D161" s="8" t="s">
        <v>149</v>
      </c>
      <c r="E161" s="8" t="s">
        <v>1986</v>
      </c>
      <c r="F161" s="8" t="s">
        <v>1966</v>
      </c>
      <c r="G161" s="8" t="s">
        <v>9</v>
      </c>
      <c r="H161" s="8" t="s">
        <v>352</v>
      </c>
      <c r="I161" s="8" t="s">
        <v>1973</v>
      </c>
      <c r="J161" s="8" t="s">
        <v>2213</v>
      </c>
      <c r="K161" s="8" t="s">
        <v>384</v>
      </c>
      <c r="L161" s="8" t="s">
        <v>750</v>
      </c>
      <c r="M161" s="10">
        <v>0</v>
      </c>
      <c r="N161" s="8" t="s">
        <v>590</v>
      </c>
      <c r="O161" s="8" t="s">
        <v>9</v>
      </c>
      <c r="P161" s="8" t="s">
        <v>1955</v>
      </c>
      <c r="Q161" s="8" t="s">
        <v>1956</v>
      </c>
      <c r="R161" s="8" t="s">
        <v>1956</v>
      </c>
      <c r="S161" s="8" t="s">
        <v>356</v>
      </c>
      <c r="T161" s="8" t="s">
        <v>1172</v>
      </c>
      <c r="U161" s="8" t="s">
        <v>1968</v>
      </c>
      <c r="V161" s="8" t="s">
        <v>1172</v>
      </c>
      <c r="W161" s="8" t="s">
        <v>1969</v>
      </c>
      <c r="X161" s="8" t="s">
        <v>1800</v>
      </c>
      <c r="Y161" s="8" t="s">
        <v>112</v>
      </c>
      <c r="Z161" s="8" t="s">
        <v>1959</v>
      </c>
    </row>
    <row r="162" spans="1:26" ht="60" x14ac:dyDescent="0.3">
      <c r="A162" s="8" t="s">
        <v>2218</v>
      </c>
      <c r="B162" s="8" t="s">
        <v>9</v>
      </c>
      <c r="C162" s="10">
        <v>258825</v>
      </c>
      <c r="D162" s="8" t="s">
        <v>149</v>
      </c>
      <c r="E162" s="8" t="s">
        <v>1986</v>
      </c>
      <c r="F162" s="8" t="s">
        <v>1966</v>
      </c>
      <c r="G162" s="8" t="s">
        <v>9</v>
      </c>
      <c r="H162" s="8" t="s">
        <v>352</v>
      </c>
      <c r="I162" s="8" t="s">
        <v>1973</v>
      </c>
      <c r="J162" s="8" t="s">
        <v>2213</v>
      </c>
      <c r="K162" s="8" t="s">
        <v>384</v>
      </c>
      <c r="L162" s="8" t="s">
        <v>752</v>
      </c>
      <c r="M162" s="10">
        <v>0</v>
      </c>
      <c r="N162" s="8" t="s">
        <v>623</v>
      </c>
      <c r="O162" s="8" t="s">
        <v>9</v>
      </c>
      <c r="P162" s="8" t="s">
        <v>1955</v>
      </c>
      <c r="Q162" s="8" t="s">
        <v>1956</v>
      </c>
      <c r="R162" s="8" t="s">
        <v>1956</v>
      </c>
      <c r="S162" s="8" t="s">
        <v>356</v>
      </c>
      <c r="T162" s="8" t="s">
        <v>1172</v>
      </c>
      <c r="U162" s="8" t="s">
        <v>1968</v>
      </c>
      <c r="V162" s="8" t="s">
        <v>1172</v>
      </c>
      <c r="W162" s="8" t="s">
        <v>1969</v>
      </c>
      <c r="X162" s="8" t="s">
        <v>1800</v>
      </c>
      <c r="Y162" s="8" t="s">
        <v>112</v>
      </c>
      <c r="Z162" s="8" t="s">
        <v>1959</v>
      </c>
    </row>
    <row r="163" spans="1:26" ht="48" x14ac:dyDescent="0.3">
      <c r="A163" s="8" t="s">
        <v>2219</v>
      </c>
      <c r="B163" s="8" t="s">
        <v>9</v>
      </c>
      <c r="C163" s="10">
        <v>258825</v>
      </c>
      <c r="D163" s="8" t="s">
        <v>149</v>
      </c>
      <c r="E163" s="8" t="s">
        <v>1986</v>
      </c>
      <c r="F163" s="8" t="s">
        <v>1966</v>
      </c>
      <c r="G163" s="8" t="s">
        <v>9</v>
      </c>
      <c r="H163" s="8" t="s">
        <v>352</v>
      </c>
      <c r="I163" s="8" t="s">
        <v>1973</v>
      </c>
      <c r="J163" s="8" t="s">
        <v>2213</v>
      </c>
      <c r="K163" s="8" t="s">
        <v>384</v>
      </c>
      <c r="L163" s="8" t="s">
        <v>754</v>
      </c>
      <c r="M163" s="10">
        <v>0</v>
      </c>
      <c r="N163" s="8" t="s">
        <v>619</v>
      </c>
      <c r="O163" s="8" t="s">
        <v>9</v>
      </c>
      <c r="P163" s="8" t="s">
        <v>1955</v>
      </c>
      <c r="Q163" s="8" t="s">
        <v>1956</v>
      </c>
      <c r="R163" s="8" t="s">
        <v>1956</v>
      </c>
      <c r="S163" s="8" t="s">
        <v>356</v>
      </c>
      <c r="T163" s="8" t="s">
        <v>1172</v>
      </c>
      <c r="U163" s="8" t="s">
        <v>1968</v>
      </c>
      <c r="V163" s="8" t="s">
        <v>1172</v>
      </c>
      <c r="W163" s="8" t="s">
        <v>1969</v>
      </c>
      <c r="X163" s="8" t="s">
        <v>1800</v>
      </c>
      <c r="Y163" s="8" t="s">
        <v>112</v>
      </c>
      <c r="Z163" s="8" t="s">
        <v>1959</v>
      </c>
    </row>
    <row r="164" spans="1:26" ht="60" x14ac:dyDescent="0.3">
      <c r="A164" s="8" t="s">
        <v>2220</v>
      </c>
      <c r="B164" s="8" t="s">
        <v>9</v>
      </c>
      <c r="C164" s="10">
        <v>258825</v>
      </c>
      <c r="D164" s="8" t="s">
        <v>149</v>
      </c>
      <c r="E164" s="8" t="s">
        <v>1986</v>
      </c>
      <c r="F164" s="8" t="s">
        <v>1966</v>
      </c>
      <c r="G164" s="8" t="s">
        <v>9</v>
      </c>
      <c r="H164" s="8" t="s">
        <v>352</v>
      </c>
      <c r="I164" s="8" t="s">
        <v>1973</v>
      </c>
      <c r="J164" s="8" t="s">
        <v>2213</v>
      </c>
      <c r="K164" s="8" t="s">
        <v>384</v>
      </c>
      <c r="L164" s="8" t="s">
        <v>756</v>
      </c>
      <c r="M164" s="10">
        <v>0</v>
      </c>
      <c r="N164" s="8" t="s">
        <v>617</v>
      </c>
      <c r="O164" s="8" t="s">
        <v>9</v>
      </c>
      <c r="P164" s="8" t="s">
        <v>1955</v>
      </c>
      <c r="Q164" s="8" t="s">
        <v>1956</v>
      </c>
      <c r="R164" s="8" t="s">
        <v>1956</v>
      </c>
      <c r="S164" s="8" t="s">
        <v>356</v>
      </c>
      <c r="T164" s="8" t="s">
        <v>1172</v>
      </c>
      <c r="U164" s="8" t="s">
        <v>1968</v>
      </c>
      <c r="V164" s="8" t="s">
        <v>1172</v>
      </c>
      <c r="W164" s="8" t="s">
        <v>1969</v>
      </c>
      <c r="X164" s="8" t="s">
        <v>1800</v>
      </c>
      <c r="Y164" s="8" t="s">
        <v>112</v>
      </c>
      <c r="Z164" s="8" t="s">
        <v>1959</v>
      </c>
    </row>
    <row r="165" spans="1:26" ht="19.95" customHeight="1" x14ac:dyDescent="0.3">
      <c r="A165" s="8" t="s">
        <v>2221</v>
      </c>
      <c r="B165" s="8" t="s">
        <v>9</v>
      </c>
      <c r="C165" s="10">
        <v>280257</v>
      </c>
      <c r="D165" s="8" t="s">
        <v>151</v>
      </c>
      <c r="E165" s="8" t="s">
        <v>1951</v>
      </c>
      <c r="F165" s="8" t="s">
        <v>1966</v>
      </c>
      <c r="G165" s="8" t="s">
        <v>9</v>
      </c>
      <c r="H165" s="8" t="s">
        <v>352</v>
      </c>
      <c r="I165" s="8" t="s">
        <v>1729</v>
      </c>
      <c r="J165" s="8" t="s">
        <v>2222</v>
      </c>
      <c r="K165" s="8" t="s">
        <v>357</v>
      </c>
      <c r="L165" s="8" t="s">
        <v>762</v>
      </c>
      <c r="M165" s="10">
        <v>780575</v>
      </c>
      <c r="N165" s="8" t="s">
        <v>590</v>
      </c>
      <c r="O165" s="8" t="s">
        <v>9</v>
      </c>
      <c r="P165" s="8" t="s">
        <v>2038</v>
      </c>
      <c r="Q165" s="8" t="s">
        <v>1956</v>
      </c>
      <c r="R165" s="8" t="s">
        <v>1172</v>
      </c>
      <c r="S165" s="8" t="s">
        <v>356</v>
      </c>
      <c r="T165" s="8" t="s">
        <v>1172</v>
      </c>
      <c r="U165" s="8" t="s">
        <v>1968</v>
      </c>
      <c r="V165" s="8" t="s">
        <v>1172</v>
      </c>
      <c r="W165" s="8" t="s">
        <v>1969</v>
      </c>
      <c r="X165" s="8" t="s">
        <v>1806</v>
      </c>
      <c r="Y165" s="8" t="s">
        <v>112</v>
      </c>
      <c r="Z165" s="8" t="s">
        <v>1959</v>
      </c>
    </row>
    <row r="166" spans="1:26" ht="24" x14ac:dyDescent="0.3">
      <c r="A166" s="8" t="s">
        <v>2223</v>
      </c>
      <c r="B166" s="8" t="s">
        <v>9</v>
      </c>
      <c r="C166" s="10">
        <v>233858</v>
      </c>
      <c r="D166" s="8" t="s">
        <v>438</v>
      </c>
      <c r="E166" s="8" t="s">
        <v>1986</v>
      </c>
      <c r="F166" s="8" t="s">
        <v>1952</v>
      </c>
      <c r="G166" s="8" t="s">
        <v>9</v>
      </c>
      <c r="H166" s="8" t="s">
        <v>352</v>
      </c>
      <c r="I166" s="8" t="s">
        <v>1729</v>
      </c>
      <c r="J166" s="8" t="s">
        <v>2224</v>
      </c>
      <c r="K166" s="8" t="s">
        <v>384</v>
      </c>
      <c r="L166" s="8" t="s">
        <v>2225</v>
      </c>
      <c r="M166" s="10">
        <v>0</v>
      </c>
      <c r="N166" s="8" t="s">
        <v>355</v>
      </c>
      <c r="O166" s="8" t="s">
        <v>9</v>
      </c>
      <c r="P166" s="8" t="s">
        <v>1955</v>
      </c>
      <c r="Q166" s="8" t="s">
        <v>1956</v>
      </c>
      <c r="R166" s="8" t="s">
        <v>1956</v>
      </c>
      <c r="S166" s="8" t="s">
        <v>356</v>
      </c>
      <c r="T166" s="8" t="s">
        <v>1172</v>
      </c>
      <c r="U166" s="8" t="s">
        <v>1957</v>
      </c>
      <c r="V166" s="8" t="s">
        <v>283</v>
      </c>
      <c r="W166" s="8" t="s">
        <v>1958</v>
      </c>
      <c r="X166" s="8" t="s">
        <v>355</v>
      </c>
      <c r="Y166" s="8" t="s">
        <v>112</v>
      </c>
      <c r="Z166" s="8" t="s">
        <v>1959</v>
      </c>
    </row>
    <row r="167" spans="1:26" ht="24" x14ac:dyDescent="0.3">
      <c r="A167" s="8" t="s">
        <v>2226</v>
      </c>
      <c r="B167" s="8" t="s">
        <v>9</v>
      </c>
      <c r="C167" s="10">
        <v>233858</v>
      </c>
      <c r="D167" s="8" t="s">
        <v>438</v>
      </c>
      <c r="E167" s="8" t="s">
        <v>1986</v>
      </c>
      <c r="F167" s="8" t="s">
        <v>1952</v>
      </c>
      <c r="G167" s="8" t="s">
        <v>9</v>
      </c>
      <c r="H167" s="8" t="s">
        <v>352</v>
      </c>
      <c r="I167" s="8" t="s">
        <v>1977</v>
      </c>
      <c r="J167" s="8" t="s">
        <v>2224</v>
      </c>
      <c r="K167" s="8" t="s">
        <v>384</v>
      </c>
      <c r="L167" s="8" t="s">
        <v>2225</v>
      </c>
      <c r="M167" s="10">
        <v>0</v>
      </c>
      <c r="N167" s="8" t="s">
        <v>590</v>
      </c>
      <c r="O167" s="8" t="s">
        <v>9</v>
      </c>
      <c r="P167" s="8" t="s">
        <v>1955</v>
      </c>
      <c r="Q167" s="8" t="s">
        <v>1956</v>
      </c>
      <c r="R167" s="8" t="s">
        <v>1956</v>
      </c>
      <c r="S167" s="8" t="s">
        <v>356</v>
      </c>
      <c r="T167" s="8" t="s">
        <v>1172</v>
      </c>
      <c r="U167" s="8" t="s">
        <v>1957</v>
      </c>
      <c r="V167" s="8" t="s">
        <v>283</v>
      </c>
      <c r="W167" s="8" t="s">
        <v>1958</v>
      </c>
      <c r="X167" s="8" t="s">
        <v>355</v>
      </c>
      <c r="Y167" s="8" t="s">
        <v>112</v>
      </c>
      <c r="Z167" s="8" t="s">
        <v>1959</v>
      </c>
    </row>
    <row r="168" spans="1:26" ht="36" x14ac:dyDescent="0.3">
      <c r="A168" s="8" t="s">
        <v>2227</v>
      </c>
      <c r="B168" s="8" t="s">
        <v>9</v>
      </c>
      <c r="C168" s="10">
        <v>282266</v>
      </c>
      <c r="D168" s="8" t="s">
        <v>440</v>
      </c>
      <c r="E168" s="8" t="s">
        <v>2228</v>
      </c>
      <c r="F168" s="8" t="s">
        <v>1952</v>
      </c>
      <c r="G168" s="8" t="s">
        <v>9</v>
      </c>
      <c r="H168" s="8" t="s">
        <v>352</v>
      </c>
      <c r="I168" s="8" t="s">
        <v>355</v>
      </c>
      <c r="J168" s="8" t="s">
        <v>355</v>
      </c>
      <c r="K168" s="8" t="s">
        <v>355</v>
      </c>
      <c r="L168" s="8" t="s">
        <v>355</v>
      </c>
      <c r="M168" s="10" t="s">
        <v>355</v>
      </c>
      <c r="N168" s="8" t="s">
        <v>355</v>
      </c>
      <c r="O168" s="8" t="s">
        <v>9</v>
      </c>
      <c r="P168" s="8" t="s">
        <v>1956</v>
      </c>
      <c r="Q168" s="8" t="s">
        <v>1956</v>
      </c>
      <c r="R168" s="8" t="s">
        <v>1956</v>
      </c>
      <c r="S168" s="8" t="s">
        <v>356</v>
      </c>
      <c r="T168" s="8" t="s">
        <v>1956</v>
      </c>
      <c r="U168" s="8" t="s">
        <v>2195</v>
      </c>
      <c r="V168" s="8" t="s">
        <v>283</v>
      </c>
      <c r="W168" s="8" t="s">
        <v>1958</v>
      </c>
      <c r="X168" s="8" t="s">
        <v>355</v>
      </c>
      <c r="Y168" s="8" t="s">
        <v>112</v>
      </c>
      <c r="Z168" s="8" t="s">
        <v>2003</v>
      </c>
    </row>
    <row r="169" spans="1:26" ht="36" x14ac:dyDescent="0.3">
      <c r="A169" s="8" t="s">
        <v>2229</v>
      </c>
      <c r="B169" s="8" t="s">
        <v>9</v>
      </c>
      <c r="C169" s="10">
        <v>290338</v>
      </c>
      <c r="D169" s="8" t="s">
        <v>153</v>
      </c>
      <c r="E169" s="8" t="s">
        <v>2228</v>
      </c>
      <c r="F169" s="8" t="s">
        <v>1966</v>
      </c>
      <c r="G169" s="8" t="s">
        <v>9</v>
      </c>
      <c r="H169" s="8" t="s">
        <v>352</v>
      </c>
      <c r="I169" s="8" t="s">
        <v>355</v>
      </c>
      <c r="J169" s="8" t="s">
        <v>355</v>
      </c>
      <c r="K169" s="8" t="s">
        <v>355</v>
      </c>
      <c r="L169" s="8" t="s">
        <v>355</v>
      </c>
      <c r="M169" s="10" t="s">
        <v>355</v>
      </c>
      <c r="N169" s="8" t="s">
        <v>355</v>
      </c>
      <c r="O169" s="8" t="s">
        <v>9</v>
      </c>
      <c r="P169" s="8" t="s">
        <v>1956</v>
      </c>
      <c r="Q169" s="8" t="s">
        <v>1956</v>
      </c>
      <c r="R169" s="8" t="s">
        <v>1956</v>
      </c>
      <c r="S169" s="8" t="s">
        <v>356</v>
      </c>
      <c r="T169" s="8" t="s">
        <v>1956</v>
      </c>
      <c r="U169" s="8" t="s">
        <v>1957</v>
      </c>
      <c r="V169" s="8" t="s">
        <v>1172</v>
      </c>
      <c r="W169" s="8" t="s">
        <v>2002</v>
      </c>
      <c r="X169" s="8" t="s">
        <v>1813</v>
      </c>
      <c r="Y169" s="8" t="s">
        <v>112</v>
      </c>
      <c r="Z169" s="8" t="s">
        <v>2003</v>
      </c>
    </row>
    <row r="170" spans="1:26" ht="24" x14ac:dyDescent="0.3">
      <c r="A170" s="8" t="s">
        <v>2230</v>
      </c>
      <c r="B170" s="8" t="s">
        <v>9</v>
      </c>
      <c r="C170" s="10">
        <v>325557</v>
      </c>
      <c r="D170" s="8" t="s">
        <v>443</v>
      </c>
      <c r="E170" s="8" t="s">
        <v>1986</v>
      </c>
      <c r="F170" s="8" t="s">
        <v>1952</v>
      </c>
      <c r="G170" s="8" t="s">
        <v>9</v>
      </c>
      <c r="H170" s="8" t="s">
        <v>352</v>
      </c>
      <c r="I170" s="8" t="s">
        <v>1729</v>
      </c>
      <c r="J170" s="8" t="s">
        <v>2231</v>
      </c>
      <c r="K170" s="8" t="s">
        <v>384</v>
      </c>
      <c r="L170" s="8" t="s">
        <v>2232</v>
      </c>
      <c r="M170" s="10">
        <v>0</v>
      </c>
      <c r="N170" s="8" t="s">
        <v>606</v>
      </c>
      <c r="O170" s="8" t="s">
        <v>9</v>
      </c>
      <c r="P170" s="8" t="s">
        <v>1955</v>
      </c>
      <c r="Q170" s="8" t="s">
        <v>1956</v>
      </c>
      <c r="R170" s="8" t="s">
        <v>1956</v>
      </c>
      <c r="S170" s="8" t="s">
        <v>356</v>
      </c>
      <c r="T170" s="8" t="s">
        <v>1172</v>
      </c>
      <c r="U170" s="8" t="s">
        <v>1957</v>
      </c>
      <c r="V170" s="8" t="s">
        <v>283</v>
      </c>
      <c r="W170" s="8" t="s">
        <v>1958</v>
      </c>
      <c r="X170" s="8" t="s">
        <v>355</v>
      </c>
      <c r="Y170" s="8" t="s">
        <v>112</v>
      </c>
      <c r="Z170" s="8" t="s">
        <v>1988</v>
      </c>
    </row>
    <row r="171" spans="1:26" ht="24" x14ac:dyDescent="0.3">
      <c r="A171" s="8" t="s">
        <v>2233</v>
      </c>
      <c r="B171" s="8" t="s">
        <v>9</v>
      </c>
      <c r="C171" s="10">
        <v>325557</v>
      </c>
      <c r="D171" s="8" t="s">
        <v>443</v>
      </c>
      <c r="E171" s="8" t="s">
        <v>1986</v>
      </c>
      <c r="F171" s="8" t="s">
        <v>1952</v>
      </c>
      <c r="G171" s="8" t="s">
        <v>9</v>
      </c>
      <c r="H171" s="8" t="s">
        <v>352</v>
      </c>
      <c r="I171" s="8" t="s">
        <v>1973</v>
      </c>
      <c r="J171" s="8" t="s">
        <v>2231</v>
      </c>
      <c r="K171" s="8" t="s">
        <v>384</v>
      </c>
      <c r="L171" s="8" t="s">
        <v>2232</v>
      </c>
      <c r="M171" s="10">
        <v>0</v>
      </c>
      <c r="N171" s="8" t="s">
        <v>608</v>
      </c>
      <c r="O171" s="8" t="s">
        <v>9</v>
      </c>
      <c r="P171" s="8" t="s">
        <v>1955</v>
      </c>
      <c r="Q171" s="8" t="s">
        <v>1956</v>
      </c>
      <c r="R171" s="8" t="s">
        <v>1956</v>
      </c>
      <c r="S171" s="8" t="s">
        <v>356</v>
      </c>
      <c r="T171" s="8" t="s">
        <v>1172</v>
      </c>
      <c r="U171" s="8" t="s">
        <v>1957</v>
      </c>
      <c r="V171" s="8" t="s">
        <v>283</v>
      </c>
      <c r="W171" s="8" t="s">
        <v>1958</v>
      </c>
      <c r="X171" s="8" t="s">
        <v>355</v>
      </c>
      <c r="Y171" s="8" t="s">
        <v>112</v>
      </c>
      <c r="Z171" s="8" t="s">
        <v>1988</v>
      </c>
    </row>
    <row r="172" spans="1:26" ht="24" x14ac:dyDescent="0.3">
      <c r="A172" s="8" t="s">
        <v>2234</v>
      </c>
      <c r="B172" s="8" t="s">
        <v>9</v>
      </c>
      <c r="C172" s="10">
        <v>293092</v>
      </c>
      <c r="D172" s="8" t="s">
        <v>445</v>
      </c>
      <c r="E172" s="8" t="s">
        <v>1986</v>
      </c>
      <c r="F172" s="8" t="s">
        <v>1952</v>
      </c>
      <c r="G172" s="8" t="s">
        <v>9</v>
      </c>
      <c r="H172" s="8" t="s">
        <v>352</v>
      </c>
      <c r="I172" s="8" t="s">
        <v>1729</v>
      </c>
      <c r="J172" s="8" t="s">
        <v>355</v>
      </c>
      <c r="K172" s="8" t="s">
        <v>357</v>
      </c>
      <c r="L172" s="8" t="s">
        <v>358</v>
      </c>
      <c r="M172" s="10">
        <v>807579</v>
      </c>
      <c r="N172" s="8" t="s">
        <v>2235</v>
      </c>
      <c r="O172" s="8" t="s">
        <v>9</v>
      </c>
      <c r="P172" s="8" t="s">
        <v>1956</v>
      </c>
      <c r="Q172" s="8" t="s">
        <v>1956</v>
      </c>
      <c r="R172" s="8" t="s">
        <v>1956</v>
      </c>
      <c r="S172" s="8" t="s">
        <v>356</v>
      </c>
      <c r="T172" s="8" t="s">
        <v>1172</v>
      </c>
      <c r="U172" s="8" t="s">
        <v>1957</v>
      </c>
      <c r="V172" s="8" t="s">
        <v>283</v>
      </c>
      <c r="W172" s="8" t="s">
        <v>1958</v>
      </c>
      <c r="X172" s="8" t="s">
        <v>355</v>
      </c>
      <c r="Y172" s="8" t="s">
        <v>112</v>
      </c>
      <c r="Z172" s="8" t="s">
        <v>2039</v>
      </c>
    </row>
    <row r="173" spans="1:26" ht="19.95" customHeight="1" x14ac:dyDescent="0.3">
      <c r="A173" s="8" t="s">
        <v>2236</v>
      </c>
      <c r="B173" s="8" t="s">
        <v>9</v>
      </c>
      <c r="C173" s="10">
        <v>292626</v>
      </c>
      <c r="D173" s="8" t="s">
        <v>155</v>
      </c>
      <c r="E173" s="8" t="s">
        <v>1951</v>
      </c>
      <c r="F173" s="8" t="s">
        <v>1966</v>
      </c>
      <c r="G173" s="8" t="s">
        <v>9</v>
      </c>
      <c r="H173" s="8" t="s">
        <v>352</v>
      </c>
      <c r="I173" s="8" t="s">
        <v>2237</v>
      </c>
      <c r="J173" s="8" t="s">
        <v>2238</v>
      </c>
      <c r="K173" s="8" t="s">
        <v>384</v>
      </c>
      <c r="L173" s="8" t="s">
        <v>771</v>
      </c>
      <c r="M173" s="10">
        <v>0</v>
      </c>
      <c r="N173" s="8" t="s">
        <v>606</v>
      </c>
      <c r="O173" s="8" t="s">
        <v>9</v>
      </c>
      <c r="P173" s="8" t="s">
        <v>1955</v>
      </c>
      <c r="Q173" s="8" t="s">
        <v>1172</v>
      </c>
      <c r="R173" s="8" t="s">
        <v>1956</v>
      </c>
      <c r="S173" s="8" t="s">
        <v>356</v>
      </c>
      <c r="T173" s="8" t="s">
        <v>1172</v>
      </c>
      <c r="U173" s="8" t="s">
        <v>1968</v>
      </c>
      <c r="V173" s="8" t="s">
        <v>1172</v>
      </c>
      <c r="W173" s="8" t="s">
        <v>1969</v>
      </c>
      <c r="X173" s="8" t="s">
        <v>1815</v>
      </c>
      <c r="Y173" s="8" t="s">
        <v>112</v>
      </c>
      <c r="Z173" s="8" t="s">
        <v>1959</v>
      </c>
    </row>
    <row r="174" spans="1:26" ht="60" x14ac:dyDescent="0.3">
      <c r="A174" s="8" t="s">
        <v>2239</v>
      </c>
      <c r="B174" s="8" t="s">
        <v>9</v>
      </c>
      <c r="C174" s="10">
        <v>292626</v>
      </c>
      <c r="D174" s="8" t="s">
        <v>155</v>
      </c>
      <c r="E174" s="8" t="s">
        <v>1951</v>
      </c>
      <c r="F174" s="8" t="s">
        <v>1966</v>
      </c>
      <c r="G174" s="8" t="s">
        <v>9</v>
      </c>
      <c r="H174" s="8" t="s">
        <v>352</v>
      </c>
      <c r="I174" s="8" t="s">
        <v>2237</v>
      </c>
      <c r="J174" s="8" t="s">
        <v>2238</v>
      </c>
      <c r="K174" s="8" t="s">
        <v>384</v>
      </c>
      <c r="L174" s="8" t="s">
        <v>780</v>
      </c>
      <c r="M174" s="10">
        <v>0</v>
      </c>
      <c r="N174" s="8" t="s">
        <v>606</v>
      </c>
      <c r="O174" s="8" t="s">
        <v>9</v>
      </c>
      <c r="P174" s="8" t="s">
        <v>1955</v>
      </c>
      <c r="Q174" s="8" t="s">
        <v>1172</v>
      </c>
      <c r="R174" s="8" t="s">
        <v>1956</v>
      </c>
      <c r="S174" s="8" t="s">
        <v>356</v>
      </c>
      <c r="T174" s="8" t="s">
        <v>1172</v>
      </c>
      <c r="U174" s="8" t="s">
        <v>1968</v>
      </c>
      <c r="V174" s="8" t="s">
        <v>1172</v>
      </c>
      <c r="W174" s="8" t="s">
        <v>1969</v>
      </c>
      <c r="X174" s="8" t="s">
        <v>1815</v>
      </c>
      <c r="Y174" s="8" t="s">
        <v>112</v>
      </c>
      <c r="Z174" s="8" t="s">
        <v>1959</v>
      </c>
    </row>
    <row r="175" spans="1:26" ht="72" x14ac:dyDescent="0.3">
      <c r="A175" s="8" t="s">
        <v>2240</v>
      </c>
      <c r="B175" s="8" t="s">
        <v>9</v>
      </c>
      <c r="C175" s="10">
        <v>292626</v>
      </c>
      <c r="D175" s="8" t="s">
        <v>155</v>
      </c>
      <c r="E175" s="8" t="s">
        <v>1951</v>
      </c>
      <c r="F175" s="8" t="s">
        <v>1966</v>
      </c>
      <c r="G175" s="8" t="s">
        <v>9</v>
      </c>
      <c r="H175" s="8" t="s">
        <v>352</v>
      </c>
      <c r="I175" s="8" t="s">
        <v>2237</v>
      </c>
      <c r="J175" s="8" t="s">
        <v>2238</v>
      </c>
      <c r="K175" s="8" t="s">
        <v>384</v>
      </c>
      <c r="L175" s="8" t="s">
        <v>783</v>
      </c>
      <c r="M175" s="10">
        <v>0</v>
      </c>
      <c r="N175" s="8" t="s">
        <v>606</v>
      </c>
      <c r="O175" s="8" t="s">
        <v>9</v>
      </c>
      <c r="P175" s="8" t="s">
        <v>1955</v>
      </c>
      <c r="Q175" s="8" t="s">
        <v>1172</v>
      </c>
      <c r="R175" s="8" t="s">
        <v>1956</v>
      </c>
      <c r="S175" s="8" t="s">
        <v>356</v>
      </c>
      <c r="T175" s="8" t="s">
        <v>1172</v>
      </c>
      <c r="U175" s="8" t="s">
        <v>1968</v>
      </c>
      <c r="V175" s="8" t="s">
        <v>1172</v>
      </c>
      <c r="W175" s="8" t="s">
        <v>1969</v>
      </c>
      <c r="X175" s="8" t="s">
        <v>1815</v>
      </c>
      <c r="Y175" s="8" t="s">
        <v>112</v>
      </c>
      <c r="Z175" s="8" t="s">
        <v>1959</v>
      </c>
    </row>
    <row r="176" spans="1:26" ht="24" x14ac:dyDescent="0.3">
      <c r="A176" s="8" t="s">
        <v>2241</v>
      </c>
      <c r="B176" s="8" t="s">
        <v>9</v>
      </c>
      <c r="C176" s="10">
        <v>292626</v>
      </c>
      <c r="D176" s="8" t="s">
        <v>155</v>
      </c>
      <c r="E176" s="8" t="s">
        <v>1951</v>
      </c>
      <c r="F176" s="8" t="s">
        <v>1966</v>
      </c>
      <c r="G176" s="8" t="s">
        <v>9</v>
      </c>
      <c r="H176" s="8" t="s">
        <v>352</v>
      </c>
      <c r="I176" s="8" t="s">
        <v>2237</v>
      </c>
      <c r="J176" s="8" t="s">
        <v>2238</v>
      </c>
      <c r="K176" s="8" t="s">
        <v>384</v>
      </c>
      <c r="L176" s="8" t="s">
        <v>774</v>
      </c>
      <c r="M176" s="10">
        <v>0</v>
      </c>
      <c r="N176" s="8" t="s">
        <v>606</v>
      </c>
      <c r="O176" s="8" t="s">
        <v>9</v>
      </c>
      <c r="P176" s="8" t="s">
        <v>1955</v>
      </c>
      <c r="Q176" s="8" t="s">
        <v>1172</v>
      </c>
      <c r="R176" s="8" t="s">
        <v>1956</v>
      </c>
      <c r="S176" s="8" t="s">
        <v>356</v>
      </c>
      <c r="T176" s="8" t="s">
        <v>1172</v>
      </c>
      <c r="U176" s="8" t="s">
        <v>1968</v>
      </c>
      <c r="V176" s="8" t="s">
        <v>1172</v>
      </c>
      <c r="W176" s="8" t="s">
        <v>1969</v>
      </c>
      <c r="X176" s="8" t="s">
        <v>1815</v>
      </c>
      <c r="Y176" s="8" t="s">
        <v>112</v>
      </c>
      <c r="Z176" s="8" t="s">
        <v>1959</v>
      </c>
    </row>
    <row r="177" spans="1:26" ht="72" x14ac:dyDescent="0.3">
      <c r="A177" s="8" t="s">
        <v>2242</v>
      </c>
      <c r="B177" s="8" t="s">
        <v>9</v>
      </c>
      <c r="C177" s="10">
        <v>292626</v>
      </c>
      <c r="D177" s="8" t="s">
        <v>155</v>
      </c>
      <c r="E177" s="8" t="s">
        <v>1951</v>
      </c>
      <c r="F177" s="8" t="s">
        <v>1966</v>
      </c>
      <c r="G177" s="8" t="s">
        <v>9</v>
      </c>
      <c r="H177" s="8" t="s">
        <v>352</v>
      </c>
      <c r="I177" s="8" t="s">
        <v>2237</v>
      </c>
      <c r="J177" s="8" t="s">
        <v>2238</v>
      </c>
      <c r="K177" s="8" t="s">
        <v>384</v>
      </c>
      <c r="L177" s="8" t="s">
        <v>786</v>
      </c>
      <c r="M177" s="10">
        <v>0</v>
      </c>
      <c r="N177" s="8" t="s">
        <v>606</v>
      </c>
      <c r="O177" s="8" t="s">
        <v>9</v>
      </c>
      <c r="P177" s="8" t="s">
        <v>1955</v>
      </c>
      <c r="Q177" s="8" t="s">
        <v>1172</v>
      </c>
      <c r="R177" s="8" t="s">
        <v>1956</v>
      </c>
      <c r="S177" s="8" t="s">
        <v>356</v>
      </c>
      <c r="T177" s="8" t="s">
        <v>1172</v>
      </c>
      <c r="U177" s="8" t="s">
        <v>1968</v>
      </c>
      <c r="V177" s="8" t="s">
        <v>1172</v>
      </c>
      <c r="W177" s="8" t="s">
        <v>1969</v>
      </c>
      <c r="X177" s="8" t="s">
        <v>1815</v>
      </c>
      <c r="Y177" s="8" t="s">
        <v>112</v>
      </c>
      <c r="Z177" s="8" t="s">
        <v>1959</v>
      </c>
    </row>
    <row r="178" spans="1:26" ht="19.95" customHeight="1" x14ac:dyDescent="0.3">
      <c r="A178" s="8" t="s">
        <v>2243</v>
      </c>
      <c r="B178" s="8" t="s">
        <v>9</v>
      </c>
      <c r="C178" s="10">
        <v>292626</v>
      </c>
      <c r="D178" s="8" t="s">
        <v>155</v>
      </c>
      <c r="E178" s="8" t="s">
        <v>1951</v>
      </c>
      <c r="F178" s="8" t="s">
        <v>1966</v>
      </c>
      <c r="G178" s="8" t="s">
        <v>9</v>
      </c>
      <c r="H178" s="8" t="s">
        <v>352</v>
      </c>
      <c r="I178" s="8" t="s">
        <v>2237</v>
      </c>
      <c r="J178" s="8" t="s">
        <v>2238</v>
      </c>
      <c r="K178" s="8" t="s">
        <v>384</v>
      </c>
      <c r="L178" s="8" t="s">
        <v>765</v>
      </c>
      <c r="M178" s="10">
        <v>0</v>
      </c>
      <c r="N178" s="8" t="s">
        <v>606</v>
      </c>
      <c r="O178" s="8" t="s">
        <v>9</v>
      </c>
      <c r="P178" s="8" t="s">
        <v>1955</v>
      </c>
      <c r="Q178" s="8" t="s">
        <v>1172</v>
      </c>
      <c r="R178" s="8" t="s">
        <v>1956</v>
      </c>
      <c r="S178" s="8" t="s">
        <v>356</v>
      </c>
      <c r="T178" s="8" t="s">
        <v>1172</v>
      </c>
      <c r="U178" s="8" t="s">
        <v>1968</v>
      </c>
      <c r="V178" s="8" t="s">
        <v>1172</v>
      </c>
      <c r="W178" s="8" t="s">
        <v>1969</v>
      </c>
      <c r="X178" s="8" t="s">
        <v>1815</v>
      </c>
      <c r="Y178" s="8" t="s">
        <v>112</v>
      </c>
      <c r="Z178" s="8" t="s">
        <v>1959</v>
      </c>
    </row>
    <row r="179" spans="1:26" ht="72" x14ac:dyDescent="0.3">
      <c r="A179" s="8" t="s">
        <v>2244</v>
      </c>
      <c r="B179" s="8" t="s">
        <v>9</v>
      </c>
      <c r="C179" s="10">
        <v>292626</v>
      </c>
      <c r="D179" s="8" t="s">
        <v>155</v>
      </c>
      <c r="E179" s="8" t="s">
        <v>1951</v>
      </c>
      <c r="F179" s="8" t="s">
        <v>1966</v>
      </c>
      <c r="G179" s="8" t="s">
        <v>9</v>
      </c>
      <c r="H179" s="8" t="s">
        <v>352</v>
      </c>
      <c r="I179" s="8" t="s">
        <v>2237</v>
      </c>
      <c r="J179" s="8" t="s">
        <v>2238</v>
      </c>
      <c r="K179" s="8" t="s">
        <v>384</v>
      </c>
      <c r="L179" s="8" t="s">
        <v>789</v>
      </c>
      <c r="M179" s="10">
        <v>0</v>
      </c>
      <c r="N179" s="8" t="s">
        <v>606</v>
      </c>
      <c r="O179" s="8" t="s">
        <v>9</v>
      </c>
      <c r="P179" s="8" t="s">
        <v>1955</v>
      </c>
      <c r="Q179" s="8" t="s">
        <v>1172</v>
      </c>
      <c r="R179" s="8" t="s">
        <v>1956</v>
      </c>
      <c r="S179" s="8" t="s">
        <v>356</v>
      </c>
      <c r="T179" s="8" t="s">
        <v>1172</v>
      </c>
      <c r="U179" s="8" t="s">
        <v>1968</v>
      </c>
      <c r="V179" s="8" t="s">
        <v>1172</v>
      </c>
      <c r="W179" s="8" t="s">
        <v>1969</v>
      </c>
      <c r="X179" s="8" t="s">
        <v>1815</v>
      </c>
      <c r="Y179" s="8" t="s">
        <v>112</v>
      </c>
      <c r="Z179" s="8" t="s">
        <v>1959</v>
      </c>
    </row>
    <row r="180" spans="1:26" ht="19.95" customHeight="1" x14ac:dyDescent="0.3">
      <c r="A180" s="8" t="s">
        <v>2245</v>
      </c>
      <c r="B180" s="8" t="s">
        <v>9</v>
      </c>
      <c r="C180" s="10">
        <v>292626</v>
      </c>
      <c r="D180" s="8" t="s">
        <v>155</v>
      </c>
      <c r="E180" s="8" t="s">
        <v>1951</v>
      </c>
      <c r="F180" s="8" t="s">
        <v>1966</v>
      </c>
      <c r="G180" s="8" t="s">
        <v>9</v>
      </c>
      <c r="H180" s="8" t="s">
        <v>352</v>
      </c>
      <c r="I180" s="8" t="s">
        <v>2237</v>
      </c>
      <c r="J180" s="8" t="s">
        <v>2238</v>
      </c>
      <c r="K180" s="8" t="s">
        <v>384</v>
      </c>
      <c r="L180" s="8" t="s">
        <v>777</v>
      </c>
      <c r="M180" s="10">
        <v>0</v>
      </c>
      <c r="N180" s="8" t="s">
        <v>606</v>
      </c>
      <c r="O180" s="8" t="s">
        <v>9</v>
      </c>
      <c r="P180" s="8" t="s">
        <v>1955</v>
      </c>
      <c r="Q180" s="8" t="s">
        <v>1172</v>
      </c>
      <c r="R180" s="8" t="s">
        <v>1956</v>
      </c>
      <c r="S180" s="8" t="s">
        <v>356</v>
      </c>
      <c r="T180" s="8" t="s">
        <v>1172</v>
      </c>
      <c r="U180" s="8" t="s">
        <v>1968</v>
      </c>
      <c r="V180" s="8" t="s">
        <v>1172</v>
      </c>
      <c r="W180" s="8" t="s">
        <v>1969</v>
      </c>
      <c r="X180" s="8" t="s">
        <v>1815</v>
      </c>
      <c r="Y180" s="8" t="s">
        <v>112</v>
      </c>
      <c r="Z180" s="8" t="s">
        <v>1959</v>
      </c>
    </row>
    <row r="181" spans="1:26" ht="72" x14ac:dyDescent="0.3">
      <c r="A181" s="8" t="s">
        <v>2246</v>
      </c>
      <c r="B181" s="8" t="s">
        <v>9</v>
      </c>
      <c r="C181" s="10">
        <v>292626</v>
      </c>
      <c r="D181" s="8" t="s">
        <v>155</v>
      </c>
      <c r="E181" s="8" t="s">
        <v>1951</v>
      </c>
      <c r="F181" s="8" t="s">
        <v>1966</v>
      </c>
      <c r="G181" s="8" t="s">
        <v>9</v>
      </c>
      <c r="H181" s="8" t="s">
        <v>352</v>
      </c>
      <c r="I181" s="8" t="s">
        <v>2237</v>
      </c>
      <c r="J181" s="8" t="s">
        <v>2238</v>
      </c>
      <c r="K181" s="8" t="s">
        <v>384</v>
      </c>
      <c r="L181" s="8" t="s">
        <v>792</v>
      </c>
      <c r="M181" s="10">
        <v>0</v>
      </c>
      <c r="N181" s="8" t="s">
        <v>606</v>
      </c>
      <c r="O181" s="8" t="s">
        <v>9</v>
      </c>
      <c r="P181" s="8" t="s">
        <v>1955</v>
      </c>
      <c r="Q181" s="8" t="s">
        <v>1172</v>
      </c>
      <c r="R181" s="8" t="s">
        <v>1956</v>
      </c>
      <c r="S181" s="8" t="s">
        <v>356</v>
      </c>
      <c r="T181" s="8" t="s">
        <v>1172</v>
      </c>
      <c r="U181" s="8" t="s">
        <v>1968</v>
      </c>
      <c r="V181" s="8" t="s">
        <v>1172</v>
      </c>
      <c r="W181" s="8" t="s">
        <v>1969</v>
      </c>
      <c r="X181" s="8" t="s">
        <v>1815</v>
      </c>
      <c r="Y181" s="8" t="s">
        <v>112</v>
      </c>
      <c r="Z181" s="8" t="s">
        <v>1959</v>
      </c>
    </row>
    <row r="182" spans="1:26" ht="60" x14ac:dyDescent="0.3">
      <c r="A182" s="8" t="s">
        <v>2247</v>
      </c>
      <c r="B182" s="8" t="s">
        <v>9</v>
      </c>
      <c r="C182" s="10">
        <v>292626</v>
      </c>
      <c r="D182" s="8" t="s">
        <v>155</v>
      </c>
      <c r="E182" s="8" t="s">
        <v>1951</v>
      </c>
      <c r="F182" s="8" t="s">
        <v>1966</v>
      </c>
      <c r="G182" s="8" t="s">
        <v>9</v>
      </c>
      <c r="H182" s="8" t="s">
        <v>352</v>
      </c>
      <c r="I182" s="8" t="s">
        <v>2237</v>
      </c>
      <c r="J182" s="8" t="s">
        <v>2238</v>
      </c>
      <c r="K182" s="8" t="s">
        <v>384</v>
      </c>
      <c r="L182" s="8" t="s">
        <v>768</v>
      </c>
      <c r="M182" s="10">
        <v>0</v>
      </c>
      <c r="N182" s="8" t="s">
        <v>606</v>
      </c>
      <c r="O182" s="8" t="s">
        <v>9</v>
      </c>
      <c r="P182" s="8" t="s">
        <v>1955</v>
      </c>
      <c r="Q182" s="8" t="s">
        <v>1172</v>
      </c>
      <c r="R182" s="8" t="s">
        <v>1956</v>
      </c>
      <c r="S182" s="8" t="s">
        <v>356</v>
      </c>
      <c r="T182" s="8" t="s">
        <v>1172</v>
      </c>
      <c r="U182" s="8" t="s">
        <v>1968</v>
      </c>
      <c r="V182" s="8" t="s">
        <v>1172</v>
      </c>
      <c r="W182" s="8" t="s">
        <v>1969</v>
      </c>
      <c r="X182" s="8" t="s">
        <v>1815</v>
      </c>
      <c r="Y182" s="8" t="s">
        <v>112</v>
      </c>
      <c r="Z182" s="8" t="s">
        <v>1959</v>
      </c>
    </row>
    <row r="183" spans="1:26" ht="72" x14ac:dyDescent="0.3">
      <c r="A183" s="8" t="s">
        <v>2248</v>
      </c>
      <c r="B183" s="8" t="s">
        <v>9</v>
      </c>
      <c r="C183" s="10">
        <v>292626</v>
      </c>
      <c r="D183" s="8" t="s">
        <v>155</v>
      </c>
      <c r="E183" s="8" t="s">
        <v>1951</v>
      </c>
      <c r="F183" s="8" t="s">
        <v>1966</v>
      </c>
      <c r="G183" s="8" t="s">
        <v>9</v>
      </c>
      <c r="H183" s="8" t="s">
        <v>352</v>
      </c>
      <c r="I183" s="8" t="s">
        <v>2237</v>
      </c>
      <c r="J183" s="8" t="s">
        <v>2238</v>
      </c>
      <c r="K183" s="8" t="s">
        <v>384</v>
      </c>
      <c r="L183" s="8" t="s">
        <v>795</v>
      </c>
      <c r="M183" s="10">
        <v>0</v>
      </c>
      <c r="N183" s="8" t="s">
        <v>606</v>
      </c>
      <c r="O183" s="8" t="s">
        <v>9</v>
      </c>
      <c r="P183" s="8" t="s">
        <v>1955</v>
      </c>
      <c r="Q183" s="8" t="s">
        <v>1172</v>
      </c>
      <c r="R183" s="8" t="s">
        <v>1956</v>
      </c>
      <c r="S183" s="8" t="s">
        <v>356</v>
      </c>
      <c r="T183" s="8" t="s">
        <v>1172</v>
      </c>
      <c r="U183" s="8" t="s">
        <v>1968</v>
      </c>
      <c r="V183" s="8" t="s">
        <v>1172</v>
      </c>
      <c r="W183" s="8" t="s">
        <v>1969</v>
      </c>
      <c r="X183" s="8" t="s">
        <v>1815</v>
      </c>
      <c r="Y183" s="8" t="s">
        <v>112</v>
      </c>
      <c r="Z183" s="8" t="s">
        <v>1959</v>
      </c>
    </row>
    <row r="184" spans="1:26" ht="60" x14ac:dyDescent="0.3">
      <c r="A184" s="8" t="s">
        <v>2249</v>
      </c>
      <c r="B184" s="8" t="s">
        <v>9</v>
      </c>
      <c r="C184" s="10">
        <v>292626</v>
      </c>
      <c r="D184" s="8" t="s">
        <v>155</v>
      </c>
      <c r="E184" s="8" t="s">
        <v>1951</v>
      </c>
      <c r="F184" s="8" t="s">
        <v>1966</v>
      </c>
      <c r="G184" s="8" t="s">
        <v>9</v>
      </c>
      <c r="H184" s="8" t="s">
        <v>352</v>
      </c>
      <c r="I184" s="8" t="s">
        <v>2237</v>
      </c>
      <c r="J184" s="8" t="s">
        <v>2238</v>
      </c>
      <c r="K184" s="8" t="s">
        <v>384</v>
      </c>
      <c r="L184" s="8" t="s">
        <v>797</v>
      </c>
      <c r="M184" s="10">
        <v>0</v>
      </c>
      <c r="N184" s="8" t="s">
        <v>606</v>
      </c>
      <c r="O184" s="8" t="s">
        <v>9</v>
      </c>
      <c r="P184" s="8" t="s">
        <v>1955</v>
      </c>
      <c r="Q184" s="8" t="s">
        <v>1172</v>
      </c>
      <c r="R184" s="8" t="s">
        <v>1956</v>
      </c>
      <c r="S184" s="8" t="s">
        <v>356</v>
      </c>
      <c r="T184" s="8" t="s">
        <v>1172</v>
      </c>
      <c r="U184" s="8" t="s">
        <v>1968</v>
      </c>
      <c r="V184" s="8" t="s">
        <v>1172</v>
      </c>
      <c r="W184" s="8" t="s">
        <v>1969</v>
      </c>
      <c r="X184" s="8" t="s">
        <v>1815</v>
      </c>
      <c r="Y184" s="8" t="s">
        <v>112</v>
      </c>
      <c r="Z184" s="8" t="s">
        <v>1959</v>
      </c>
    </row>
    <row r="185" spans="1:26" ht="60" x14ac:dyDescent="0.3">
      <c r="A185" s="8" t="s">
        <v>2250</v>
      </c>
      <c r="B185" s="8" t="s">
        <v>9</v>
      </c>
      <c r="C185" s="10">
        <v>292626</v>
      </c>
      <c r="D185" s="8" t="s">
        <v>155</v>
      </c>
      <c r="E185" s="8" t="s">
        <v>1951</v>
      </c>
      <c r="F185" s="8" t="s">
        <v>1966</v>
      </c>
      <c r="G185" s="8" t="s">
        <v>9</v>
      </c>
      <c r="H185" s="8" t="s">
        <v>352</v>
      </c>
      <c r="I185" s="8" t="s">
        <v>2237</v>
      </c>
      <c r="J185" s="8" t="s">
        <v>2238</v>
      </c>
      <c r="K185" s="8" t="s">
        <v>384</v>
      </c>
      <c r="L185" s="8" t="s">
        <v>800</v>
      </c>
      <c r="M185" s="10">
        <v>0</v>
      </c>
      <c r="N185" s="8" t="s">
        <v>606</v>
      </c>
      <c r="O185" s="8" t="s">
        <v>9</v>
      </c>
      <c r="P185" s="8" t="s">
        <v>1955</v>
      </c>
      <c r="Q185" s="8" t="s">
        <v>1172</v>
      </c>
      <c r="R185" s="8" t="s">
        <v>1956</v>
      </c>
      <c r="S185" s="8" t="s">
        <v>356</v>
      </c>
      <c r="T185" s="8" t="s">
        <v>1172</v>
      </c>
      <c r="U185" s="8" t="s">
        <v>1968</v>
      </c>
      <c r="V185" s="8" t="s">
        <v>1172</v>
      </c>
      <c r="W185" s="8" t="s">
        <v>1969</v>
      </c>
      <c r="X185" s="8" t="s">
        <v>1815</v>
      </c>
      <c r="Y185" s="8" t="s">
        <v>112</v>
      </c>
      <c r="Z185" s="8" t="s">
        <v>1959</v>
      </c>
    </row>
    <row r="186" spans="1:26" ht="19.95" customHeight="1" x14ac:dyDescent="0.3">
      <c r="A186" s="8" t="s">
        <v>2251</v>
      </c>
      <c r="B186" s="8" t="s">
        <v>9</v>
      </c>
      <c r="C186" s="10">
        <v>292626</v>
      </c>
      <c r="D186" s="8" t="s">
        <v>155</v>
      </c>
      <c r="E186" s="8" t="s">
        <v>1951</v>
      </c>
      <c r="F186" s="8" t="s">
        <v>1966</v>
      </c>
      <c r="G186" s="8" t="s">
        <v>9</v>
      </c>
      <c r="H186" s="8" t="s">
        <v>352</v>
      </c>
      <c r="I186" s="8" t="s">
        <v>2252</v>
      </c>
      <c r="J186" s="8" t="s">
        <v>2253</v>
      </c>
      <c r="K186" s="8" t="s">
        <v>384</v>
      </c>
      <c r="L186" s="8" t="s">
        <v>771</v>
      </c>
      <c r="M186" s="10">
        <v>0</v>
      </c>
      <c r="N186" s="8" t="s">
        <v>606</v>
      </c>
      <c r="O186" s="8" t="s">
        <v>9</v>
      </c>
      <c r="P186" s="8" t="s">
        <v>1955</v>
      </c>
      <c r="Q186" s="8" t="s">
        <v>1172</v>
      </c>
      <c r="R186" s="8" t="s">
        <v>1956</v>
      </c>
      <c r="S186" s="8" t="s">
        <v>356</v>
      </c>
      <c r="T186" s="8" t="s">
        <v>1172</v>
      </c>
      <c r="U186" s="8" t="s">
        <v>1968</v>
      </c>
      <c r="V186" s="8" t="s">
        <v>1172</v>
      </c>
      <c r="W186" s="8" t="s">
        <v>1969</v>
      </c>
      <c r="X186" s="8" t="s">
        <v>1815</v>
      </c>
      <c r="Y186" s="8" t="s">
        <v>112</v>
      </c>
      <c r="Z186" s="8" t="s">
        <v>1959</v>
      </c>
    </row>
    <row r="187" spans="1:26" ht="60" x14ac:dyDescent="0.3">
      <c r="A187" s="8" t="s">
        <v>2254</v>
      </c>
      <c r="B187" s="8" t="s">
        <v>9</v>
      </c>
      <c r="C187" s="10">
        <v>292626</v>
      </c>
      <c r="D187" s="8" t="s">
        <v>155</v>
      </c>
      <c r="E187" s="8" t="s">
        <v>1951</v>
      </c>
      <c r="F187" s="8" t="s">
        <v>1966</v>
      </c>
      <c r="G187" s="8" t="s">
        <v>9</v>
      </c>
      <c r="H187" s="8" t="s">
        <v>352</v>
      </c>
      <c r="I187" s="8" t="s">
        <v>2252</v>
      </c>
      <c r="J187" s="8" t="s">
        <v>2253</v>
      </c>
      <c r="K187" s="8" t="s">
        <v>384</v>
      </c>
      <c r="L187" s="8" t="s">
        <v>780</v>
      </c>
      <c r="M187" s="10">
        <v>0</v>
      </c>
      <c r="N187" s="8" t="s">
        <v>606</v>
      </c>
      <c r="O187" s="8" t="s">
        <v>9</v>
      </c>
      <c r="P187" s="8" t="s">
        <v>1955</v>
      </c>
      <c r="Q187" s="8" t="s">
        <v>1172</v>
      </c>
      <c r="R187" s="8" t="s">
        <v>1956</v>
      </c>
      <c r="S187" s="8" t="s">
        <v>356</v>
      </c>
      <c r="T187" s="8" t="s">
        <v>1172</v>
      </c>
      <c r="U187" s="8" t="s">
        <v>1968</v>
      </c>
      <c r="V187" s="8" t="s">
        <v>1172</v>
      </c>
      <c r="W187" s="8" t="s">
        <v>1969</v>
      </c>
      <c r="X187" s="8" t="s">
        <v>1815</v>
      </c>
      <c r="Y187" s="8" t="s">
        <v>112</v>
      </c>
      <c r="Z187" s="8" t="s">
        <v>1959</v>
      </c>
    </row>
    <row r="188" spans="1:26" ht="72" x14ac:dyDescent="0.3">
      <c r="A188" s="8" t="s">
        <v>2255</v>
      </c>
      <c r="B188" s="8" t="s">
        <v>9</v>
      </c>
      <c r="C188" s="10">
        <v>292626</v>
      </c>
      <c r="D188" s="8" t="s">
        <v>155</v>
      </c>
      <c r="E188" s="8" t="s">
        <v>1951</v>
      </c>
      <c r="F188" s="8" t="s">
        <v>1966</v>
      </c>
      <c r="G188" s="8" t="s">
        <v>9</v>
      </c>
      <c r="H188" s="8" t="s">
        <v>352</v>
      </c>
      <c r="I188" s="8" t="s">
        <v>2252</v>
      </c>
      <c r="J188" s="8" t="s">
        <v>2253</v>
      </c>
      <c r="K188" s="8" t="s">
        <v>384</v>
      </c>
      <c r="L188" s="8" t="s">
        <v>783</v>
      </c>
      <c r="M188" s="10">
        <v>0</v>
      </c>
      <c r="N188" s="8" t="s">
        <v>606</v>
      </c>
      <c r="O188" s="8" t="s">
        <v>9</v>
      </c>
      <c r="P188" s="8" t="s">
        <v>1955</v>
      </c>
      <c r="Q188" s="8" t="s">
        <v>1172</v>
      </c>
      <c r="R188" s="8" t="s">
        <v>1956</v>
      </c>
      <c r="S188" s="8" t="s">
        <v>356</v>
      </c>
      <c r="T188" s="8" t="s">
        <v>1172</v>
      </c>
      <c r="U188" s="8" t="s">
        <v>1968</v>
      </c>
      <c r="V188" s="8" t="s">
        <v>1172</v>
      </c>
      <c r="W188" s="8" t="s">
        <v>1969</v>
      </c>
      <c r="X188" s="8" t="s">
        <v>1815</v>
      </c>
      <c r="Y188" s="8" t="s">
        <v>112</v>
      </c>
      <c r="Z188" s="8" t="s">
        <v>1959</v>
      </c>
    </row>
    <row r="189" spans="1:26" ht="24" x14ac:dyDescent="0.3">
      <c r="A189" s="8" t="s">
        <v>2256</v>
      </c>
      <c r="B189" s="8" t="s">
        <v>9</v>
      </c>
      <c r="C189" s="10">
        <v>292626</v>
      </c>
      <c r="D189" s="8" t="s">
        <v>155</v>
      </c>
      <c r="E189" s="8" t="s">
        <v>1951</v>
      </c>
      <c r="F189" s="8" t="s">
        <v>1966</v>
      </c>
      <c r="G189" s="8" t="s">
        <v>9</v>
      </c>
      <c r="H189" s="8" t="s">
        <v>352</v>
      </c>
      <c r="I189" s="8" t="s">
        <v>2252</v>
      </c>
      <c r="J189" s="8" t="s">
        <v>2253</v>
      </c>
      <c r="K189" s="8" t="s">
        <v>384</v>
      </c>
      <c r="L189" s="8" t="s">
        <v>774</v>
      </c>
      <c r="M189" s="10">
        <v>0</v>
      </c>
      <c r="N189" s="8" t="s">
        <v>606</v>
      </c>
      <c r="O189" s="8" t="s">
        <v>9</v>
      </c>
      <c r="P189" s="8" t="s">
        <v>1955</v>
      </c>
      <c r="Q189" s="8" t="s">
        <v>1172</v>
      </c>
      <c r="R189" s="8" t="s">
        <v>1956</v>
      </c>
      <c r="S189" s="8" t="s">
        <v>356</v>
      </c>
      <c r="T189" s="8" t="s">
        <v>1172</v>
      </c>
      <c r="U189" s="8" t="s">
        <v>1968</v>
      </c>
      <c r="V189" s="8" t="s">
        <v>1172</v>
      </c>
      <c r="W189" s="8" t="s">
        <v>1969</v>
      </c>
      <c r="X189" s="8" t="s">
        <v>1815</v>
      </c>
      <c r="Y189" s="8" t="s">
        <v>112</v>
      </c>
      <c r="Z189" s="8" t="s">
        <v>1959</v>
      </c>
    </row>
    <row r="190" spans="1:26" ht="72" x14ac:dyDescent="0.3">
      <c r="A190" s="8" t="s">
        <v>2257</v>
      </c>
      <c r="B190" s="8" t="s">
        <v>9</v>
      </c>
      <c r="C190" s="10">
        <v>292626</v>
      </c>
      <c r="D190" s="8" t="s">
        <v>155</v>
      </c>
      <c r="E190" s="8" t="s">
        <v>1951</v>
      </c>
      <c r="F190" s="8" t="s">
        <v>1966</v>
      </c>
      <c r="G190" s="8" t="s">
        <v>9</v>
      </c>
      <c r="H190" s="8" t="s">
        <v>352</v>
      </c>
      <c r="I190" s="8" t="s">
        <v>2252</v>
      </c>
      <c r="J190" s="8" t="s">
        <v>2253</v>
      </c>
      <c r="K190" s="8" t="s">
        <v>384</v>
      </c>
      <c r="L190" s="8" t="s">
        <v>786</v>
      </c>
      <c r="M190" s="10">
        <v>0</v>
      </c>
      <c r="N190" s="8" t="s">
        <v>606</v>
      </c>
      <c r="O190" s="8" t="s">
        <v>9</v>
      </c>
      <c r="P190" s="8" t="s">
        <v>1955</v>
      </c>
      <c r="Q190" s="8" t="s">
        <v>1172</v>
      </c>
      <c r="R190" s="8" t="s">
        <v>1956</v>
      </c>
      <c r="S190" s="8" t="s">
        <v>356</v>
      </c>
      <c r="T190" s="8" t="s">
        <v>1172</v>
      </c>
      <c r="U190" s="8" t="s">
        <v>1968</v>
      </c>
      <c r="V190" s="8" t="s">
        <v>1172</v>
      </c>
      <c r="W190" s="8" t="s">
        <v>1969</v>
      </c>
      <c r="X190" s="8" t="s">
        <v>1815</v>
      </c>
      <c r="Y190" s="8" t="s">
        <v>112</v>
      </c>
      <c r="Z190" s="8" t="s">
        <v>1959</v>
      </c>
    </row>
    <row r="191" spans="1:26" ht="19.95" customHeight="1" x14ac:dyDescent="0.3">
      <c r="A191" s="8" t="s">
        <v>2258</v>
      </c>
      <c r="B191" s="8" t="s">
        <v>9</v>
      </c>
      <c r="C191" s="10">
        <v>292626</v>
      </c>
      <c r="D191" s="8" t="s">
        <v>155</v>
      </c>
      <c r="E191" s="8" t="s">
        <v>1951</v>
      </c>
      <c r="F191" s="8" t="s">
        <v>1966</v>
      </c>
      <c r="G191" s="8" t="s">
        <v>9</v>
      </c>
      <c r="H191" s="8" t="s">
        <v>352</v>
      </c>
      <c r="I191" s="8" t="s">
        <v>2252</v>
      </c>
      <c r="J191" s="8" t="s">
        <v>2253</v>
      </c>
      <c r="K191" s="8" t="s">
        <v>384</v>
      </c>
      <c r="L191" s="8" t="s">
        <v>765</v>
      </c>
      <c r="M191" s="10">
        <v>0</v>
      </c>
      <c r="N191" s="8" t="s">
        <v>606</v>
      </c>
      <c r="O191" s="8" t="s">
        <v>9</v>
      </c>
      <c r="P191" s="8" t="s">
        <v>1955</v>
      </c>
      <c r="Q191" s="8" t="s">
        <v>1172</v>
      </c>
      <c r="R191" s="8" t="s">
        <v>1956</v>
      </c>
      <c r="S191" s="8" t="s">
        <v>356</v>
      </c>
      <c r="T191" s="8" t="s">
        <v>1172</v>
      </c>
      <c r="U191" s="8" t="s">
        <v>1968</v>
      </c>
      <c r="V191" s="8" t="s">
        <v>1172</v>
      </c>
      <c r="W191" s="8" t="s">
        <v>1969</v>
      </c>
      <c r="X191" s="8" t="s">
        <v>1815</v>
      </c>
      <c r="Y191" s="8" t="s">
        <v>112</v>
      </c>
      <c r="Z191" s="8" t="s">
        <v>1959</v>
      </c>
    </row>
    <row r="192" spans="1:26" ht="72" x14ac:dyDescent="0.3">
      <c r="A192" s="8" t="s">
        <v>2259</v>
      </c>
      <c r="B192" s="8" t="s">
        <v>9</v>
      </c>
      <c r="C192" s="10">
        <v>292626</v>
      </c>
      <c r="D192" s="8" t="s">
        <v>155</v>
      </c>
      <c r="E192" s="8" t="s">
        <v>1951</v>
      </c>
      <c r="F192" s="8" t="s">
        <v>1966</v>
      </c>
      <c r="G192" s="8" t="s">
        <v>9</v>
      </c>
      <c r="H192" s="8" t="s">
        <v>352</v>
      </c>
      <c r="I192" s="8" t="s">
        <v>2252</v>
      </c>
      <c r="J192" s="8" t="s">
        <v>2253</v>
      </c>
      <c r="K192" s="8" t="s">
        <v>384</v>
      </c>
      <c r="L192" s="8" t="s">
        <v>789</v>
      </c>
      <c r="M192" s="10">
        <v>0</v>
      </c>
      <c r="N192" s="8" t="s">
        <v>606</v>
      </c>
      <c r="O192" s="8" t="s">
        <v>9</v>
      </c>
      <c r="P192" s="8" t="s">
        <v>1955</v>
      </c>
      <c r="Q192" s="8" t="s">
        <v>1172</v>
      </c>
      <c r="R192" s="8" t="s">
        <v>1956</v>
      </c>
      <c r="S192" s="8" t="s">
        <v>356</v>
      </c>
      <c r="T192" s="8" t="s">
        <v>1172</v>
      </c>
      <c r="U192" s="8" t="s">
        <v>1968</v>
      </c>
      <c r="V192" s="8" t="s">
        <v>1172</v>
      </c>
      <c r="W192" s="8" t="s">
        <v>1969</v>
      </c>
      <c r="X192" s="8" t="s">
        <v>1815</v>
      </c>
      <c r="Y192" s="8" t="s">
        <v>112</v>
      </c>
      <c r="Z192" s="8" t="s">
        <v>1959</v>
      </c>
    </row>
    <row r="193" spans="1:26" ht="19.95" customHeight="1" x14ac:dyDescent="0.3">
      <c r="A193" s="8" t="s">
        <v>2260</v>
      </c>
      <c r="B193" s="8" t="s">
        <v>9</v>
      </c>
      <c r="C193" s="10">
        <v>292626</v>
      </c>
      <c r="D193" s="8" t="s">
        <v>155</v>
      </c>
      <c r="E193" s="8" t="s">
        <v>1951</v>
      </c>
      <c r="F193" s="8" t="s">
        <v>1966</v>
      </c>
      <c r="G193" s="8" t="s">
        <v>9</v>
      </c>
      <c r="H193" s="8" t="s">
        <v>352</v>
      </c>
      <c r="I193" s="8" t="s">
        <v>2252</v>
      </c>
      <c r="J193" s="8" t="s">
        <v>2253</v>
      </c>
      <c r="K193" s="8" t="s">
        <v>384</v>
      </c>
      <c r="L193" s="8" t="s">
        <v>777</v>
      </c>
      <c r="M193" s="10">
        <v>0</v>
      </c>
      <c r="N193" s="8" t="s">
        <v>606</v>
      </c>
      <c r="O193" s="8" t="s">
        <v>9</v>
      </c>
      <c r="P193" s="8" t="s">
        <v>1955</v>
      </c>
      <c r="Q193" s="8" t="s">
        <v>1172</v>
      </c>
      <c r="R193" s="8" t="s">
        <v>1956</v>
      </c>
      <c r="S193" s="8" t="s">
        <v>356</v>
      </c>
      <c r="T193" s="8" t="s">
        <v>1172</v>
      </c>
      <c r="U193" s="8" t="s">
        <v>1968</v>
      </c>
      <c r="V193" s="8" t="s">
        <v>1172</v>
      </c>
      <c r="W193" s="8" t="s">
        <v>1969</v>
      </c>
      <c r="X193" s="8" t="s">
        <v>1815</v>
      </c>
      <c r="Y193" s="8" t="s">
        <v>112</v>
      </c>
      <c r="Z193" s="8" t="s">
        <v>1959</v>
      </c>
    </row>
    <row r="194" spans="1:26" ht="72" x14ac:dyDescent="0.3">
      <c r="A194" s="8" t="s">
        <v>2261</v>
      </c>
      <c r="B194" s="8" t="s">
        <v>9</v>
      </c>
      <c r="C194" s="10">
        <v>292626</v>
      </c>
      <c r="D194" s="8" t="s">
        <v>155</v>
      </c>
      <c r="E194" s="8" t="s">
        <v>1951</v>
      </c>
      <c r="F194" s="8" t="s">
        <v>1966</v>
      </c>
      <c r="G194" s="8" t="s">
        <v>9</v>
      </c>
      <c r="H194" s="8" t="s">
        <v>352</v>
      </c>
      <c r="I194" s="8" t="s">
        <v>2252</v>
      </c>
      <c r="J194" s="8" t="s">
        <v>2253</v>
      </c>
      <c r="K194" s="8" t="s">
        <v>384</v>
      </c>
      <c r="L194" s="8" t="s">
        <v>792</v>
      </c>
      <c r="M194" s="10">
        <v>0</v>
      </c>
      <c r="N194" s="8" t="s">
        <v>606</v>
      </c>
      <c r="O194" s="8" t="s">
        <v>9</v>
      </c>
      <c r="P194" s="8" t="s">
        <v>1955</v>
      </c>
      <c r="Q194" s="8" t="s">
        <v>1172</v>
      </c>
      <c r="R194" s="8" t="s">
        <v>1956</v>
      </c>
      <c r="S194" s="8" t="s">
        <v>356</v>
      </c>
      <c r="T194" s="8" t="s">
        <v>1172</v>
      </c>
      <c r="U194" s="8" t="s">
        <v>1968</v>
      </c>
      <c r="V194" s="8" t="s">
        <v>1172</v>
      </c>
      <c r="W194" s="8" t="s">
        <v>1969</v>
      </c>
      <c r="X194" s="8" t="s">
        <v>1815</v>
      </c>
      <c r="Y194" s="8" t="s">
        <v>112</v>
      </c>
      <c r="Z194" s="8" t="s">
        <v>1959</v>
      </c>
    </row>
    <row r="195" spans="1:26" ht="60" x14ac:dyDescent="0.3">
      <c r="A195" s="8" t="s">
        <v>2262</v>
      </c>
      <c r="B195" s="8" t="s">
        <v>9</v>
      </c>
      <c r="C195" s="10">
        <v>292626</v>
      </c>
      <c r="D195" s="8" t="s">
        <v>155</v>
      </c>
      <c r="E195" s="8" t="s">
        <v>1951</v>
      </c>
      <c r="F195" s="8" t="s">
        <v>1966</v>
      </c>
      <c r="G195" s="8" t="s">
        <v>9</v>
      </c>
      <c r="H195" s="8" t="s">
        <v>352</v>
      </c>
      <c r="I195" s="8" t="s">
        <v>2252</v>
      </c>
      <c r="J195" s="8" t="s">
        <v>2253</v>
      </c>
      <c r="K195" s="8" t="s">
        <v>384</v>
      </c>
      <c r="L195" s="8" t="s">
        <v>768</v>
      </c>
      <c r="M195" s="10">
        <v>0</v>
      </c>
      <c r="N195" s="8" t="s">
        <v>606</v>
      </c>
      <c r="O195" s="8" t="s">
        <v>9</v>
      </c>
      <c r="P195" s="8" t="s">
        <v>1955</v>
      </c>
      <c r="Q195" s="8" t="s">
        <v>1172</v>
      </c>
      <c r="R195" s="8" t="s">
        <v>1956</v>
      </c>
      <c r="S195" s="8" t="s">
        <v>356</v>
      </c>
      <c r="T195" s="8" t="s">
        <v>1172</v>
      </c>
      <c r="U195" s="8" t="s">
        <v>1968</v>
      </c>
      <c r="V195" s="8" t="s">
        <v>1172</v>
      </c>
      <c r="W195" s="8" t="s">
        <v>1969</v>
      </c>
      <c r="X195" s="8" t="s">
        <v>1815</v>
      </c>
      <c r="Y195" s="8" t="s">
        <v>112</v>
      </c>
      <c r="Z195" s="8" t="s">
        <v>1959</v>
      </c>
    </row>
    <row r="196" spans="1:26" ht="72" x14ac:dyDescent="0.3">
      <c r="A196" s="8" t="s">
        <v>2263</v>
      </c>
      <c r="B196" s="8" t="s">
        <v>9</v>
      </c>
      <c r="C196" s="10">
        <v>292626</v>
      </c>
      <c r="D196" s="8" t="s">
        <v>155</v>
      </c>
      <c r="E196" s="8" t="s">
        <v>1951</v>
      </c>
      <c r="F196" s="8" t="s">
        <v>1966</v>
      </c>
      <c r="G196" s="8" t="s">
        <v>9</v>
      </c>
      <c r="H196" s="8" t="s">
        <v>352</v>
      </c>
      <c r="I196" s="8" t="s">
        <v>2252</v>
      </c>
      <c r="J196" s="8" t="s">
        <v>2253</v>
      </c>
      <c r="K196" s="8" t="s">
        <v>384</v>
      </c>
      <c r="L196" s="8" t="s">
        <v>795</v>
      </c>
      <c r="M196" s="10">
        <v>0</v>
      </c>
      <c r="N196" s="8" t="s">
        <v>606</v>
      </c>
      <c r="O196" s="8" t="s">
        <v>9</v>
      </c>
      <c r="P196" s="8" t="s">
        <v>1955</v>
      </c>
      <c r="Q196" s="8" t="s">
        <v>1172</v>
      </c>
      <c r="R196" s="8" t="s">
        <v>1956</v>
      </c>
      <c r="S196" s="8" t="s">
        <v>356</v>
      </c>
      <c r="T196" s="8" t="s">
        <v>1172</v>
      </c>
      <c r="U196" s="8" t="s">
        <v>1968</v>
      </c>
      <c r="V196" s="8" t="s">
        <v>1172</v>
      </c>
      <c r="W196" s="8" t="s">
        <v>1969</v>
      </c>
      <c r="X196" s="8" t="s">
        <v>1815</v>
      </c>
      <c r="Y196" s="8" t="s">
        <v>112</v>
      </c>
      <c r="Z196" s="8" t="s">
        <v>1959</v>
      </c>
    </row>
    <row r="197" spans="1:26" ht="60" x14ac:dyDescent="0.3">
      <c r="A197" s="8" t="s">
        <v>2264</v>
      </c>
      <c r="B197" s="8" t="s">
        <v>9</v>
      </c>
      <c r="C197" s="10">
        <v>292626</v>
      </c>
      <c r="D197" s="8" t="s">
        <v>155</v>
      </c>
      <c r="E197" s="8" t="s">
        <v>1951</v>
      </c>
      <c r="F197" s="8" t="s">
        <v>1966</v>
      </c>
      <c r="G197" s="8" t="s">
        <v>9</v>
      </c>
      <c r="H197" s="8" t="s">
        <v>352</v>
      </c>
      <c r="I197" s="8" t="s">
        <v>2252</v>
      </c>
      <c r="J197" s="8" t="s">
        <v>2253</v>
      </c>
      <c r="K197" s="8" t="s">
        <v>384</v>
      </c>
      <c r="L197" s="8" t="s">
        <v>797</v>
      </c>
      <c r="M197" s="10">
        <v>0</v>
      </c>
      <c r="N197" s="8" t="s">
        <v>606</v>
      </c>
      <c r="O197" s="8" t="s">
        <v>9</v>
      </c>
      <c r="P197" s="8" t="s">
        <v>1955</v>
      </c>
      <c r="Q197" s="8" t="s">
        <v>1172</v>
      </c>
      <c r="R197" s="8" t="s">
        <v>1956</v>
      </c>
      <c r="S197" s="8" t="s">
        <v>356</v>
      </c>
      <c r="T197" s="8" t="s">
        <v>1172</v>
      </c>
      <c r="U197" s="8" t="s">
        <v>1968</v>
      </c>
      <c r="V197" s="8" t="s">
        <v>1172</v>
      </c>
      <c r="W197" s="8" t="s">
        <v>1969</v>
      </c>
      <c r="X197" s="8" t="s">
        <v>1815</v>
      </c>
      <c r="Y197" s="8" t="s">
        <v>112</v>
      </c>
      <c r="Z197" s="8" t="s">
        <v>1959</v>
      </c>
    </row>
    <row r="198" spans="1:26" ht="60" x14ac:dyDescent="0.3">
      <c r="A198" s="8" t="s">
        <v>2265</v>
      </c>
      <c r="B198" s="8" t="s">
        <v>9</v>
      </c>
      <c r="C198" s="10">
        <v>292626</v>
      </c>
      <c r="D198" s="8" t="s">
        <v>155</v>
      </c>
      <c r="E198" s="8" t="s">
        <v>1951</v>
      </c>
      <c r="F198" s="8" t="s">
        <v>1966</v>
      </c>
      <c r="G198" s="8" t="s">
        <v>9</v>
      </c>
      <c r="H198" s="8" t="s">
        <v>352</v>
      </c>
      <c r="I198" s="8" t="s">
        <v>2252</v>
      </c>
      <c r="J198" s="8" t="s">
        <v>2253</v>
      </c>
      <c r="K198" s="8" t="s">
        <v>384</v>
      </c>
      <c r="L198" s="8" t="s">
        <v>800</v>
      </c>
      <c r="M198" s="10">
        <v>0</v>
      </c>
      <c r="N198" s="8" t="s">
        <v>606</v>
      </c>
      <c r="O198" s="8" t="s">
        <v>9</v>
      </c>
      <c r="P198" s="8" t="s">
        <v>1955</v>
      </c>
      <c r="Q198" s="8" t="s">
        <v>1172</v>
      </c>
      <c r="R198" s="8" t="s">
        <v>1956</v>
      </c>
      <c r="S198" s="8" t="s">
        <v>356</v>
      </c>
      <c r="T198" s="8" t="s">
        <v>1172</v>
      </c>
      <c r="U198" s="8" t="s">
        <v>1968</v>
      </c>
      <c r="V198" s="8" t="s">
        <v>1172</v>
      </c>
      <c r="W198" s="8" t="s">
        <v>1969</v>
      </c>
      <c r="X198" s="8" t="s">
        <v>1815</v>
      </c>
      <c r="Y198" s="8" t="s">
        <v>112</v>
      </c>
      <c r="Z198" s="8" t="s">
        <v>1959</v>
      </c>
    </row>
    <row r="199" spans="1:26" ht="19.95" customHeight="1" x14ac:dyDescent="0.3">
      <c r="A199" s="8" t="s">
        <v>2266</v>
      </c>
      <c r="B199" s="8" t="s">
        <v>9</v>
      </c>
      <c r="C199" s="10">
        <v>292626</v>
      </c>
      <c r="D199" s="8" t="s">
        <v>155</v>
      </c>
      <c r="E199" s="8" t="s">
        <v>1951</v>
      </c>
      <c r="F199" s="8" t="s">
        <v>1966</v>
      </c>
      <c r="G199" s="8" t="s">
        <v>9</v>
      </c>
      <c r="H199" s="8" t="s">
        <v>352</v>
      </c>
      <c r="I199" s="8" t="s">
        <v>2267</v>
      </c>
      <c r="J199" s="8" t="s">
        <v>2268</v>
      </c>
      <c r="K199" s="8" t="s">
        <v>384</v>
      </c>
      <c r="L199" s="8" t="s">
        <v>771</v>
      </c>
      <c r="M199" s="10">
        <v>0</v>
      </c>
      <c r="N199" s="8" t="s">
        <v>772</v>
      </c>
      <c r="O199" s="8" t="s">
        <v>9</v>
      </c>
      <c r="P199" s="8" t="s">
        <v>1955</v>
      </c>
      <c r="Q199" s="8" t="s">
        <v>1172</v>
      </c>
      <c r="R199" s="8" t="s">
        <v>1956</v>
      </c>
      <c r="S199" s="8" t="s">
        <v>356</v>
      </c>
      <c r="T199" s="8" t="s">
        <v>1172</v>
      </c>
      <c r="U199" s="8" t="s">
        <v>1968</v>
      </c>
      <c r="V199" s="8" t="s">
        <v>1172</v>
      </c>
      <c r="W199" s="8" t="s">
        <v>1969</v>
      </c>
      <c r="X199" s="8" t="s">
        <v>1815</v>
      </c>
      <c r="Y199" s="8" t="s">
        <v>112</v>
      </c>
      <c r="Z199" s="8" t="s">
        <v>1959</v>
      </c>
    </row>
    <row r="200" spans="1:26" ht="60" x14ac:dyDescent="0.3">
      <c r="A200" s="8" t="s">
        <v>2269</v>
      </c>
      <c r="B200" s="8" t="s">
        <v>9</v>
      </c>
      <c r="C200" s="10">
        <v>292626</v>
      </c>
      <c r="D200" s="8" t="s">
        <v>155</v>
      </c>
      <c r="E200" s="8" t="s">
        <v>1951</v>
      </c>
      <c r="F200" s="8" t="s">
        <v>1966</v>
      </c>
      <c r="G200" s="8" t="s">
        <v>9</v>
      </c>
      <c r="H200" s="8" t="s">
        <v>352</v>
      </c>
      <c r="I200" s="8" t="s">
        <v>2267</v>
      </c>
      <c r="J200" s="8" t="s">
        <v>2268</v>
      </c>
      <c r="K200" s="8" t="s">
        <v>384</v>
      </c>
      <c r="L200" s="8" t="s">
        <v>780</v>
      </c>
      <c r="M200" s="10">
        <v>0</v>
      </c>
      <c r="N200" s="8" t="s">
        <v>781</v>
      </c>
      <c r="O200" s="8" t="s">
        <v>9</v>
      </c>
      <c r="P200" s="8" t="s">
        <v>1955</v>
      </c>
      <c r="Q200" s="8" t="s">
        <v>1172</v>
      </c>
      <c r="R200" s="8" t="s">
        <v>1956</v>
      </c>
      <c r="S200" s="8" t="s">
        <v>356</v>
      </c>
      <c r="T200" s="8" t="s">
        <v>1172</v>
      </c>
      <c r="U200" s="8" t="s">
        <v>1968</v>
      </c>
      <c r="V200" s="8" t="s">
        <v>1172</v>
      </c>
      <c r="W200" s="8" t="s">
        <v>1969</v>
      </c>
      <c r="X200" s="8" t="s">
        <v>1815</v>
      </c>
      <c r="Y200" s="8" t="s">
        <v>112</v>
      </c>
      <c r="Z200" s="8" t="s">
        <v>1959</v>
      </c>
    </row>
    <row r="201" spans="1:26" ht="72" x14ac:dyDescent="0.3">
      <c r="A201" s="8" t="s">
        <v>2270</v>
      </c>
      <c r="B201" s="8" t="s">
        <v>9</v>
      </c>
      <c r="C201" s="10">
        <v>292626</v>
      </c>
      <c r="D201" s="8" t="s">
        <v>155</v>
      </c>
      <c r="E201" s="8" t="s">
        <v>1951</v>
      </c>
      <c r="F201" s="8" t="s">
        <v>1966</v>
      </c>
      <c r="G201" s="8" t="s">
        <v>9</v>
      </c>
      <c r="H201" s="8" t="s">
        <v>352</v>
      </c>
      <c r="I201" s="8" t="s">
        <v>2267</v>
      </c>
      <c r="J201" s="8" t="s">
        <v>2268</v>
      </c>
      <c r="K201" s="8" t="s">
        <v>384</v>
      </c>
      <c r="L201" s="8" t="s">
        <v>783</v>
      </c>
      <c r="M201" s="10">
        <v>0</v>
      </c>
      <c r="N201" s="8" t="s">
        <v>784</v>
      </c>
      <c r="O201" s="8" t="s">
        <v>9</v>
      </c>
      <c r="P201" s="8" t="s">
        <v>1955</v>
      </c>
      <c r="Q201" s="8" t="s">
        <v>1172</v>
      </c>
      <c r="R201" s="8" t="s">
        <v>1956</v>
      </c>
      <c r="S201" s="8" t="s">
        <v>356</v>
      </c>
      <c r="T201" s="8" t="s">
        <v>1172</v>
      </c>
      <c r="U201" s="8" t="s">
        <v>1968</v>
      </c>
      <c r="V201" s="8" t="s">
        <v>1172</v>
      </c>
      <c r="W201" s="8" t="s">
        <v>1969</v>
      </c>
      <c r="X201" s="8" t="s">
        <v>1815</v>
      </c>
      <c r="Y201" s="8" t="s">
        <v>112</v>
      </c>
      <c r="Z201" s="8" t="s">
        <v>1959</v>
      </c>
    </row>
    <row r="202" spans="1:26" ht="24" x14ac:dyDescent="0.3">
      <c r="A202" s="8" t="s">
        <v>2271</v>
      </c>
      <c r="B202" s="8" t="s">
        <v>9</v>
      </c>
      <c r="C202" s="10">
        <v>292626</v>
      </c>
      <c r="D202" s="8" t="s">
        <v>155</v>
      </c>
      <c r="E202" s="8" t="s">
        <v>1951</v>
      </c>
      <c r="F202" s="8" t="s">
        <v>1966</v>
      </c>
      <c r="G202" s="8" t="s">
        <v>9</v>
      </c>
      <c r="H202" s="8" t="s">
        <v>352</v>
      </c>
      <c r="I202" s="8" t="s">
        <v>2267</v>
      </c>
      <c r="J202" s="8" t="s">
        <v>2268</v>
      </c>
      <c r="K202" s="8" t="s">
        <v>384</v>
      </c>
      <c r="L202" s="8" t="s">
        <v>774</v>
      </c>
      <c r="M202" s="10">
        <v>0</v>
      </c>
      <c r="N202" s="8" t="s">
        <v>775</v>
      </c>
      <c r="O202" s="8" t="s">
        <v>9</v>
      </c>
      <c r="P202" s="8" t="s">
        <v>1955</v>
      </c>
      <c r="Q202" s="8" t="s">
        <v>1172</v>
      </c>
      <c r="R202" s="8" t="s">
        <v>1956</v>
      </c>
      <c r="S202" s="8" t="s">
        <v>356</v>
      </c>
      <c r="T202" s="8" t="s">
        <v>1172</v>
      </c>
      <c r="U202" s="8" t="s">
        <v>1968</v>
      </c>
      <c r="V202" s="8" t="s">
        <v>1172</v>
      </c>
      <c r="W202" s="8" t="s">
        <v>1969</v>
      </c>
      <c r="X202" s="8" t="s">
        <v>1815</v>
      </c>
      <c r="Y202" s="8" t="s">
        <v>112</v>
      </c>
      <c r="Z202" s="8" t="s">
        <v>1959</v>
      </c>
    </row>
    <row r="203" spans="1:26" ht="72" x14ac:dyDescent="0.3">
      <c r="A203" s="8" t="s">
        <v>2272</v>
      </c>
      <c r="B203" s="8" t="s">
        <v>9</v>
      </c>
      <c r="C203" s="10">
        <v>292626</v>
      </c>
      <c r="D203" s="8" t="s">
        <v>155</v>
      </c>
      <c r="E203" s="8" t="s">
        <v>1951</v>
      </c>
      <c r="F203" s="8" t="s">
        <v>1966</v>
      </c>
      <c r="G203" s="8" t="s">
        <v>9</v>
      </c>
      <c r="H203" s="8" t="s">
        <v>352</v>
      </c>
      <c r="I203" s="8" t="s">
        <v>2267</v>
      </c>
      <c r="J203" s="8" t="s">
        <v>2268</v>
      </c>
      <c r="K203" s="8" t="s">
        <v>384</v>
      </c>
      <c r="L203" s="8" t="s">
        <v>786</v>
      </c>
      <c r="M203" s="10">
        <v>0</v>
      </c>
      <c r="N203" s="8" t="s">
        <v>787</v>
      </c>
      <c r="O203" s="8" t="s">
        <v>9</v>
      </c>
      <c r="P203" s="8" t="s">
        <v>1955</v>
      </c>
      <c r="Q203" s="8" t="s">
        <v>1172</v>
      </c>
      <c r="R203" s="8" t="s">
        <v>1956</v>
      </c>
      <c r="S203" s="8" t="s">
        <v>356</v>
      </c>
      <c r="T203" s="8" t="s">
        <v>1172</v>
      </c>
      <c r="U203" s="8" t="s">
        <v>1968</v>
      </c>
      <c r="V203" s="8" t="s">
        <v>1172</v>
      </c>
      <c r="W203" s="8" t="s">
        <v>1969</v>
      </c>
      <c r="X203" s="8" t="s">
        <v>1815</v>
      </c>
      <c r="Y203" s="8" t="s">
        <v>112</v>
      </c>
      <c r="Z203" s="8" t="s">
        <v>1959</v>
      </c>
    </row>
    <row r="204" spans="1:26" ht="19.95" customHeight="1" x14ac:dyDescent="0.3">
      <c r="A204" s="8" t="s">
        <v>2273</v>
      </c>
      <c r="B204" s="8" t="s">
        <v>9</v>
      </c>
      <c r="C204" s="10">
        <v>292626</v>
      </c>
      <c r="D204" s="8" t="s">
        <v>155</v>
      </c>
      <c r="E204" s="8" t="s">
        <v>1951</v>
      </c>
      <c r="F204" s="8" t="s">
        <v>1966</v>
      </c>
      <c r="G204" s="8" t="s">
        <v>9</v>
      </c>
      <c r="H204" s="8" t="s">
        <v>352</v>
      </c>
      <c r="I204" s="8" t="s">
        <v>2267</v>
      </c>
      <c r="J204" s="8" t="s">
        <v>2268</v>
      </c>
      <c r="K204" s="8" t="s">
        <v>384</v>
      </c>
      <c r="L204" s="8" t="s">
        <v>765</v>
      </c>
      <c r="M204" s="10">
        <v>0</v>
      </c>
      <c r="N204" s="8" t="s">
        <v>766</v>
      </c>
      <c r="O204" s="8" t="s">
        <v>9</v>
      </c>
      <c r="P204" s="8" t="s">
        <v>1955</v>
      </c>
      <c r="Q204" s="8" t="s">
        <v>1172</v>
      </c>
      <c r="R204" s="8" t="s">
        <v>1956</v>
      </c>
      <c r="S204" s="8" t="s">
        <v>356</v>
      </c>
      <c r="T204" s="8" t="s">
        <v>1172</v>
      </c>
      <c r="U204" s="8" t="s">
        <v>1968</v>
      </c>
      <c r="V204" s="8" t="s">
        <v>1172</v>
      </c>
      <c r="W204" s="8" t="s">
        <v>1969</v>
      </c>
      <c r="X204" s="8" t="s">
        <v>1815</v>
      </c>
      <c r="Y204" s="8" t="s">
        <v>112</v>
      </c>
      <c r="Z204" s="8" t="s">
        <v>1959</v>
      </c>
    </row>
    <row r="205" spans="1:26" ht="72" x14ac:dyDescent="0.3">
      <c r="A205" s="8" t="s">
        <v>2274</v>
      </c>
      <c r="B205" s="8" t="s">
        <v>9</v>
      </c>
      <c r="C205" s="10">
        <v>292626</v>
      </c>
      <c r="D205" s="8" t="s">
        <v>155</v>
      </c>
      <c r="E205" s="8" t="s">
        <v>1951</v>
      </c>
      <c r="F205" s="8" t="s">
        <v>1966</v>
      </c>
      <c r="G205" s="8" t="s">
        <v>9</v>
      </c>
      <c r="H205" s="8" t="s">
        <v>352</v>
      </c>
      <c r="I205" s="8" t="s">
        <v>2267</v>
      </c>
      <c r="J205" s="8" t="s">
        <v>2268</v>
      </c>
      <c r="K205" s="8" t="s">
        <v>384</v>
      </c>
      <c r="L205" s="8" t="s">
        <v>789</v>
      </c>
      <c r="M205" s="10">
        <v>0</v>
      </c>
      <c r="N205" s="8" t="s">
        <v>790</v>
      </c>
      <c r="O205" s="8" t="s">
        <v>9</v>
      </c>
      <c r="P205" s="8" t="s">
        <v>1955</v>
      </c>
      <c r="Q205" s="8" t="s">
        <v>1172</v>
      </c>
      <c r="R205" s="8" t="s">
        <v>1956</v>
      </c>
      <c r="S205" s="8" t="s">
        <v>356</v>
      </c>
      <c r="T205" s="8" t="s">
        <v>1172</v>
      </c>
      <c r="U205" s="8" t="s">
        <v>1968</v>
      </c>
      <c r="V205" s="8" t="s">
        <v>1172</v>
      </c>
      <c r="W205" s="8" t="s">
        <v>1969</v>
      </c>
      <c r="X205" s="8" t="s">
        <v>1815</v>
      </c>
      <c r="Y205" s="8" t="s">
        <v>112</v>
      </c>
      <c r="Z205" s="8" t="s">
        <v>1959</v>
      </c>
    </row>
    <row r="206" spans="1:26" ht="19.95" customHeight="1" x14ac:dyDescent="0.3">
      <c r="A206" s="8" t="s">
        <v>2275</v>
      </c>
      <c r="B206" s="8" t="s">
        <v>9</v>
      </c>
      <c r="C206" s="10">
        <v>292626</v>
      </c>
      <c r="D206" s="8" t="s">
        <v>155</v>
      </c>
      <c r="E206" s="8" t="s">
        <v>1951</v>
      </c>
      <c r="F206" s="8" t="s">
        <v>1966</v>
      </c>
      <c r="G206" s="8" t="s">
        <v>9</v>
      </c>
      <c r="H206" s="8" t="s">
        <v>352</v>
      </c>
      <c r="I206" s="8" t="s">
        <v>2267</v>
      </c>
      <c r="J206" s="8" t="s">
        <v>2268</v>
      </c>
      <c r="K206" s="8" t="s">
        <v>384</v>
      </c>
      <c r="L206" s="8" t="s">
        <v>777</v>
      </c>
      <c r="M206" s="10">
        <v>0</v>
      </c>
      <c r="N206" s="8" t="s">
        <v>778</v>
      </c>
      <c r="O206" s="8" t="s">
        <v>9</v>
      </c>
      <c r="P206" s="8" t="s">
        <v>1955</v>
      </c>
      <c r="Q206" s="8" t="s">
        <v>1172</v>
      </c>
      <c r="R206" s="8" t="s">
        <v>1956</v>
      </c>
      <c r="S206" s="8" t="s">
        <v>356</v>
      </c>
      <c r="T206" s="8" t="s">
        <v>1172</v>
      </c>
      <c r="U206" s="8" t="s">
        <v>1968</v>
      </c>
      <c r="V206" s="8" t="s">
        <v>1172</v>
      </c>
      <c r="W206" s="8" t="s">
        <v>1969</v>
      </c>
      <c r="X206" s="8" t="s">
        <v>1815</v>
      </c>
      <c r="Y206" s="8" t="s">
        <v>112</v>
      </c>
      <c r="Z206" s="8" t="s">
        <v>1959</v>
      </c>
    </row>
    <row r="207" spans="1:26" ht="72" x14ac:dyDescent="0.3">
      <c r="A207" s="8" t="s">
        <v>2276</v>
      </c>
      <c r="B207" s="8" t="s">
        <v>9</v>
      </c>
      <c r="C207" s="10">
        <v>292626</v>
      </c>
      <c r="D207" s="8" t="s">
        <v>155</v>
      </c>
      <c r="E207" s="8" t="s">
        <v>1951</v>
      </c>
      <c r="F207" s="8" t="s">
        <v>1966</v>
      </c>
      <c r="G207" s="8" t="s">
        <v>9</v>
      </c>
      <c r="H207" s="8" t="s">
        <v>352</v>
      </c>
      <c r="I207" s="8" t="s">
        <v>2267</v>
      </c>
      <c r="J207" s="8" t="s">
        <v>2268</v>
      </c>
      <c r="K207" s="8" t="s">
        <v>384</v>
      </c>
      <c r="L207" s="8" t="s">
        <v>792</v>
      </c>
      <c r="M207" s="10">
        <v>0</v>
      </c>
      <c r="N207" s="8" t="s">
        <v>793</v>
      </c>
      <c r="O207" s="8" t="s">
        <v>9</v>
      </c>
      <c r="P207" s="8" t="s">
        <v>1955</v>
      </c>
      <c r="Q207" s="8" t="s">
        <v>1172</v>
      </c>
      <c r="R207" s="8" t="s">
        <v>1956</v>
      </c>
      <c r="S207" s="8" t="s">
        <v>356</v>
      </c>
      <c r="T207" s="8" t="s">
        <v>1172</v>
      </c>
      <c r="U207" s="8" t="s">
        <v>1968</v>
      </c>
      <c r="V207" s="8" t="s">
        <v>1172</v>
      </c>
      <c r="W207" s="8" t="s">
        <v>1969</v>
      </c>
      <c r="X207" s="8" t="s">
        <v>1815</v>
      </c>
      <c r="Y207" s="8" t="s">
        <v>112</v>
      </c>
      <c r="Z207" s="8" t="s">
        <v>1959</v>
      </c>
    </row>
    <row r="208" spans="1:26" ht="60" x14ac:dyDescent="0.3">
      <c r="A208" s="8" t="s">
        <v>2277</v>
      </c>
      <c r="B208" s="8" t="s">
        <v>9</v>
      </c>
      <c r="C208" s="10">
        <v>292626</v>
      </c>
      <c r="D208" s="8" t="s">
        <v>155</v>
      </c>
      <c r="E208" s="8" t="s">
        <v>1951</v>
      </c>
      <c r="F208" s="8" t="s">
        <v>1966</v>
      </c>
      <c r="G208" s="8" t="s">
        <v>9</v>
      </c>
      <c r="H208" s="8" t="s">
        <v>352</v>
      </c>
      <c r="I208" s="8" t="s">
        <v>2267</v>
      </c>
      <c r="J208" s="8" t="s">
        <v>2268</v>
      </c>
      <c r="K208" s="8" t="s">
        <v>384</v>
      </c>
      <c r="L208" s="8" t="s">
        <v>768</v>
      </c>
      <c r="M208" s="10">
        <v>0</v>
      </c>
      <c r="N208" s="8" t="s">
        <v>769</v>
      </c>
      <c r="O208" s="8" t="s">
        <v>9</v>
      </c>
      <c r="P208" s="8" t="s">
        <v>1955</v>
      </c>
      <c r="Q208" s="8" t="s">
        <v>1172</v>
      </c>
      <c r="R208" s="8" t="s">
        <v>1956</v>
      </c>
      <c r="S208" s="8" t="s">
        <v>356</v>
      </c>
      <c r="T208" s="8" t="s">
        <v>1172</v>
      </c>
      <c r="U208" s="8" t="s">
        <v>1968</v>
      </c>
      <c r="V208" s="8" t="s">
        <v>1172</v>
      </c>
      <c r="W208" s="8" t="s">
        <v>1969</v>
      </c>
      <c r="X208" s="8" t="s">
        <v>1815</v>
      </c>
      <c r="Y208" s="8" t="s">
        <v>112</v>
      </c>
      <c r="Z208" s="8" t="s">
        <v>1959</v>
      </c>
    </row>
    <row r="209" spans="1:26" ht="72" x14ac:dyDescent="0.3">
      <c r="A209" s="8" t="s">
        <v>2278</v>
      </c>
      <c r="B209" s="8" t="s">
        <v>9</v>
      </c>
      <c r="C209" s="10">
        <v>292626</v>
      </c>
      <c r="D209" s="8" t="s">
        <v>155</v>
      </c>
      <c r="E209" s="8" t="s">
        <v>1951</v>
      </c>
      <c r="F209" s="8" t="s">
        <v>1966</v>
      </c>
      <c r="G209" s="8" t="s">
        <v>9</v>
      </c>
      <c r="H209" s="8" t="s">
        <v>352</v>
      </c>
      <c r="I209" s="8" t="s">
        <v>2267</v>
      </c>
      <c r="J209" s="8" t="s">
        <v>2268</v>
      </c>
      <c r="K209" s="8" t="s">
        <v>384</v>
      </c>
      <c r="L209" s="8" t="s">
        <v>795</v>
      </c>
      <c r="M209" s="10">
        <v>0</v>
      </c>
      <c r="N209" s="8" t="s">
        <v>784</v>
      </c>
      <c r="O209" s="8" t="s">
        <v>9</v>
      </c>
      <c r="P209" s="8" t="s">
        <v>1955</v>
      </c>
      <c r="Q209" s="8" t="s">
        <v>1172</v>
      </c>
      <c r="R209" s="8" t="s">
        <v>1956</v>
      </c>
      <c r="S209" s="8" t="s">
        <v>356</v>
      </c>
      <c r="T209" s="8" t="s">
        <v>1172</v>
      </c>
      <c r="U209" s="8" t="s">
        <v>1968</v>
      </c>
      <c r="V209" s="8" t="s">
        <v>1172</v>
      </c>
      <c r="W209" s="8" t="s">
        <v>1969</v>
      </c>
      <c r="X209" s="8" t="s">
        <v>1815</v>
      </c>
      <c r="Y209" s="8" t="s">
        <v>112</v>
      </c>
      <c r="Z209" s="8" t="s">
        <v>1959</v>
      </c>
    </row>
    <row r="210" spans="1:26" ht="60" x14ac:dyDescent="0.3">
      <c r="A210" s="8" t="s">
        <v>2279</v>
      </c>
      <c r="B210" s="8" t="s">
        <v>9</v>
      </c>
      <c r="C210" s="10">
        <v>292626</v>
      </c>
      <c r="D210" s="8" t="s">
        <v>155</v>
      </c>
      <c r="E210" s="8" t="s">
        <v>1951</v>
      </c>
      <c r="F210" s="8" t="s">
        <v>1966</v>
      </c>
      <c r="G210" s="8" t="s">
        <v>9</v>
      </c>
      <c r="H210" s="8" t="s">
        <v>352</v>
      </c>
      <c r="I210" s="8" t="s">
        <v>2267</v>
      </c>
      <c r="J210" s="8" t="s">
        <v>2268</v>
      </c>
      <c r="K210" s="8" t="s">
        <v>384</v>
      </c>
      <c r="L210" s="8" t="s">
        <v>797</v>
      </c>
      <c r="M210" s="10">
        <v>0</v>
      </c>
      <c r="N210" s="8" t="s">
        <v>798</v>
      </c>
      <c r="O210" s="8" t="s">
        <v>9</v>
      </c>
      <c r="P210" s="8" t="s">
        <v>1955</v>
      </c>
      <c r="Q210" s="8" t="s">
        <v>1172</v>
      </c>
      <c r="R210" s="8" t="s">
        <v>1956</v>
      </c>
      <c r="S210" s="8" t="s">
        <v>356</v>
      </c>
      <c r="T210" s="8" t="s">
        <v>1172</v>
      </c>
      <c r="U210" s="8" t="s">
        <v>1968</v>
      </c>
      <c r="V210" s="8" t="s">
        <v>1172</v>
      </c>
      <c r="W210" s="8" t="s">
        <v>1969</v>
      </c>
      <c r="X210" s="8" t="s">
        <v>1815</v>
      </c>
      <c r="Y210" s="8" t="s">
        <v>112</v>
      </c>
      <c r="Z210" s="8" t="s">
        <v>1959</v>
      </c>
    </row>
    <row r="211" spans="1:26" ht="60" x14ac:dyDescent="0.3">
      <c r="A211" s="8" t="s">
        <v>2280</v>
      </c>
      <c r="B211" s="8" t="s">
        <v>9</v>
      </c>
      <c r="C211" s="10">
        <v>292626</v>
      </c>
      <c r="D211" s="8" t="s">
        <v>155</v>
      </c>
      <c r="E211" s="8" t="s">
        <v>1951</v>
      </c>
      <c r="F211" s="8" t="s">
        <v>1966</v>
      </c>
      <c r="G211" s="8" t="s">
        <v>9</v>
      </c>
      <c r="H211" s="8" t="s">
        <v>352</v>
      </c>
      <c r="I211" s="8" t="s">
        <v>2267</v>
      </c>
      <c r="J211" s="8" t="s">
        <v>2268</v>
      </c>
      <c r="K211" s="8" t="s">
        <v>384</v>
      </c>
      <c r="L211" s="8" t="s">
        <v>800</v>
      </c>
      <c r="M211" s="10">
        <v>0</v>
      </c>
      <c r="N211" s="8" t="s">
        <v>801</v>
      </c>
      <c r="O211" s="8" t="s">
        <v>9</v>
      </c>
      <c r="P211" s="8" t="s">
        <v>1955</v>
      </c>
      <c r="Q211" s="8" t="s">
        <v>1172</v>
      </c>
      <c r="R211" s="8" t="s">
        <v>1956</v>
      </c>
      <c r="S211" s="8" t="s">
        <v>356</v>
      </c>
      <c r="T211" s="8" t="s">
        <v>1172</v>
      </c>
      <c r="U211" s="8" t="s">
        <v>1968</v>
      </c>
      <c r="V211" s="8" t="s">
        <v>1172</v>
      </c>
      <c r="W211" s="8" t="s">
        <v>1969</v>
      </c>
      <c r="X211" s="8" t="s">
        <v>1815</v>
      </c>
      <c r="Y211" s="8" t="s">
        <v>112</v>
      </c>
      <c r="Z211" s="8" t="s">
        <v>1959</v>
      </c>
    </row>
    <row r="212" spans="1:26" ht="24" x14ac:dyDescent="0.3">
      <c r="A212" s="8" t="s">
        <v>2281</v>
      </c>
      <c r="B212" s="8" t="s">
        <v>9</v>
      </c>
      <c r="C212" s="10">
        <v>292079</v>
      </c>
      <c r="D212" s="8" t="s">
        <v>448</v>
      </c>
      <c r="E212" s="8" t="s">
        <v>1986</v>
      </c>
      <c r="F212" s="8" t="s">
        <v>1952</v>
      </c>
      <c r="G212" s="8" t="s">
        <v>9</v>
      </c>
      <c r="H212" s="8" t="s">
        <v>352</v>
      </c>
      <c r="I212" s="8" t="s">
        <v>1729</v>
      </c>
      <c r="J212" s="8" t="s">
        <v>355</v>
      </c>
      <c r="K212" s="8" t="s">
        <v>357</v>
      </c>
      <c r="L212" s="8" t="s">
        <v>358</v>
      </c>
      <c r="M212" s="10">
        <v>806154</v>
      </c>
      <c r="N212" s="8" t="s">
        <v>2282</v>
      </c>
      <c r="O212" s="8" t="s">
        <v>9</v>
      </c>
      <c r="P212" s="8" t="s">
        <v>2038</v>
      </c>
      <c r="Q212" s="8" t="s">
        <v>1956</v>
      </c>
      <c r="R212" s="8" t="s">
        <v>1956</v>
      </c>
      <c r="S212" s="8" t="s">
        <v>356</v>
      </c>
      <c r="T212" s="8" t="s">
        <v>1172</v>
      </c>
      <c r="U212" s="8" t="s">
        <v>1957</v>
      </c>
      <c r="V212" s="8" t="s">
        <v>283</v>
      </c>
      <c r="W212" s="8" t="s">
        <v>1958</v>
      </c>
      <c r="X212" s="8" t="s">
        <v>355</v>
      </c>
      <c r="Y212" s="8" t="s">
        <v>112</v>
      </c>
      <c r="Z212" s="8" t="s">
        <v>2039</v>
      </c>
    </row>
    <row r="213" spans="1:26" ht="36" x14ac:dyDescent="0.3">
      <c r="A213" s="8" t="s">
        <v>2283</v>
      </c>
      <c r="B213" s="8" t="s">
        <v>9</v>
      </c>
      <c r="C213" s="10">
        <v>275412</v>
      </c>
      <c r="D213" s="8" t="s">
        <v>157</v>
      </c>
      <c r="E213" s="8" t="s">
        <v>2228</v>
      </c>
      <c r="F213" s="8" t="s">
        <v>1966</v>
      </c>
      <c r="G213" s="8" t="s">
        <v>9</v>
      </c>
      <c r="H213" s="8" t="s">
        <v>352</v>
      </c>
      <c r="I213" s="8" t="s">
        <v>355</v>
      </c>
      <c r="J213" s="8" t="s">
        <v>355</v>
      </c>
      <c r="K213" s="8" t="s">
        <v>355</v>
      </c>
      <c r="L213" s="8" t="s">
        <v>355</v>
      </c>
      <c r="M213" s="10" t="s">
        <v>355</v>
      </c>
      <c r="N213" s="8" t="s">
        <v>355</v>
      </c>
      <c r="O213" s="8" t="s">
        <v>9</v>
      </c>
      <c r="P213" s="8" t="s">
        <v>1956</v>
      </c>
      <c r="Q213" s="8" t="s">
        <v>1956</v>
      </c>
      <c r="R213" s="8" t="s">
        <v>1956</v>
      </c>
      <c r="S213" s="8" t="s">
        <v>356</v>
      </c>
      <c r="T213" s="8" t="s">
        <v>1956</v>
      </c>
      <c r="U213" s="8" t="s">
        <v>1957</v>
      </c>
      <c r="V213" s="8" t="s">
        <v>1172</v>
      </c>
      <c r="W213" s="8" t="s">
        <v>2002</v>
      </c>
      <c r="X213" s="8" t="s">
        <v>1822</v>
      </c>
      <c r="Y213" s="8" t="s">
        <v>112</v>
      </c>
      <c r="Z213" s="8" t="s">
        <v>2003</v>
      </c>
    </row>
    <row r="214" spans="1:26" ht="36" x14ac:dyDescent="0.3">
      <c r="A214" s="8" t="s">
        <v>2284</v>
      </c>
      <c r="B214" s="8" t="s">
        <v>9</v>
      </c>
      <c r="C214" s="10">
        <v>275457</v>
      </c>
      <c r="D214" s="8" t="s">
        <v>159</v>
      </c>
      <c r="E214" s="8" t="s">
        <v>2228</v>
      </c>
      <c r="F214" s="8" t="s">
        <v>1966</v>
      </c>
      <c r="G214" s="8" t="s">
        <v>9</v>
      </c>
      <c r="H214" s="8" t="s">
        <v>352</v>
      </c>
      <c r="I214" s="8" t="s">
        <v>355</v>
      </c>
      <c r="J214" s="8" t="s">
        <v>355</v>
      </c>
      <c r="K214" s="8" t="s">
        <v>355</v>
      </c>
      <c r="L214" s="8" t="s">
        <v>355</v>
      </c>
      <c r="M214" s="10" t="s">
        <v>355</v>
      </c>
      <c r="N214" s="8" t="s">
        <v>355</v>
      </c>
      <c r="O214" s="8" t="s">
        <v>9</v>
      </c>
      <c r="P214" s="8" t="s">
        <v>1956</v>
      </c>
      <c r="Q214" s="8" t="s">
        <v>1956</v>
      </c>
      <c r="R214" s="8" t="s">
        <v>1956</v>
      </c>
      <c r="S214" s="8" t="s">
        <v>356</v>
      </c>
      <c r="T214" s="8" t="s">
        <v>1956</v>
      </c>
      <c r="U214" s="8" t="s">
        <v>1957</v>
      </c>
      <c r="V214" s="8" t="s">
        <v>1172</v>
      </c>
      <c r="W214" s="8" t="s">
        <v>2002</v>
      </c>
      <c r="X214" s="8" t="s">
        <v>1824</v>
      </c>
      <c r="Y214" s="8" t="s">
        <v>112</v>
      </c>
      <c r="Z214" s="8" t="s">
        <v>2003</v>
      </c>
    </row>
    <row r="215" spans="1:26" ht="24" x14ac:dyDescent="0.3">
      <c r="A215" s="8" t="s">
        <v>2285</v>
      </c>
      <c r="B215" s="8" t="s">
        <v>9</v>
      </c>
      <c r="C215" s="10">
        <v>275324</v>
      </c>
      <c r="D215" s="8" t="s">
        <v>452</v>
      </c>
      <c r="E215" s="8" t="s">
        <v>1986</v>
      </c>
      <c r="F215" s="8" t="s">
        <v>1952</v>
      </c>
      <c r="G215" s="8" t="s">
        <v>9</v>
      </c>
      <c r="H215" s="8" t="s">
        <v>352</v>
      </c>
      <c r="I215" s="8" t="s">
        <v>1729</v>
      </c>
      <c r="J215" s="8" t="s">
        <v>2286</v>
      </c>
      <c r="K215" s="8" t="s">
        <v>384</v>
      </c>
      <c r="L215" s="8" t="s">
        <v>2287</v>
      </c>
      <c r="M215" s="10">
        <v>0</v>
      </c>
      <c r="N215" s="8" t="s">
        <v>355</v>
      </c>
      <c r="O215" s="8" t="s">
        <v>9</v>
      </c>
      <c r="P215" s="8" t="s">
        <v>1955</v>
      </c>
      <c r="Q215" s="8" t="s">
        <v>1956</v>
      </c>
      <c r="R215" s="8" t="s">
        <v>1956</v>
      </c>
      <c r="S215" s="8" t="s">
        <v>356</v>
      </c>
      <c r="T215" s="8" t="s">
        <v>1172</v>
      </c>
      <c r="U215" s="8" t="s">
        <v>1957</v>
      </c>
      <c r="V215" s="8" t="s">
        <v>283</v>
      </c>
      <c r="W215" s="8" t="s">
        <v>1958</v>
      </c>
      <c r="X215" s="8" t="s">
        <v>355</v>
      </c>
      <c r="Y215" s="8" t="s">
        <v>112</v>
      </c>
      <c r="Z215" s="8" t="s">
        <v>1959</v>
      </c>
    </row>
    <row r="216" spans="1:26" ht="24" x14ac:dyDescent="0.3">
      <c r="A216" s="8" t="s">
        <v>2288</v>
      </c>
      <c r="B216" s="8" t="s">
        <v>9</v>
      </c>
      <c r="C216" s="10">
        <v>275324</v>
      </c>
      <c r="D216" s="8" t="s">
        <v>452</v>
      </c>
      <c r="E216" s="8" t="s">
        <v>1986</v>
      </c>
      <c r="F216" s="8" t="s">
        <v>1952</v>
      </c>
      <c r="G216" s="8" t="s">
        <v>9</v>
      </c>
      <c r="H216" s="8" t="s">
        <v>352</v>
      </c>
      <c r="I216" s="8" t="s">
        <v>1973</v>
      </c>
      <c r="J216" s="8" t="s">
        <v>2286</v>
      </c>
      <c r="K216" s="8" t="s">
        <v>384</v>
      </c>
      <c r="L216" s="8" t="s">
        <v>2287</v>
      </c>
      <c r="M216" s="10">
        <v>0</v>
      </c>
      <c r="N216" s="8" t="s">
        <v>590</v>
      </c>
      <c r="O216" s="8" t="s">
        <v>9</v>
      </c>
      <c r="P216" s="8" t="s">
        <v>1955</v>
      </c>
      <c r="Q216" s="8" t="s">
        <v>1956</v>
      </c>
      <c r="R216" s="8" t="s">
        <v>1956</v>
      </c>
      <c r="S216" s="8" t="s">
        <v>356</v>
      </c>
      <c r="T216" s="8" t="s">
        <v>1172</v>
      </c>
      <c r="U216" s="8" t="s">
        <v>1957</v>
      </c>
      <c r="V216" s="8" t="s">
        <v>283</v>
      </c>
      <c r="W216" s="8" t="s">
        <v>1958</v>
      </c>
      <c r="X216" s="8" t="s">
        <v>355</v>
      </c>
      <c r="Y216" s="8" t="s">
        <v>112</v>
      </c>
      <c r="Z216" s="8" t="s">
        <v>1959</v>
      </c>
    </row>
    <row r="217" spans="1:26" ht="36" x14ac:dyDescent="0.3">
      <c r="A217" s="8" t="s">
        <v>2289</v>
      </c>
      <c r="B217" s="8" t="s">
        <v>9</v>
      </c>
      <c r="C217" s="10">
        <v>319335</v>
      </c>
      <c r="D217" s="8" t="s">
        <v>161</v>
      </c>
      <c r="E217" s="8" t="s">
        <v>1951</v>
      </c>
      <c r="F217" s="8" t="s">
        <v>1966</v>
      </c>
      <c r="G217" s="8" t="s">
        <v>9</v>
      </c>
      <c r="H217" s="8" t="s">
        <v>352</v>
      </c>
      <c r="I217" s="8" t="s">
        <v>1729</v>
      </c>
      <c r="J217" s="8" t="s">
        <v>2290</v>
      </c>
      <c r="K217" s="8" t="s">
        <v>384</v>
      </c>
      <c r="L217" s="8" t="s">
        <v>831</v>
      </c>
      <c r="M217" s="10">
        <v>0</v>
      </c>
      <c r="N217" s="8" t="s">
        <v>832</v>
      </c>
      <c r="O217" s="8" t="s">
        <v>9</v>
      </c>
      <c r="P217" s="8" t="s">
        <v>1955</v>
      </c>
      <c r="Q217" s="8" t="s">
        <v>1956</v>
      </c>
      <c r="R217" s="8" t="s">
        <v>1956</v>
      </c>
      <c r="S217" s="8" t="s">
        <v>356</v>
      </c>
      <c r="T217" s="8" t="s">
        <v>1172</v>
      </c>
      <c r="U217" s="8" t="s">
        <v>1968</v>
      </c>
      <c r="V217" s="8" t="s">
        <v>1172</v>
      </c>
      <c r="W217" s="8" t="s">
        <v>1969</v>
      </c>
      <c r="X217" s="8" t="s">
        <v>1826</v>
      </c>
      <c r="Y217" s="8" t="s">
        <v>112</v>
      </c>
      <c r="Z217" s="8" t="s">
        <v>1970</v>
      </c>
    </row>
    <row r="218" spans="1:26" ht="48" x14ac:dyDescent="0.3">
      <c r="A218" s="8" t="s">
        <v>2291</v>
      </c>
      <c r="B218" s="8" t="s">
        <v>9</v>
      </c>
      <c r="C218" s="10">
        <v>319335</v>
      </c>
      <c r="D218" s="8" t="s">
        <v>161</v>
      </c>
      <c r="E218" s="8" t="s">
        <v>1951</v>
      </c>
      <c r="F218" s="8" t="s">
        <v>1966</v>
      </c>
      <c r="G218" s="8" t="s">
        <v>9</v>
      </c>
      <c r="H218" s="8" t="s">
        <v>352</v>
      </c>
      <c r="I218" s="8" t="s">
        <v>1729</v>
      </c>
      <c r="J218" s="8" t="s">
        <v>2290</v>
      </c>
      <c r="K218" s="8" t="s">
        <v>384</v>
      </c>
      <c r="L218" s="8" t="s">
        <v>835</v>
      </c>
      <c r="M218" s="10">
        <v>0</v>
      </c>
      <c r="N218" s="8" t="s">
        <v>836</v>
      </c>
      <c r="O218" s="8" t="s">
        <v>9</v>
      </c>
      <c r="P218" s="8" t="s">
        <v>1955</v>
      </c>
      <c r="Q218" s="8" t="s">
        <v>1956</v>
      </c>
      <c r="R218" s="8" t="s">
        <v>1956</v>
      </c>
      <c r="S218" s="8" t="s">
        <v>356</v>
      </c>
      <c r="T218" s="8" t="s">
        <v>1172</v>
      </c>
      <c r="U218" s="8" t="s">
        <v>1968</v>
      </c>
      <c r="V218" s="8" t="s">
        <v>1172</v>
      </c>
      <c r="W218" s="8" t="s">
        <v>1969</v>
      </c>
      <c r="X218" s="8" t="s">
        <v>1826</v>
      </c>
      <c r="Y218" s="8" t="s">
        <v>112</v>
      </c>
      <c r="Z218" s="8" t="s">
        <v>1970</v>
      </c>
    </row>
    <row r="219" spans="1:26" ht="60" x14ac:dyDescent="0.3">
      <c r="A219" s="8" t="s">
        <v>2292</v>
      </c>
      <c r="B219" s="8" t="s">
        <v>9</v>
      </c>
      <c r="C219" s="10">
        <v>215655</v>
      </c>
      <c r="D219" s="8" t="s">
        <v>163</v>
      </c>
      <c r="E219" s="8" t="s">
        <v>1951</v>
      </c>
      <c r="F219" s="8" t="s">
        <v>1966</v>
      </c>
      <c r="G219" s="8" t="s">
        <v>9</v>
      </c>
      <c r="H219" s="8" t="s">
        <v>352</v>
      </c>
      <c r="I219" s="8" t="s">
        <v>1729</v>
      </c>
      <c r="J219" s="8" t="s">
        <v>2293</v>
      </c>
      <c r="K219" s="8" t="s">
        <v>384</v>
      </c>
      <c r="L219" s="8" t="s">
        <v>838</v>
      </c>
      <c r="M219" s="10">
        <v>0</v>
      </c>
      <c r="N219" s="8" t="s">
        <v>590</v>
      </c>
      <c r="O219" s="8" t="s">
        <v>9</v>
      </c>
      <c r="P219" s="8" t="s">
        <v>1955</v>
      </c>
      <c r="Q219" s="8" t="s">
        <v>1956</v>
      </c>
      <c r="R219" s="8" t="s">
        <v>1956</v>
      </c>
      <c r="S219" s="8" t="s">
        <v>356</v>
      </c>
      <c r="T219" s="8" t="s">
        <v>1172</v>
      </c>
      <c r="U219" s="8" t="s">
        <v>1968</v>
      </c>
      <c r="V219" s="8" t="s">
        <v>1172</v>
      </c>
      <c r="W219" s="8" t="s">
        <v>1969</v>
      </c>
      <c r="X219" s="8" t="s">
        <v>1832</v>
      </c>
      <c r="Y219" s="8" t="s">
        <v>112</v>
      </c>
      <c r="Z219" s="8" t="s">
        <v>1959</v>
      </c>
    </row>
    <row r="220" spans="1:26" ht="36" x14ac:dyDescent="0.3">
      <c r="A220" s="8" t="s">
        <v>2294</v>
      </c>
      <c r="B220" s="8" t="s">
        <v>9</v>
      </c>
      <c r="C220" s="10">
        <v>228711</v>
      </c>
      <c r="D220" s="8" t="s">
        <v>456</v>
      </c>
      <c r="E220" s="8" t="s">
        <v>1986</v>
      </c>
      <c r="F220" s="8" t="s">
        <v>1952</v>
      </c>
      <c r="G220" s="8" t="s">
        <v>9</v>
      </c>
      <c r="H220" s="8" t="s">
        <v>352</v>
      </c>
      <c r="I220" s="8" t="s">
        <v>1729</v>
      </c>
      <c r="J220" s="8" t="s">
        <v>2295</v>
      </c>
      <c r="K220" s="8" t="s">
        <v>384</v>
      </c>
      <c r="L220" s="8" t="s">
        <v>2296</v>
      </c>
      <c r="M220" s="10">
        <v>0</v>
      </c>
      <c r="N220" s="8" t="s">
        <v>355</v>
      </c>
      <c r="O220" s="8" t="s">
        <v>9</v>
      </c>
      <c r="P220" s="8" t="s">
        <v>1955</v>
      </c>
      <c r="Q220" s="8" t="s">
        <v>1956</v>
      </c>
      <c r="R220" s="8" t="s">
        <v>1956</v>
      </c>
      <c r="S220" s="8" t="s">
        <v>356</v>
      </c>
      <c r="T220" s="8" t="s">
        <v>1172</v>
      </c>
      <c r="U220" s="8" t="s">
        <v>1957</v>
      </c>
      <c r="V220" s="8" t="s">
        <v>283</v>
      </c>
      <c r="W220" s="8" t="s">
        <v>1958</v>
      </c>
      <c r="X220" s="8" t="s">
        <v>355</v>
      </c>
      <c r="Y220" s="8" t="s">
        <v>112</v>
      </c>
      <c r="Z220" s="8" t="s">
        <v>1959</v>
      </c>
    </row>
    <row r="221" spans="1:26" ht="36" x14ac:dyDescent="0.3">
      <c r="A221" s="8" t="s">
        <v>2297</v>
      </c>
      <c r="B221" s="8" t="s">
        <v>9</v>
      </c>
      <c r="C221" s="10">
        <v>228711</v>
      </c>
      <c r="D221" s="8" t="s">
        <v>456</v>
      </c>
      <c r="E221" s="8" t="s">
        <v>1986</v>
      </c>
      <c r="F221" s="8" t="s">
        <v>1952</v>
      </c>
      <c r="G221" s="8" t="s">
        <v>9</v>
      </c>
      <c r="H221" s="8" t="s">
        <v>352</v>
      </c>
      <c r="I221" s="8" t="s">
        <v>1973</v>
      </c>
      <c r="J221" s="8" t="s">
        <v>2295</v>
      </c>
      <c r="K221" s="8" t="s">
        <v>384</v>
      </c>
      <c r="L221" s="8" t="s">
        <v>2296</v>
      </c>
      <c r="M221" s="10">
        <v>0</v>
      </c>
      <c r="N221" s="8" t="s">
        <v>590</v>
      </c>
      <c r="O221" s="8" t="s">
        <v>9</v>
      </c>
      <c r="P221" s="8" t="s">
        <v>1955</v>
      </c>
      <c r="Q221" s="8" t="s">
        <v>1956</v>
      </c>
      <c r="R221" s="8" t="s">
        <v>1956</v>
      </c>
      <c r="S221" s="8" t="s">
        <v>356</v>
      </c>
      <c r="T221" s="8" t="s">
        <v>1172</v>
      </c>
      <c r="U221" s="8" t="s">
        <v>1957</v>
      </c>
      <c r="V221" s="8" t="s">
        <v>283</v>
      </c>
      <c r="W221" s="8" t="s">
        <v>1958</v>
      </c>
      <c r="X221" s="8" t="s">
        <v>355</v>
      </c>
      <c r="Y221" s="8" t="s">
        <v>112</v>
      </c>
      <c r="Z221" s="8" t="s">
        <v>1959</v>
      </c>
    </row>
    <row r="222" spans="1:26" ht="24" x14ac:dyDescent="0.3">
      <c r="A222" s="8" t="s">
        <v>2298</v>
      </c>
      <c r="B222" s="8" t="s">
        <v>9</v>
      </c>
      <c r="C222" s="10">
        <v>257121</v>
      </c>
      <c r="D222" s="8" t="s">
        <v>460</v>
      </c>
      <c r="E222" s="8" t="s">
        <v>1986</v>
      </c>
      <c r="F222" s="8" t="s">
        <v>1952</v>
      </c>
      <c r="G222" s="8" t="s">
        <v>9</v>
      </c>
      <c r="H222" s="8" t="s">
        <v>352</v>
      </c>
      <c r="I222" s="8" t="s">
        <v>1729</v>
      </c>
      <c r="J222" s="8" t="s">
        <v>2299</v>
      </c>
      <c r="K222" s="8" t="s">
        <v>384</v>
      </c>
      <c r="L222" s="8" t="s">
        <v>2300</v>
      </c>
      <c r="M222" s="10">
        <v>0</v>
      </c>
      <c r="N222" s="8" t="s">
        <v>590</v>
      </c>
      <c r="O222" s="8" t="s">
        <v>9</v>
      </c>
      <c r="P222" s="8" t="s">
        <v>1955</v>
      </c>
      <c r="Q222" s="8" t="s">
        <v>1956</v>
      </c>
      <c r="R222" s="8" t="s">
        <v>1956</v>
      </c>
      <c r="S222" s="8" t="s">
        <v>356</v>
      </c>
      <c r="T222" s="8" t="s">
        <v>1172</v>
      </c>
      <c r="U222" s="8" t="s">
        <v>1957</v>
      </c>
      <c r="V222" s="8" t="s">
        <v>283</v>
      </c>
      <c r="W222" s="8" t="s">
        <v>1958</v>
      </c>
      <c r="X222" s="8" t="s">
        <v>355</v>
      </c>
      <c r="Y222" s="8" t="s">
        <v>112</v>
      </c>
      <c r="Z222" s="8" t="s">
        <v>1959</v>
      </c>
    </row>
    <row r="223" spans="1:26" ht="24" x14ac:dyDescent="0.3">
      <c r="A223" s="8" t="s">
        <v>2301</v>
      </c>
      <c r="B223" s="8" t="s">
        <v>9</v>
      </c>
      <c r="C223" s="10">
        <v>257121</v>
      </c>
      <c r="D223" s="8" t="s">
        <v>460</v>
      </c>
      <c r="E223" s="8" t="s">
        <v>1986</v>
      </c>
      <c r="F223" s="8" t="s">
        <v>1952</v>
      </c>
      <c r="G223" s="8" t="s">
        <v>9</v>
      </c>
      <c r="H223" s="8" t="s">
        <v>352</v>
      </c>
      <c r="I223" s="8" t="s">
        <v>1973</v>
      </c>
      <c r="J223" s="8" t="s">
        <v>2299</v>
      </c>
      <c r="K223" s="8" t="s">
        <v>384</v>
      </c>
      <c r="L223" s="8" t="s">
        <v>2300</v>
      </c>
      <c r="M223" s="10">
        <v>0</v>
      </c>
      <c r="N223" s="8" t="s">
        <v>603</v>
      </c>
      <c r="O223" s="8" t="s">
        <v>9</v>
      </c>
      <c r="P223" s="8" t="s">
        <v>1955</v>
      </c>
      <c r="Q223" s="8" t="s">
        <v>1956</v>
      </c>
      <c r="R223" s="8" t="s">
        <v>1956</v>
      </c>
      <c r="S223" s="8" t="s">
        <v>356</v>
      </c>
      <c r="T223" s="8" t="s">
        <v>1172</v>
      </c>
      <c r="U223" s="8" t="s">
        <v>1957</v>
      </c>
      <c r="V223" s="8" t="s">
        <v>283</v>
      </c>
      <c r="W223" s="8" t="s">
        <v>1958</v>
      </c>
      <c r="X223" s="8" t="s">
        <v>355</v>
      </c>
      <c r="Y223" s="8" t="s">
        <v>112</v>
      </c>
      <c r="Z223" s="8" t="s">
        <v>1959</v>
      </c>
    </row>
    <row r="224" spans="1:26" ht="36" x14ac:dyDescent="0.3">
      <c r="A224" s="8" t="s">
        <v>2302</v>
      </c>
      <c r="B224" s="8" t="s">
        <v>9</v>
      </c>
      <c r="C224" s="10">
        <v>257120</v>
      </c>
      <c r="D224" s="8" t="s">
        <v>462</v>
      </c>
      <c r="E224" s="8" t="s">
        <v>1986</v>
      </c>
      <c r="F224" s="8" t="s">
        <v>1952</v>
      </c>
      <c r="G224" s="8" t="s">
        <v>9</v>
      </c>
      <c r="H224" s="8" t="s">
        <v>352</v>
      </c>
      <c r="I224" s="8" t="s">
        <v>1729</v>
      </c>
      <c r="J224" s="8" t="s">
        <v>2303</v>
      </c>
      <c r="K224" s="8" t="s">
        <v>384</v>
      </c>
      <c r="L224" s="8" t="s">
        <v>2304</v>
      </c>
      <c r="M224" s="10">
        <v>0</v>
      </c>
      <c r="N224" s="8" t="s">
        <v>590</v>
      </c>
      <c r="O224" s="8" t="s">
        <v>9</v>
      </c>
      <c r="P224" s="8" t="s">
        <v>1955</v>
      </c>
      <c r="Q224" s="8" t="s">
        <v>1956</v>
      </c>
      <c r="R224" s="8" t="s">
        <v>1956</v>
      </c>
      <c r="S224" s="8" t="s">
        <v>356</v>
      </c>
      <c r="T224" s="8" t="s">
        <v>1172</v>
      </c>
      <c r="U224" s="8" t="s">
        <v>1957</v>
      </c>
      <c r="V224" s="8" t="s">
        <v>283</v>
      </c>
      <c r="W224" s="8" t="s">
        <v>1958</v>
      </c>
      <c r="X224" s="8" t="s">
        <v>355</v>
      </c>
      <c r="Y224" s="8" t="s">
        <v>112</v>
      </c>
      <c r="Z224" s="8" t="s">
        <v>1970</v>
      </c>
    </row>
    <row r="225" spans="1:26" ht="36" x14ac:dyDescent="0.3">
      <c r="A225" s="8" t="s">
        <v>2305</v>
      </c>
      <c r="B225" s="8" t="s">
        <v>9</v>
      </c>
      <c r="C225" s="10">
        <v>257120</v>
      </c>
      <c r="D225" s="8" t="s">
        <v>462</v>
      </c>
      <c r="E225" s="8" t="s">
        <v>1986</v>
      </c>
      <c r="F225" s="8" t="s">
        <v>1952</v>
      </c>
      <c r="G225" s="8" t="s">
        <v>9</v>
      </c>
      <c r="H225" s="8" t="s">
        <v>352</v>
      </c>
      <c r="I225" s="8" t="s">
        <v>1729</v>
      </c>
      <c r="J225" s="8" t="s">
        <v>2303</v>
      </c>
      <c r="K225" s="8" t="s">
        <v>384</v>
      </c>
      <c r="L225" s="8" t="s">
        <v>831</v>
      </c>
      <c r="M225" s="10">
        <v>0</v>
      </c>
      <c r="N225" s="8" t="s">
        <v>603</v>
      </c>
      <c r="O225" s="8" t="s">
        <v>9</v>
      </c>
      <c r="P225" s="8" t="s">
        <v>1955</v>
      </c>
      <c r="Q225" s="8" t="s">
        <v>1956</v>
      </c>
      <c r="R225" s="8" t="s">
        <v>1956</v>
      </c>
      <c r="S225" s="8" t="s">
        <v>356</v>
      </c>
      <c r="T225" s="8" t="s">
        <v>1172</v>
      </c>
      <c r="U225" s="8" t="s">
        <v>1957</v>
      </c>
      <c r="V225" s="8" t="s">
        <v>283</v>
      </c>
      <c r="W225" s="8" t="s">
        <v>1958</v>
      </c>
      <c r="X225" s="8" t="s">
        <v>355</v>
      </c>
      <c r="Y225" s="8" t="s">
        <v>112</v>
      </c>
      <c r="Z225" s="8" t="s">
        <v>1970</v>
      </c>
    </row>
    <row r="226" spans="1:26" ht="36" x14ac:dyDescent="0.3">
      <c r="A226" s="8" t="s">
        <v>2306</v>
      </c>
      <c r="B226" s="8" t="s">
        <v>9</v>
      </c>
      <c r="C226" s="10">
        <v>257120</v>
      </c>
      <c r="D226" s="8" t="s">
        <v>462</v>
      </c>
      <c r="E226" s="8" t="s">
        <v>1986</v>
      </c>
      <c r="F226" s="8" t="s">
        <v>1952</v>
      </c>
      <c r="G226" s="8" t="s">
        <v>9</v>
      </c>
      <c r="H226" s="8" t="s">
        <v>352</v>
      </c>
      <c r="I226" s="8" t="s">
        <v>1973</v>
      </c>
      <c r="J226" s="8" t="s">
        <v>2303</v>
      </c>
      <c r="K226" s="8" t="s">
        <v>384</v>
      </c>
      <c r="L226" s="8" t="s">
        <v>2304</v>
      </c>
      <c r="M226" s="10">
        <v>0</v>
      </c>
      <c r="N226" s="8" t="s">
        <v>601</v>
      </c>
      <c r="O226" s="8" t="s">
        <v>9</v>
      </c>
      <c r="P226" s="8" t="s">
        <v>1955</v>
      </c>
      <c r="Q226" s="8" t="s">
        <v>1956</v>
      </c>
      <c r="R226" s="8" t="s">
        <v>1956</v>
      </c>
      <c r="S226" s="8" t="s">
        <v>356</v>
      </c>
      <c r="T226" s="8" t="s">
        <v>1172</v>
      </c>
      <c r="U226" s="8" t="s">
        <v>1957</v>
      </c>
      <c r="V226" s="8" t="s">
        <v>283</v>
      </c>
      <c r="W226" s="8" t="s">
        <v>1958</v>
      </c>
      <c r="X226" s="8" t="s">
        <v>355</v>
      </c>
      <c r="Y226" s="8" t="s">
        <v>112</v>
      </c>
      <c r="Z226" s="8" t="s">
        <v>1970</v>
      </c>
    </row>
    <row r="227" spans="1:26" ht="36" x14ac:dyDescent="0.3">
      <c r="A227" s="8" t="s">
        <v>2307</v>
      </c>
      <c r="B227" s="8" t="s">
        <v>9</v>
      </c>
      <c r="C227" s="10">
        <v>257120</v>
      </c>
      <c r="D227" s="8" t="s">
        <v>462</v>
      </c>
      <c r="E227" s="8" t="s">
        <v>1986</v>
      </c>
      <c r="F227" s="8" t="s">
        <v>1952</v>
      </c>
      <c r="G227" s="8" t="s">
        <v>9</v>
      </c>
      <c r="H227" s="8" t="s">
        <v>352</v>
      </c>
      <c r="I227" s="8" t="s">
        <v>1973</v>
      </c>
      <c r="J227" s="8" t="s">
        <v>2303</v>
      </c>
      <c r="K227" s="8" t="s">
        <v>384</v>
      </c>
      <c r="L227" s="8" t="s">
        <v>831</v>
      </c>
      <c r="M227" s="10">
        <v>0</v>
      </c>
      <c r="N227" s="8" t="s">
        <v>617</v>
      </c>
      <c r="O227" s="8" t="s">
        <v>9</v>
      </c>
      <c r="P227" s="8" t="s">
        <v>1955</v>
      </c>
      <c r="Q227" s="8" t="s">
        <v>1956</v>
      </c>
      <c r="R227" s="8" t="s">
        <v>1956</v>
      </c>
      <c r="S227" s="8" t="s">
        <v>356</v>
      </c>
      <c r="T227" s="8" t="s">
        <v>1172</v>
      </c>
      <c r="U227" s="8" t="s">
        <v>1957</v>
      </c>
      <c r="V227" s="8" t="s">
        <v>283</v>
      </c>
      <c r="W227" s="8" t="s">
        <v>1958</v>
      </c>
      <c r="X227" s="8" t="s">
        <v>355</v>
      </c>
      <c r="Y227" s="8" t="s">
        <v>112</v>
      </c>
      <c r="Z227" s="8" t="s">
        <v>1970</v>
      </c>
    </row>
    <row r="228" spans="1:26" ht="24" x14ac:dyDescent="0.3">
      <c r="A228" s="8" t="s">
        <v>2308</v>
      </c>
      <c r="B228" s="8" t="s">
        <v>9</v>
      </c>
      <c r="C228" s="10">
        <v>294004</v>
      </c>
      <c r="D228" s="8" t="s">
        <v>464</v>
      </c>
      <c r="E228" s="8" t="s">
        <v>1951</v>
      </c>
      <c r="F228" s="8" t="s">
        <v>1952</v>
      </c>
      <c r="G228" s="8" t="s">
        <v>9</v>
      </c>
      <c r="H228" s="8" t="s">
        <v>352</v>
      </c>
      <c r="I228" s="8" t="s">
        <v>2309</v>
      </c>
      <c r="J228" s="8" t="s">
        <v>2310</v>
      </c>
      <c r="K228" s="8" t="s">
        <v>357</v>
      </c>
      <c r="L228" s="8" t="s">
        <v>465</v>
      </c>
      <c r="M228" s="10">
        <v>809615</v>
      </c>
      <c r="N228" s="8" t="s">
        <v>2311</v>
      </c>
      <c r="O228" s="8" t="s">
        <v>9</v>
      </c>
      <c r="P228" s="8" t="s">
        <v>1956</v>
      </c>
      <c r="Q228" s="8" t="s">
        <v>1956</v>
      </c>
      <c r="R228" s="8" t="s">
        <v>1172</v>
      </c>
      <c r="S228" s="8" t="s">
        <v>356</v>
      </c>
      <c r="T228" s="8" t="s">
        <v>1172</v>
      </c>
      <c r="U228" s="8" t="s">
        <v>1957</v>
      </c>
      <c r="V228" s="8" t="s">
        <v>283</v>
      </c>
      <c r="W228" s="8" t="s">
        <v>1958</v>
      </c>
      <c r="X228" s="8" t="s">
        <v>355</v>
      </c>
      <c r="Y228" s="8" t="s">
        <v>112</v>
      </c>
      <c r="Z228" s="8" t="s">
        <v>2113</v>
      </c>
    </row>
    <row r="229" spans="1:26" ht="24" x14ac:dyDescent="0.3">
      <c r="A229" s="8" t="s">
        <v>2312</v>
      </c>
      <c r="B229" s="8" t="s">
        <v>9</v>
      </c>
      <c r="C229" s="10">
        <v>294004</v>
      </c>
      <c r="D229" s="8" t="s">
        <v>464</v>
      </c>
      <c r="E229" s="8" t="s">
        <v>1951</v>
      </c>
      <c r="F229" s="8" t="s">
        <v>1952</v>
      </c>
      <c r="G229" s="8" t="s">
        <v>9</v>
      </c>
      <c r="H229" s="8" t="s">
        <v>352</v>
      </c>
      <c r="I229" s="8" t="s">
        <v>2313</v>
      </c>
      <c r="J229" s="8" t="s">
        <v>2314</v>
      </c>
      <c r="K229" s="8" t="s">
        <v>357</v>
      </c>
      <c r="L229" s="8" t="s">
        <v>465</v>
      </c>
      <c r="M229" s="10">
        <v>809621</v>
      </c>
      <c r="N229" s="8" t="s">
        <v>2315</v>
      </c>
      <c r="O229" s="8" t="s">
        <v>9</v>
      </c>
      <c r="P229" s="8" t="s">
        <v>1956</v>
      </c>
      <c r="Q229" s="8" t="s">
        <v>1956</v>
      </c>
      <c r="R229" s="8" t="s">
        <v>1172</v>
      </c>
      <c r="S229" s="8" t="s">
        <v>356</v>
      </c>
      <c r="T229" s="8" t="s">
        <v>1172</v>
      </c>
      <c r="U229" s="8" t="s">
        <v>1957</v>
      </c>
      <c r="V229" s="8" t="s">
        <v>283</v>
      </c>
      <c r="W229" s="8" t="s">
        <v>1958</v>
      </c>
      <c r="X229" s="8" t="s">
        <v>355</v>
      </c>
      <c r="Y229" s="8" t="s">
        <v>112</v>
      </c>
      <c r="Z229" s="8" t="s">
        <v>2113</v>
      </c>
    </row>
    <row r="230" spans="1:26" ht="36" x14ac:dyDescent="0.3">
      <c r="A230" s="8" t="s">
        <v>2316</v>
      </c>
      <c r="B230" s="8" t="s">
        <v>9</v>
      </c>
      <c r="C230" s="10">
        <v>292490</v>
      </c>
      <c r="D230" s="8" t="s">
        <v>468</v>
      </c>
      <c r="E230" s="8" t="s">
        <v>2317</v>
      </c>
      <c r="F230" s="8" t="s">
        <v>1952</v>
      </c>
      <c r="G230" s="8" t="s">
        <v>9</v>
      </c>
      <c r="H230" s="8" t="s">
        <v>352</v>
      </c>
      <c r="I230" s="8" t="s">
        <v>355</v>
      </c>
      <c r="J230" s="8" t="s">
        <v>355</v>
      </c>
      <c r="K230" s="8" t="s">
        <v>355</v>
      </c>
      <c r="L230" s="8" t="s">
        <v>355</v>
      </c>
      <c r="M230" s="10" t="s">
        <v>355</v>
      </c>
      <c r="N230" s="8" t="s">
        <v>355</v>
      </c>
      <c r="O230" s="8" t="s">
        <v>9</v>
      </c>
      <c r="P230" s="8" t="s">
        <v>1956</v>
      </c>
      <c r="Q230" s="8" t="s">
        <v>1956</v>
      </c>
      <c r="R230" s="8" t="s">
        <v>1956</v>
      </c>
      <c r="S230" s="8" t="s">
        <v>356</v>
      </c>
      <c r="T230" s="8" t="s">
        <v>1956</v>
      </c>
      <c r="U230" s="8" t="s">
        <v>2195</v>
      </c>
      <c r="V230" s="8" t="s">
        <v>283</v>
      </c>
      <c r="W230" s="8" t="s">
        <v>1958</v>
      </c>
      <c r="X230" s="8" t="s">
        <v>355</v>
      </c>
      <c r="Y230" s="8" t="s">
        <v>112</v>
      </c>
      <c r="Z230" s="8" t="s">
        <v>2003</v>
      </c>
    </row>
    <row r="231" spans="1:26" ht="24" x14ac:dyDescent="0.3">
      <c r="A231" s="8" t="s">
        <v>2318</v>
      </c>
      <c r="B231" s="8" t="s">
        <v>9</v>
      </c>
      <c r="C231" s="10">
        <v>292950</v>
      </c>
      <c r="D231" s="8" t="s">
        <v>470</v>
      </c>
      <c r="E231" s="8" t="s">
        <v>1951</v>
      </c>
      <c r="F231" s="8" t="s">
        <v>1952</v>
      </c>
      <c r="G231" s="8" t="s">
        <v>9</v>
      </c>
      <c r="H231" s="8" t="s">
        <v>352</v>
      </c>
      <c r="I231" s="8" t="s">
        <v>1973</v>
      </c>
      <c r="J231" s="8" t="s">
        <v>2319</v>
      </c>
      <c r="K231" s="8" t="s">
        <v>357</v>
      </c>
      <c r="L231" s="8" t="s">
        <v>465</v>
      </c>
      <c r="M231" s="10">
        <v>0</v>
      </c>
      <c r="N231" s="8" t="s">
        <v>606</v>
      </c>
      <c r="O231" s="8" t="s">
        <v>9</v>
      </c>
      <c r="P231" s="8" t="s">
        <v>1956</v>
      </c>
      <c r="Q231" s="8" t="s">
        <v>1956</v>
      </c>
      <c r="R231" s="8" t="s">
        <v>1172</v>
      </c>
      <c r="S231" s="8" t="s">
        <v>356</v>
      </c>
      <c r="T231" s="8" t="s">
        <v>1172</v>
      </c>
      <c r="U231" s="8" t="s">
        <v>1957</v>
      </c>
      <c r="V231" s="8" t="s">
        <v>283</v>
      </c>
      <c r="W231" s="8" t="s">
        <v>1958</v>
      </c>
      <c r="X231" s="8" t="s">
        <v>355</v>
      </c>
      <c r="Y231" s="8" t="s">
        <v>112</v>
      </c>
      <c r="Z231" s="8" t="s">
        <v>2113</v>
      </c>
    </row>
    <row r="232" spans="1:26" ht="24" x14ac:dyDescent="0.3">
      <c r="A232" s="8" t="s">
        <v>2320</v>
      </c>
      <c r="B232" s="8" t="s">
        <v>9</v>
      </c>
      <c r="C232" s="10">
        <v>292950</v>
      </c>
      <c r="D232" s="8" t="s">
        <v>470</v>
      </c>
      <c r="E232" s="8" t="s">
        <v>1951</v>
      </c>
      <c r="F232" s="8" t="s">
        <v>1952</v>
      </c>
      <c r="G232" s="8" t="s">
        <v>9</v>
      </c>
      <c r="H232" s="8" t="s">
        <v>352</v>
      </c>
      <c r="I232" s="8" t="s">
        <v>1973</v>
      </c>
      <c r="J232" s="8" t="s">
        <v>2321</v>
      </c>
      <c r="K232" s="8" t="s">
        <v>357</v>
      </c>
      <c r="L232" s="8" t="s">
        <v>465</v>
      </c>
      <c r="M232" s="10">
        <v>807485</v>
      </c>
      <c r="N232" s="8" t="s">
        <v>2322</v>
      </c>
      <c r="O232" s="8" t="s">
        <v>9</v>
      </c>
      <c r="P232" s="8" t="s">
        <v>1956</v>
      </c>
      <c r="Q232" s="8" t="s">
        <v>1956</v>
      </c>
      <c r="R232" s="8" t="s">
        <v>1172</v>
      </c>
      <c r="S232" s="8" t="s">
        <v>356</v>
      </c>
      <c r="T232" s="8" t="s">
        <v>1172</v>
      </c>
      <c r="U232" s="8" t="s">
        <v>1957</v>
      </c>
      <c r="V232" s="8" t="s">
        <v>283</v>
      </c>
      <c r="W232" s="8" t="s">
        <v>1958</v>
      </c>
      <c r="X232" s="8" t="s">
        <v>355</v>
      </c>
      <c r="Y232" s="8" t="s">
        <v>112</v>
      </c>
      <c r="Z232" s="8" t="s">
        <v>2113</v>
      </c>
    </row>
    <row r="233" spans="1:26" ht="24" x14ac:dyDescent="0.3">
      <c r="A233" s="8" t="s">
        <v>2323</v>
      </c>
      <c r="B233" s="8" t="s">
        <v>9</v>
      </c>
      <c r="C233" s="10">
        <v>292950</v>
      </c>
      <c r="D233" s="8" t="s">
        <v>470</v>
      </c>
      <c r="E233" s="8" t="s">
        <v>1951</v>
      </c>
      <c r="F233" s="8" t="s">
        <v>1952</v>
      </c>
      <c r="G233" s="8" t="s">
        <v>9</v>
      </c>
      <c r="H233" s="8" t="s">
        <v>352</v>
      </c>
      <c r="I233" s="8" t="s">
        <v>2324</v>
      </c>
      <c r="J233" s="8" t="s">
        <v>2325</v>
      </c>
      <c r="K233" s="8" t="s">
        <v>357</v>
      </c>
      <c r="L233" s="8" t="s">
        <v>465</v>
      </c>
      <c r="M233" s="10">
        <v>808259</v>
      </c>
      <c r="N233" s="8" t="s">
        <v>2326</v>
      </c>
      <c r="O233" s="8" t="s">
        <v>9</v>
      </c>
      <c r="P233" s="8" t="s">
        <v>1956</v>
      </c>
      <c r="Q233" s="8" t="s">
        <v>1956</v>
      </c>
      <c r="R233" s="8" t="s">
        <v>1172</v>
      </c>
      <c r="S233" s="8" t="s">
        <v>356</v>
      </c>
      <c r="T233" s="8" t="s">
        <v>1172</v>
      </c>
      <c r="U233" s="8" t="s">
        <v>1957</v>
      </c>
      <c r="V233" s="8" t="s">
        <v>283</v>
      </c>
      <c r="W233" s="8" t="s">
        <v>1958</v>
      </c>
      <c r="X233" s="8" t="s">
        <v>355</v>
      </c>
      <c r="Y233" s="8" t="s">
        <v>112</v>
      </c>
      <c r="Z233" s="8" t="s">
        <v>2113</v>
      </c>
    </row>
    <row r="234" spans="1:26" ht="24" x14ac:dyDescent="0.3">
      <c r="A234" s="8" t="s">
        <v>2327</v>
      </c>
      <c r="B234" s="8" t="s">
        <v>9</v>
      </c>
      <c r="C234" s="10">
        <v>292950</v>
      </c>
      <c r="D234" s="8" t="s">
        <v>470</v>
      </c>
      <c r="E234" s="8" t="s">
        <v>1951</v>
      </c>
      <c r="F234" s="8" t="s">
        <v>1952</v>
      </c>
      <c r="G234" s="8" t="s">
        <v>9</v>
      </c>
      <c r="H234" s="8" t="s">
        <v>352</v>
      </c>
      <c r="I234" s="8" t="s">
        <v>2324</v>
      </c>
      <c r="J234" s="8" t="s">
        <v>2328</v>
      </c>
      <c r="K234" s="8" t="s">
        <v>357</v>
      </c>
      <c r="L234" s="8" t="s">
        <v>465</v>
      </c>
      <c r="M234" s="10">
        <v>807485</v>
      </c>
      <c r="N234" s="8" t="s">
        <v>2322</v>
      </c>
      <c r="O234" s="8" t="s">
        <v>9</v>
      </c>
      <c r="P234" s="8" t="s">
        <v>1956</v>
      </c>
      <c r="Q234" s="8" t="s">
        <v>1956</v>
      </c>
      <c r="R234" s="8" t="s">
        <v>1172</v>
      </c>
      <c r="S234" s="8" t="s">
        <v>356</v>
      </c>
      <c r="T234" s="8" t="s">
        <v>1172</v>
      </c>
      <c r="U234" s="8" t="s">
        <v>1957</v>
      </c>
      <c r="V234" s="8" t="s">
        <v>283</v>
      </c>
      <c r="W234" s="8" t="s">
        <v>1958</v>
      </c>
      <c r="X234" s="8" t="s">
        <v>355</v>
      </c>
      <c r="Y234" s="8" t="s">
        <v>112</v>
      </c>
      <c r="Z234" s="8" t="s">
        <v>2113</v>
      </c>
    </row>
    <row r="235" spans="1:26" ht="24" x14ac:dyDescent="0.3">
      <c r="A235" s="8" t="s">
        <v>2329</v>
      </c>
      <c r="B235" s="8" t="s">
        <v>9</v>
      </c>
      <c r="C235" s="10">
        <v>297500</v>
      </c>
      <c r="D235" s="8" t="s">
        <v>472</v>
      </c>
      <c r="E235" s="8" t="s">
        <v>1951</v>
      </c>
      <c r="F235" s="8" t="s">
        <v>1952</v>
      </c>
      <c r="G235" s="8" t="s">
        <v>9</v>
      </c>
      <c r="H235" s="8" t="s">
        <v>352</v>
      </c>
      <c r="I235" s="8" t="s">
        <v>1973</v>
      </c>
      <c r="J235" s="8" t="s">
        <v>2319</v>
      </c>
      <c r="K235" s="8" t="s">
        <v>357</v>
      </c>
      <c r="L235" s="8" t="s">
        <v>465</v>
      </c>
      <c r="M235" s="10">
        <v>0</v>
      </c>
      <c r="N235" s="8" t="s">
        <v>606</v>
      </c>
      <c r="O235" s="8" t="s">
        <v>9</v>
      </c>
      <c r="P235" s="8" t="s">
        <v>1956</v>
      </c>
      <c r="Q235" s="8" t="s">
        <v>1956</v>
      </c>
      <c r="R235" s="8" t="s">
        <v>1172</v>
      </c>
      <c r="S235" s="8" t="s">
        <v>356</v>
      </c>
      <c r="T235" s="8" t="s">
        <v>1172</v>
      </c>
      <c r="U235" s="8" t="s">
        <v>1957</v>
      </c>
      <c r="V235" s="8" t="s">
        <v>283</v>
      </c>
      <c r="W235" s="8" t="s">
        <v>1958</v>
      </c>
      <c r="X235" s="8" t="s">
        <v>355</v>
      </c>
      <c r="Y235" s="8" t="s">
        <v>112</v>
      </c>
      <c r="Z235" s="8" t="s">
        <v>2113</v>
      </c>
    </row>
    <row r="236" spans="1:26" ht="24" x14ac:dyDescent="0.3">
      <c r="A236" s="8" t="s">
        <v>2330</v>
      </c>
      <c r="B236" s="8" t="s">
        <v>9</v>
      </c>
      <c r="C236" s="10">
        <v>297500</v>
      </c>
      <c r="D236" s="8" t="s">
        <v>472</v>
      </c>
      <c r="E236" s="8" t="s">
        <v>1951</v>
      </c>
      <c r="F236" s="8" t="s">
        <v>1952</v>
      </c>
      <c r="G236" s="8" t="s">
        <v>9</v>
      </c>
      <c r="H236" s="8" t="s">
        <v>352</v>
      </c>
      <c r="I236" s="8" t="s">
        <v>1973</v>
      </c>
      <c r="J236" s="8" t="s">
        <v>2321</v>
      </c>
      <c r="K236" s="8" t="s">
        <v>357</v>
      </c>
      <c r="L236" s="8" t="s">
        <v>465</v>
      </c>
      <c r="M236" s="10">
        <v>807485</v>
      </c>
      <c r="N236" s="8" t="s">
        <v>2322</v>
      </c>
      <c r="O236" s="8" t="s">
        <v>9</v>
      </c>
      <c r="P236" s="8" t="s">
        <v>1956</v>
      </c>
      <c r="Q236" s="8" t="s">
        <v>1956</v>
      </c>
      <c r="R236" s="8" t="s">
        <v>1172</v>
      </c>
      <c r="S236" s="8" t="s">
        <v>356</v>
      </c>
      <c r="T236" s="8" t="s">
        <v>1172</v>
      </c>
      <c r="U236" s="8" t="s">
        <v>1957</v>
      </c>
      <c r="V236" s="8" t="s">
        <v>283</v>
      </c>
      <c r="W236" s="8" t="s">
        <v>1958</v>
      </c>
      <c r="X236" s="8" t="s">
        <v>355</v>
      </c>
      <c r="Y236" s="8" t="s">
        <v>112</v>
      </c>
      <c r="Z236" s="8" t="s">
        <v>2113</v>
      </c>
    </row>
    <row r="237" spans="1:26" ht="24" x14ac:dyDescent="0.3">
      <c r="A237" s="8" t="s">
        <v>2331</v>
      </c>
      <c r="B237" s="8" t="s">
        <v>9</v>
      </c>
      <c r="C237" s="10">
        <v>297500</v>
      </c>
      <c r="D237" s="8" t="s">
        <v>472</v>
      </c>
      <c r="E237" s="8" t="s">
        <v>1951</v>
      </c>
      <c r="F237" s="8" t="s">
        <v>1952</v>
      </c>
      <c r="G237" s="8" t="s">
        <v>9</v>
      </c>
      <c r="H237" s="8" t="s">
        <v>352</v>
      </c>
      <c r="I237" s="8" t="s">
        <v>2324</v>
      </c>
      <c r="J237" s="8" t="s">
        <v>2325</v>
      </c>
      <c r="K237" s="8" t="s">
        <v>357</v>
      </c>
      <c r="L237" s="8" t="s">
        <v>465</v>
      </c>
      <c r="M237" s="10">
        <v>814871</v>
      </c>
      <c r="N237" s="8" t="s">
        <v>2326</v>
      </c>
      <c r="O237" s="8" t="s">
        <v>9</v>
      </c>
      <c r="P237" s="8" t="s">
        <v>1956</v>
      </c>
      <c r="Q237" s="8" t="s">
        <v>1956</v>
      </c>
      <c r="R237" s="8" t="s">
        <v>1172</v>
      </c>
      <c r="S237" s="8" t="s">
        <v>356</v>
      </c>
      <c r="T237" s="8" t="s">
        <v>1172</v>
      </c>
      <c r="U237" s="8" t="s">
        <v>1957</v>
      </c>
      <c r="V237" s="8" t="s">
        <v>283</v>
      </c>
      <c r="W237" s="8" t="s">
        <v>1958</v>
      </c>
      <c r="X237" s="8" t="s">
        <v>355</v>
      </c>
      <c r="Y237" s="8" t="s">
        <v>112</v>
      </c>
      <c r="Z237" s="8" t="s">
        <v>2113</v>
      </c>
    </row>
    <row r="238" spans="1:26" ht="24" x14ac:dyDescent="0.3">
      <c r="A238" s="8" t="s">
        <v>2332</v>
      </c>
      <c r="B238" s="8" t="s">
        <v>9</v>
      </c>
      <c r="C238" s="10">
        <v>297500</v>
      </c>
      <c r="D238" s="8" t="s">
        <v>472</v>
      </c>
      <c r="E238" s="8" t="s">
        <v>1951</v>
      </c>
      <c r="F238" s="8" t="s">
        <v>1952</v>
      </c>
      <c r="G238" s="8" t="s">
        <v>9</v>
      </c>
      <c r="H238" s="8" t="s">
        <v>352</v>
      </c>
      <c r="I238" s="8" t="s">
        <v>2324</v>
      </c>
      <c r="J238" s="8" t="s">
        <v>2328</v>
      </c>
      <c r="K238" s="8" t="s">
        <v>357</v>
      </c>
      <c r="L238" s="8" t="s">
        <v>465</v>
      </c>
      <c r="M238" s="10">
        <v>813089</v>
      </c>
      <c r="N238" s="8" t="s">
        <v>2333</v>
      </c>
      <c r="O238" s="8" t="s">
        <v>9</v>
      </c>
      <c r="P238" s="8" t="s">
        <v>1956</v>
      </c>
      <c r="Q238" s="8" t="s">
        <v>1956</v>
      </c>
      <c r="R238" s="8" t="s">
        <v>1172</v>
      </c>
      <c r="S238" s="8" t="s">
        <v>356</v>
      </c>
      <c r="T238" s="8" t="s">
        <v>1172</v>
      </c>
      <c r="U238" s="8" t="s">
        <v>1957</v>
      </c>
      <c r="V238" s="8" t="s">
        <v>283</v>
      </c>
      <c r="W238" s="8" t="s">
        <v>1958</v>
      </c>
      <c r="X238" s="8" t="s">
        <v>355</v>
      </c>
      <c r="Y238" s="8" t="s">
        <v>112</v>
      </c>
      <c r="Z238" s="8" t="s">
        <v>2113</v>
      </c>
    </row>
    <row r="239" spans="1:26" ht="24" x14ac:dyDescent="0.3">
      <c r="A239" s="8" t="s">
        <v>2334</v>
      </c>
      <c r="B239" s="8" t="s">
        <v>9</v>
      </c>
      <c r="C239" s="10">
        <v>293206</v>
      </c>
      <c r="D239" s="8" t="s">
        <v>474</v>
      </c>
      <c r="E239" s="8" t="s">
        <v>1951</v>
      </c>
      <c r="F239" s="8" t="s">
        <v>1952</v>
      </c>
      <c r="G239" s="8" t="s">
        <v>9</v>
      </c>
      <c r="H239" s="8" t="s">
        <v>352</v>
      </c>
      <c r="I239" s="8" t="s">
        <v>1729</v>
      </c>
      <c r="J239" s="8" t="s">
        <v>355</v>
      </c>
      <c r="K239" s="8" t="s">
        <v>357</v>
      </c>
      <c r="L239" s="8" t="s">
        <v>358</v>
      </c>
      <c r="M239" s="10">
        <v>807772</v>
      </c>
      <c r="N239" s="8" t="s">
        <v>2335</v>
      </c>
      <c r="O239" s="8" t="s">
        <v>9</v>
      </c>
      <c r="P239" s="8" t="s">
        <v>1956</v>
      </c>
      <c r="Q239" s="8" t="s">
        <v>1956</v>
      </c>
      <c r="R239" s="8" t="s">
        <v>1956</v>
      </c>
      <c r="S239" s="8" t="s">
        <v>356</v>
      </c>
      <c r="T239" s="8" t="s">
        <v>1172</v>
      </c>
      <c r="U239" s="8" t="s">
        <v>1957</v>
      </c>
      <c r="V239" s="8" t="s">
        <v>283</v>
      </c>
      <c r="W239" s="8" t="s">
        <v>1958</v>
      </c>
      <c r="X239" s="8" t="s">
        <v>355</v>
      </c>
      <c r="Y239" s="8" t="s">
        <v>112</v>
      </c>
      <c r="Z239" s="8" t="s">
        <v>2039</v>
      </c>
    </row>
    <row r="240" spans="1:26" ht="24" x14ac:dyDescent="0.3">
      <c r="A240" s="8" t="s">
        <v>2336</v>
      </c>
      <c r="B240" s="8" t="s">
        <v>9</v>
      </c>
      <c r="C240" s="10">
        <v>293272</v>
      </c>
      <c r="D240" s="8" t="s">
        <v>476</v>
      </c>
      <c r="E240" s="8" t="s">
        <v>1986</v>
      </c>
      <c r="F240" s="8" t="s">
        <v>1952</v>
      </c>
      <c r="G240" s="8" t="s">
        <v>9</v>
      </c>
      <c r="H240" s="8" t="s">
        <v>352</v>
      </c>
      <c r="I240" s="8" t="s">
        <v>1729</v>
      </c>
      <c r="J240" s="8" t="s">
        <v>355</v>
      </c>
      <c r="K240" s="8" t="s">
        <v>357</v>
      </c>
      <c r="L240" s="8" t="s">
        <v>358</v>
      </c>
      <c r="M240" s="10">
        <v>807831</v>
      </c>
      <c r="N240" s="8" t="s">
        <v>2337</v>
      </c>
      <c r="O240" s="8" t="s">
        <v>9</v>
      </c>
      <c r="P240" s="8" t="s">
        <v>1956</v>
      </c>
      <c r="Q240" s="8" t="s">
        <v>1956</v>
      </c>
      <c r="R240" s="8" t="s">
        <v>1956</v>
      </c>
      <c r="S240" s="8" t="s">
        <v>356</v>
      </c>
      <c r="T240" s="8" t="s">
        <v>1172</v>
      </c>
      <c r="U240" s="8" t="s">
        <v>1957</v>
      </c>
      <c r="V240" s="8" t="s">
        <v>283</v>
      </c>
      <c r="W240" s="8" t="s">
        <v>1958</v>
      </c>
      <c r="X240" s="8" t="s">
        <v>355</v>
      </c>
      <c r="Y240" s="8" t="s">
        <v>112</v>
      </c>
      <c r="Z240" s="8" t="s">
        <v>2039</v>
      </c>
    </row>
    <row r="241" spans="1:26" ht="24" x14ac:dyDescent="0.3">
      <c r="A241" s="8" t="s">
        <v>2338</v>
      </c>
      <c r="B241" s="8" t="s">
        <v>9</v>
      </c>
      <c r="C241" s="10">
        <v>293382</v>
      </c>
      <c r="D241" s="8" t="s">
        <v>478</v>
      </c>
      <c r="E241" s="8" t="s">
        <v>1951</v>
      </c>
      <c r="F241" s="8" t="s">
        <v>1952</v>
      </c>
      <c r="G241" s="8" t="s">
        <v>9</v>
      </c>
      <c r="H241" s="8" t="s">
        <v>352</v>
      </c>
      <c r="I241" s="8" t="s">
        <v>2339</v>
      </c>
      <c r="J241" s="8" t="s">
        <v>2340</v>
      </c>
      <c r="K241" s="8" t="s">
        <v>357</v>
      </c>
      <c r="L241" s="8" t="s">
        <v>465</v>
      </c>
      <c r="M241" s="10">
        <v>809600</v>
      </c>
      <c r="N241" s="8" t="s">
        <v>2341</v>
      </c>
      <c r="O241" s="8" t="s">
        <v>9</v>
      </c>
      <c r="P241" s="8" t="s">
        <v>1956</v>
      </c>
      <c r="Q241" s="8" t="s">
        <v>1956</v>
      </c>
      <c r="R241" s="8" t="s">
        <v>1956</v>
      </c>
      <c r="S241" s="8" t="s">
        <v>356</v>
      </c>
      <c r="T241" s="8" t="s">
        <v>1172</v>
      </c>
      <c r="U241" s="8" t="s">
        <v>1957</v>
      </c>
      <c r="V241" s="8" t="s">
        <v>283</v>
      </c>
      <c r="W241" s="8" t="s">
        <v>1958</v>
      </c>
      <c r="X241" s="8" t="s">
        <v>355</v>
      </c>
      <c r="Y241" s="8" t="s">
        <v>112</v>
      </c>
      <c r="Z241" s="8" t="s">
        <v>2113</v>
      </c>
    </row>
    <row r="242" spans="1:26" ht="24" x14ac:dyDescent="0.3">
      <c r="A242" s="8" t="s">
        <v>2342</v>
      </c>
      <c r="B242" s="8" t="s">
        <v>9</v>
      </c>
      <c r="C242" s="10">
        <v>293382</v>
      </c>
      <c r="D242" s="8" t="s">
        <v>478</v>
      </c>
      <c r="E242" s="8" t="s">
        <v>1951</v>
      </c>
      <c r="F242" s="8" t="s">
        <v>1952</v>
      </c>
      <c r="G242" s="8" t="s">
        <v>9</v>
      </c>
      <c r="H242" s="8" t="s">
        <v>352</v>
      </c>
      <c r="I242" s="8" t="s">
        <v>2343</v>
      </c>
      <c r="J242" s="8" t="s">
        <v>2344</v>
      </c>
      <c r="K242" s="8" t="s">
        <v>357</v>
      </c>
      <c r="L242" s="8" t="s">
        <v>465</v>
      </c>
      <c r="M242" s="10">
        <v>809601</v>
      </c>
      <c r="N242" s="8" t="s">
        <v>2345</v>
      </c>
      <c r="O242" s="8" t="s">
        <v>9</v>
      </c>
      <c r="P242" s="8" t="s">
        <v>1956</v>
      </c>
      <c r="Q242" s="8" t="s">
        <v>1956</v>
      </c>
      <c r="R242" s="8" t="s">
        <v>1956</v>
      </c>
      <c r="S242" s="8" t="s">
        <v>356</v>
      </c>
      <c r="T242" s="8" t="s">
        <v>1172</v>
      </c>
      <c r="U242" s="8" t="s">
        <v>1957</v>
      </c>
      <c r="V242" s="8" t="s">
        <v>283</v>
      </c>
      <c r="W242" s="8" t="s">
        <v>1958</v>
      </c>
      <c r="X242" s="8" t="s">
        <v>355</v>
      </c>
      <c r="Y242" s="8" t="s">
        <v>112</v>
      </c>
      <c r="Z242" s="8" t="s">
        <v>2113</v>
      </c>
    </row>
    <row r="243" spans="1:26" ht="24" x14ac:dyDescent="0.3">
      <c r="A243" s="8" t="s">
        <v>2346</v>
      </c>
      <c r="B243" s="8" t="s">
        <v>9</v>
      </c>
      <c r="C243" s="10">
        <v>293556</v>
      </c>
      <c r="D243" s="8" t="s">
        <v>480</v>
      </c>
      <c r="E243" s="8" t="s">
        <v>1951</v>
      </c>
      <c r="F243" s="8" t="s">
        <v>1952</v>
      </c>
      <c r="G243" s="8" t="s">
        <v>9</v>
      </c>
      <c r="H243" s="8" t="s">
        <v>352</v>
      </c>
      <c r="I243" s="8" t="s">
        <v>2347</v>
      </c>
      <c r="J243" s="8" t="s">
        <v>2348</v>
      </c>
      <c r="K243" s="8" t="s">
        <v>357</v>
      </c>
      <c r="L243" s="8" t="s">
        <v>465</v>
      </c>
      <c r="M243" s="10">
        <v>820843</v>
      </c>
      <c r="N243" s="8" t="s">
        <v>2349</v>
      </c>
      <c r="O243" s="8" t="s">
        <v>9</v>
      </c>
      <c r="P243" s="8" t="s">
        <v>1956</v>
      </c>
      <c r="Q243" s="8" t="s">
        <v>1956</v>
      </c>
      <c r="R243" s="8" t="s">
        <v>1172</v>
      </c>
      <c r="S243" s="8" t="s">
        <v>356</v>
      </c>
      <c r="T243" s="8" t="s">
        <v>1172</v>
      </c>
      <c r="U243" s="8" t="s">
        <v>1957</v>
      </c>
      <c r="V243" s="8" t="s">
        <v>283</v>
      </c>
      <c r="W243" s="8" t="s">
        <v>1958</v>
      </c>
      <c r="X243" s="8" t="s">
        <v>355</v>
      </c>
      <c r="Y243" s="8" t="s">
        <v>112</v>
      </c>
      <c r="Z243" s="8" t="s">
        <v>2113</v>
      </c>
    </row>
    <row r="244" spans="1:26" ht="24" x14ac:dyDescent="0.3">
      <c r="A244" s="8" t="s">
        <v>2350</v>
      </c>
      <c r="B244" s="8" t="s">
        <v>9</v>
      </c>
      <c r="C244" s="10">
        <v>293556</v>
      </c>
      <c r="D244" s="8" t="s">
        <v>480</v>
      </c>
      <c r="E244" s="8" t="s">
        <v>1951</v>
      </c>
      <c r="F244" s="8" t="s">
        <v>1952</v>
      </c>
      <c r="G244" s="8" t="s">
        <v>9</v>
      </c>
      <c r="H244" s="8" t="s">
        <v>352</v>
      </c>
      <c r="I244" s="8" t="s">
        <v>2351</v>
      </c>
      <c r="J244" s="8" t="s">
        <v>2352</v>
      </c>
      <c r="K244" s="8" t="s">
        <v>357</v>
      </c>
      <c r="L244" s="8" t="s">
        <v>465</v>
      </c>
      <c r="M244" s="10">
        <v>695099</v>
      </c>
      <c r="N244" s="8" t="s">
        <v>2353</v>
      </c>
      <c r="O244" s="8" t="s">
        <v>9</v>
      </c>
      <c r="P244" s="8" t="s">
        <v>1956</v>
      </c>
      <c r="Q244" s="8" t="s">
        <v>1956</v>
      </c>
      <c r="R244" s="8" t="s">
        <v>1172</v>
      </c>
      <c r="S244" s="8" t="s">
        <v>356</v>
      </c>
      <c r="T244" s="8" t="s">
        <v>1172</v>
      </c>
      <c r="U244" s="8" t="s">
        <v>1957</v>
      </c>
      <c r="V244" s="8" t="s">
        <v>283</v>
      </c>
      <c r="W244" s="8" t="s">
        <v>1958</v>
      </c>
      <c r="X244" s="8" t="s">
        <v>355</v>
      </c>
      <c r="Y244" s="8" t="s">
        <v>112</v>
      </c>
      <c r="Z244" s="8" t="s">
        <v>2113</v>
      </c>
    </row>
    <row r="245" spans="1:26" ht="24" x14ac:dyDescent="0.3">
      <c r="A245" s="8" t="s">
        <v>2354</v>
      </c>
      <c r="B245" s="8" t="s">
        <v>9</v>
      </c>
      <c r="C245" s="10">
        <v>293951</v>
      </c>
      <c r="D245" s="8" t="s">
        <v>482</v>
      </c>
      <c r="E245" s="8" t="s">
        <v>1951</v>
      </c>
      <c r="F245" s="8" t="s">
        <v>1952</v>
      </c>
      <c r="G245" s="8" t="s">
        <v>9</v>
      </c>
      <c r="H245" s="8" t="s">
        <v>352</v>
      </c>
      <c r="I245" s="8" t="s">
        <v>2355</v>
      </c>
      <c r="J245" s="8" t="s">
        <v>2356</v>
      </c>
      <c r="K245" s="8" t="s">
        <v>357</v>
      </c>
      <c r="L245" s="8" t="s">
        <v>465</v>
      </c>
      <c r="M245" s="10">
        <v>809538</v>
      </c>
      <c r="N245" s="8" t="s">
        <v>2357</v>
      </c>
      <c r="O245" s="8" t="s">
        <v>9</v>
      </c>
      <c r="P245" s="8" t="s">
        <v>1956</v>
      </c>
      <c r="Q245" s="8" t="s">
        <v>1956</v>
      </c>
      <c r="R245" s="8" t="s">
        <v>1172</v>
      </c>
      <c r="S245" s="8" t="s">
        <v>356</v>
      </c>
      <c r="T245" s="8" t="s">
        <v>1172</v>
      </c>
      <c r="U245" s="8" t="s">
        <v>1957</v>
      </c>
      <c r="V245" s="8" t="s">
        <v>283</v>
      </c>
      <c r="W245" s="8" t="s">
        <v>1958</v>
      </c>
      <c r="X245" s="8" t="s">
        <v>355</v>
      </c>
      <c r="Y245" s="8" t="s">
        <v>112</v>
      </c>
      <c r="Z245" s="8" t="s">
        <v>2113</v>
      </c>
    </row>
    <row r="246" spans="1:26" ht="24" x14ac:dyDescent="0.3">
      <c r="A246" s="8" t="s">
        <v>2358</v>
      </c>
      <c r="B246" s="8" t="s">
        <v>9</v>
      </c>
      <c r="C246" s="10">
        <v>293951</v>
      </c>
      <c r="D246" s="8" t="s">
        <v>482</v>
      </c>
      <c r="E246" s="8" t="s">
        <v>1951</v>
      </c>
      <c r="F246" s="8" t="s">
        <v>1952</v>
      </c>
      <c r="G246" s="8" t="s">
        <v>9</v>
      </c>
      <c r="H246" s="8" t="s">
        <v>352</v>
      </c>
      <c r="I246" s="8" t="s">
        <v>2359</v>
      </c>
      <c r="J246" s="8" t="s">
        <v>2360</v>
      </c>
      <c r="K246" s="8" t="s">
        <v>357</v>
      </c>
      <c r="L246" s="8" t="s">
        <v>465</v>
      </c>
      <c r="M246" s="10">
        <v>809539</v>
      </c>
      <c r="N246" s="8" t="s">
        <v>2361</v>
      </c>
      <c r="O246" s="8" t="s">
        <v>9</v>
      </c>
      <c r="P246" s="8" t="s">
        <v>1956</v>
      </c>
      <c r="Q246" s="8" t="s">
        <v>1956</v>
      </c>
      <c r="R246" s="8" t="s">
        <v>1172</v>
      </c>
      <c r="S246" s="8" t="s">
        <v>356</v>
      </c>
      <c r="T246" s="8" t="s">
        <v>1172</v>
      </c>
      <c r="U246" s="8" t="s">
        <v>1957</v>
      </c>
      <c r="V246" s="8" t="s">
        <v>283</v>
      </c>
      <c r="W246" s="8" t="s">
        <v>1958</v>
      </c>
      <c r="X246" s="8" t="s">
        <v>355</v>
      </c>
      <c r="Y246" s="8" t="s">
        <v>112</v>
      </c>
      <c r="Z246" s="8" t="s">
        <v>2113</v>
      </c>
    </row>
    <row r="247" spans="1:26" ht="36" x14ac:dyDescent="0.3">
      <c r="A247" s="8" t="s">
        <v>2362</v>
      </c>
      <c r="B247" s="8" t="s">
        <v>9</v>
      </c>
      <c r="C247" s="10">
        <v>281494</v>
      </c>
      <c r="D247" s="8" t="s">
        <v>484</v>
      </c>
      <c r="E247" s="8" t="s">
        <v>1986</v>
      </c>
      <c r="F247" s="8" t="s">
        <v>1952</v>
      </c>
      <c r="G247" s="8" t="s">
        <v>9</v>
      </c>
      <c r="H247" s="8" t="s">
        <v>352</v>
      </c>
      <c r="I247" s="8" t="s">
        <v>2363</v>
      </c>
      <c r="J247" s="8" t="s">
        <v>2364</v>
      </c>
      <c r="K247" s="8" t="s">
        <v>384</v>
      </c>
      <c r="L247" s="8" t="s">
        <v>2365</v>
      </c>
      <c r="M247" s="10">
        <v>0</v>
      </c>
      <c r="N247" s="8" t="s">
        <v>590</v>
      </c>
      <c r="O247" s="8" t="s">
        <v>9</v>
      </c>
      <c r="P247" s="8" t="s">
        <v>1955</v>
      </c>
      <c r="Q247" s="8" t="s">
        <v>1956</v>
      </c>
      <c r="R247" s="8" t="s">
        <v>1956</v>
      </c>
      <c r="S247" s="8" t="s">
        <v>356</v>
      </c>
      <c r="T247" s="8" t="s">
        <v>1172</v>
      </c>
      <c r="U247" s="8" t="s">
        <v>1957</v>
      </c>
      <c r="V247" s="8" t="s">
        <v>283</v>
      </c>
      <c r="W247" s="8" t="s">
        <v>1958</v>
      </c>
      <c r="X247" s="8" t="s">
        <v>355</v>
      </c>
      <c r="Y247" s="8" t="s">
        <v>112</v>
      </c>
      <c r="Z247" s="8" t="s">
        <v>1959</v>
      </c>
    </row>
    <row r="248" spans="1:26" ht="36" x14ac:dyDescent="0.3">
      <c r="A248" s="8" t="s">
        <v>2366</v>
      </c>
      <c r="B248" s="8" t="s">
        <v>9</v>
      </c>
      <c r="C248" s="10">
        <v>281494</v>
      </c>
      <c r="D248" s="8" t="s">
        <v>484</v>
      </c>
      <c r="E248" s="8" t="s">
        <v>1986</v>
      </c>
      <c r="F248" s="8" t="s">
        <v>1952</v>
      </c>
      <c r="G248" s="8" t="s">
        <v>9</v>
      </c>
      <c r="H248" s="8" t="s">
        <v>352</v>
      </c>
      <c r="I248" s="8" t="s">
        <v>2367</v>
      </c>
      <c r="J248" s="8" t="s">
        <v>2364</v>
      </c>
      <c r="K248" s="8" t="s">
        <v>384</v>
      </c>
      <c r="L248" s="8" t="s">
        <v>2365</v>
      </c>
      <c r="M248" s="10">
        <v>0</v>
      </c>
      <c r="N248" s="8" t="s">
        <v>355</v>
      </c>
      <c r="O248" s="8" t="s">
        <v>9</v>
      </c>
      <c r="P248" s="8" t="s">
        <v>1955</v>
      </c>
      <c r="Q248" s="8" t="s">
        <v>1956</v>
      </c>
      <c r="R248" s="8" t="s">
        <v>1956</v>
      </c>
      <c r="S248" s="8" t="s">
        <v>356</v>
      </c>
      <c r="T248" s="8" t="s">
        <v>1172</v>
      </c>
      <c r="U248" s="8" t="s">
        <v>1957</v>
      </c>
      <c r="V248" s="8" t="s">
        <v>283</v>
      </c>
      <c r="W248" s="8" t="s">
        <v>1958</v>
      </c>
      <c r="X248" s="8" t="s">
        <v>355</v>
      </c>
      <c r="Y248" s="8" t="s">
        <v>112</v>
      </c>
      <c r="Z248" s="8" t="s">
        <v>1959</v>
      </c>
    </row>
    <row r="249" spans="1:26" ht="24" x14ac:dyDescent="0.3">
      <c r="A249" s="8" t="s">
        <v>2368</v>
      </c>
      <c r="B249" s="8" t="s">
        <v>9</v>
      </c>
      <c r="C249" s="10">
        <v>320154</v>
      </c>
      <c r="D249" s="8" t="s">
        <v>486</v>
      </c>
      <c r="E249" s="8" t="s">
        <v>1951</v>
      </c>
      <c r="F249" s="8" t="s">
        <v>1952</v>
      </c>
      <c r="G249" s="8" t="s">
        <v>9</v>
      </c>
      <c r="H249" s="8" t="s">
        <v>352</v>
      </c>
      <c r="I249" s="8" t="s">
        <v>1729</v>
      </c>
      <c r="J249" s="8" t="s">
        <v>2369</v>
      </c>
      <c r="K249" s="8" t="s">
        <v>384</v>
      </c>
      <c r="L249" s="8" t="s">
        <v>714</v>
      </c>
      <c r="M249" s="10">
        <v>0</v>
      </c>
      <c r="N249" s="8" t="s">
        <v>608</v>
      </c>
      <c r="O249" s="8" t="s">
        <v>9</v>
      </c>
      <c r="P249" s="8" t="s">
        <v>1955</v>
      </c>
      <c r="Q249" s="8" t="s">
        <v>1956</v>
      </c>
      <c r="R249" s="8" t="s">
        <v>1956</v>
      </c>
      <c r="S249" s="8" t="s">
        <v>356</v>
      </c>
      <c r="T249" s="8" t="s">
        <v>1172</v>
      </c>
      <c r="U249" s="8" t="s">
        <v>1957</v>
      </c>
      <c r="V249" s="8" t="s">
        <v>283</v>
      </c>
      <c r="W249" s="8" t="s">
        <v>1958</v>
      </c>
      <c r="X249" s="8" t="s">
        <v>355</v>
      </c>
      <c r="Y249" s="8" t="s">
        <v>112</v>
      </c>
      <c r="Z249" s="8" t="s">
        <v>2109</v>
      </c>
    </row>
    <row r="250" spans="1:26" ht="24" x14ac:dyDescent="0.3">
      <c r="A250" s="8" t="s">
        <v>2370</v>
      </c>
      <c r="B250" s="8" t="s">
        <v>9</v>
      </c>
      <c r="C250" s="10">
        <v>319957</v>
      </c>
      <c r="D250" s="8" t="s">
        <v>165</v>
      </c>
      <c r="E250" s="8" t="s">
        <v>1986</v>
      </c>
      <c r="F250" s="8" t="s">
        <v>1966</v>
      </c>
      <c r="G250" s="8" t="s">
        <v>9</v>
      </c>
      <c r="H250" s="8" t="s">
        <v>352</v>
      </c>
      <c r="I250" s="8" t="s">
        <v>1729</v>
      </c>
      <c r="J250" s="8" t="s">
        <v>2371</v>
      </c>
      <c r="K250" s="8" t="s">
        <v>384</v>
      </c>
      <c r="L250" s="8" t="s">
        <v>840</v>
      </c>
      <c r="M250" s="10">
        <v>0</v>
      </c>
      <c r="N250" s="8" t="s">
        <v>606</v>
      </c>
      <c r="O250" s="8" t="s">
        <v>9</v>
      </c>
      <c r="P250" s="8" t="s">
        <v>1955</v>
      </c>
      <c r="Q250" s="8" t="s">
        <v>1956</v>
      </c>
      <c r="R250" s="8" t="s">
        <v>1956</v>
      </c>
      <c r="S250" s="8" t="s">
        <v>356</v>
      </c>
      <c r="T250" s="8" t="s">
        <v>1172</v>
      </c>
      <c r="U250" s="8" t="s">
        <v>1968</v>
      </c>
      <c r="V250" s="8" t="s">
        <v>1172</v>
      </c>
      <c r="W250" s="8" t="s">
        <v>1969</v>
      </c>
      <c r="X250" s="8" t="s">
        <v>1837</v>
      </c>
      <c r="Y250" s="8" t="s">
        <v>112</v>
      </c>
      <c r="Z250" s="8" t="s">
        <v>1959</v>
      </c>
    </row>
    <row r="251" spans="1:26" ht="24" x14ac:dyDescent="0.3">
      <c r="A251" s="8" t="s">
        <v>2372</v>
      </c>
      <c r="B251" s="8" t="s">
        <v>9</v>
      </c>
      <c r="C251" s="10">
        <v>319957</v>
      </c>
      <c r="D251" s="8" t="s">
        <v>165</v>
      </c>
      <c r="E251" s="8" t="s">
        <v>1986</v>
      </c>
      <c r="F251" s="8" t="s">
        <v>1966</v>
      </c>
      <c r="G251" s="8" t="s">
        <v>9</v>
      </c>
      <c r="H251" s="8" t="s">
        <v>352</v>
      </c>
      <c r="I251" s="8" t="s">
        <v>1973</v>
      </c>
      <c r="J251" s="8" t="s">
        <v>2371</v>
      </c>
      <c r="K251" s="8" t="s">
        <v>384</v>
      </c>
      <c r="L251" s="8" t="s">
        <v>840</v>
      </c>
      <c r="M251" s="10">
        <v>0</v>
      </c>
      <c r="N251" s="8" t="s">
        <v>842</v>
      </c>
      <c r="O251" s="8" t="s">
        <v>9</v>
      </c>
      <c r="P251" s="8" t="s">
        <v>1955</v>
      </c>
      <c r="Q251" s="8" t="s">
        <v>1956</v>
      </c>
      <c r="R251" s="8" t="s">
        <v>1956</v>
      </c>
      <c r="S251" s="8" t="s">
        <v>356</v>
      </c>
      <c r="T251" s="8" t="s">
        <v>1172</v>
      </c>
      <c r="U251" s="8" t="s">
        <v>1968</v>
      </c>
      <c r="V251" s="8" t="s">
        <v>1172</v>
      </c>
      <c r="W251" s="8" t="s">
        <v>1969</v>
      </c>
      <c r="X251" s="8" t="s">
        <v>1837</v>
      </c>
      <c r="Y251" s="8" t="s">
        <v>112</v>
      </c>
      <c r="Z251" s="8" t="s">
        <v>1959</v>
      </c>
    </row>
    <row r="252" spans="1:26" ht="90" customHeight="1" x14ac:dyDescent="0.3">
      <c r="A252" s="8" t="s">
        <v>2373</v>
      </c>
      <c r="B252" s="8" t="s">
        <v>9</v>
      </c>
      <c r="C252" s="10">
        <v>225703</v>
      </c>
      <c r="D252" s="8" t="s">
        <v>491</v>
      </c>
      <c r="E252" s="8" t="s">
        <v>1986</v>
      </c>
      <c r="F252" s="8" t="s">
        <v>1952</v>
      </c>
      <c r="G252" s="8" t="s">
        <v>9</v>
      </c>
      <c r="H252" s="8" t="s">
        <v>352</v>
      </c>
      <c r="I252" s="8" t="s">
        <v>1729</v>
      </c>
      <c r="J252" s="8" t="s">
        <v>2374</v>
      </c>
      <c r="K252" s="8" t="s">
        <v>384</v>
      </c>
      <c r="L252" s="8" t="s">
        <v>2375</v>
      </c>
      <c r="M252" s="10">
        <v>0</v>
      </c>
      <c r="N252" s="8" t="s">
        <v>355</v>
      </c>
      <c r="O252" s="8" t="s">
        <v>9</v>
      </c>
      <c r="P252" s="8" t="s">
        <v>1955</v>
      </c>
      <c r="Q252" s="8" t="s">
        <v>1956</v>
      </c>
      <c r="R252" s="8" t="s">
        <v>1956</v>
      </c>
      <c r="S252" s="8" t="s">
        <v>356</v>
      </c>
      <c r="T252" s="8" t="s">
        <v>1172</v>
      </c>
      <c r="U252" s="8" t="s">
        <v>1957</v>
      </c>
      <c r="V252" s="8" t="s">
        <v>283</v>
      </c>
      <c r="W252" s="8" t="s">
        <v>1958</v>
      </c>
      <c r="X252" s="8" t="s">
        <v>355</v>
      </c>
      <c r="Y252" s="8" t="s">
        <v>112</v>
      </c>
      <c r="Z252" s="8" t="s">
        <v>1959</v>
      </c>
    </row>
    <row r="253" spans="1:26" ht="90" customHeight="1" x14ac:dyDescent="0.3">
      <c r="A253" s="8" t="s">
        <v>2376</v>
      </c>
      <c r="B253" s="8" t="s">
        <v>9</v>
      </c>
      <c r="C253" s="10">
        <v>225703</v>
      </c>
      <c r="D253" s="8" t="s">
        <v>491</v>
      </c>
      <c r="E253" s="8" t="s">
        <v>1986</v>
      </c>
      <c r="F253" s="8" t="s">
        <v>1952</v>
      </c>
      <c r="G253" s="8" t="s">
        <v>9</v>
      </c>
      <c r="H253" s="8" t="s">
        <v>352</v>
      </c>
      <c r="I253" s="8" t="s">
        <v>1973</v>
      </c>
      <c r="J253" s="8" t="s">
        <v>2374</v>
      </c>
      <c r="K253" s="8" t="s">
        <v>384</v>
      </c>
      <c r="L253" s="8" t="s">
        <v>2375</v>
      </c>
      <c r="M253" s="10">
        <v>0</v>
      </c>
      <c r="N253" s="8" t="s">
        <v>590</v>
      </c>
      <c r="O253" s="8" t="s">
        <v>9</v>
      </c>
      <c r="P253" s="8" t="s">
        <v>1955</v>
      </c>
      <c r="Q253" s="8" t="s">
        <v>1956</v>
      </c>
      <c r="R253" s="8" t="s">
        <v>1956</v>
      </c>
      <c r="S253" s="8" t="s">
        <v>356</v>
      </c>
      <c r="T253" s="8" t="s">
        <v>1172</v>
      </c>
      <c r="U253" s="8" t="s">
        <v>1957</v>
      </c>
      <c r="V253" s="8" t="s">
        <v>283</v>
      </c>
      <c r="W253" s="8" t="s">
        <v>1958</v>
      </c>
      <c r="X253" s="8" t="s">
        <v>355</v>
      </c>
      <c r="Y253" s="8" t="s">
        <v>112</v>
      </c>
      <c r="Z253" s="8" t="s">
        <v>1959</v>
      </c>
    </row>
    <row r="254" spans="1:26" ht="24" x14ac:dyDescent="0.3">
      <c r="A254" s="8" t="s">
        <v>2377</v>
      </c>
      <c r="B254" s="8" t="s">
        <v>9</v>
      </c>
      <c r="C254" s="10">
        <v>289617</v>
      </c>
      <c r="D254" s="8" t="s">
        <v>493</v>
      </c>
      <c r="E254" s="8" t="s">
        <v>1986</v>
      </c>
      <c r="F254" s="8" t="s">
        <v>1952</v>
      </c>
      <c r="G254" s="8" t="s">
        <v>9</v>
      </c>
      <c r="H254" s="8" t="s">
        <v>352</v>
      </c>
      <c r="I254" s="8" t="s">
        <v>1729</v>
      </c>
      <c r="J254" s="8" t="s">
        <v>355</v>
      </c>
      <c r="K254" s="8" t="s">
        <v>357</v>
      </c>
      <c r="L254" s="8" t="s">
        <v>358</v>
      </c>
      <c r="M254" s="10">
        <v>801713</v>
      </c>
      <c r="N254" s="8" t="s">
        <v>590</v>
      </c>
      <c r="O254" s="8" t="s">
        <v>9</v>
      </c>
      <c r="P254" s="8" t="s">
        <v>2038</v>
      </c>
      <c r="Q254" s="8" t="s">
        <v>1956</v>
      </c>
      <c r="R254" s="8" t="s">
        <v>1956</v>
      </c>
      <c r="S254" s="8" t="s">
        <v>356</v>
      </c>
      <c r="T254" s="8" t="s">
        <v>1172</v>
      </c>
      <c r="U254" s="8" t="s">
        <v>1957</v>
      </c>
      <c r="V254" s="8" t="s">
        <v>283</v>
      </c>
      <c r="W254" s="8" t="s">
        <v>1958</v>
      </c>
      <c r="X254" s="8" t="s">
        <v>355</v>
      </c>
      <c r="Y254" s="8" t="s">
        <v>112</v>
      </c>
      <c r="Z254" s="8" t="s">
        <v>2039</v>
      </c>
    </row>
    <row r="255" spans="1:26" ht="24" x14ac:dyDescent="0.3">
      <c r="A255" s="8" t="s">
        <v>2378</v>
      </c>
      <c r="B255" s="8" t="s">
        <v>9</v>
      </c>
      <c r="C255" s="10">
        <v>315940</v>
      </c>
      <c r="D255" s="8" t="s">
        <v>167</v>
      </c>
      <c r="E255" s="8" t="s">
        <v>1986</v>
      </c>
      <c r="F255" s="8" t="s">
        <v>1966</v>
      </c>
      <c r="G255" s="8" t="s">
        <v>9</v>
      </c>
      <c r="H255" s="8" t="s">
        <v>352</v>
      </c>
      <c r="I255" s="8" t="s">
        <v>1729</v>
      </c>
      <c r="J255" s="8" t="s">
        <v>2379</v>
      </c>
      <c r="K255" s="8" t="s">
        <v>384</v>
      </c>
      <c r="L255" s="8" t="s">
        <v>714</v>
      </c>
      <c r="M255" s="10">
        <v>0</v>
      </c>
      <c r="N255" s="8" t="s">
        <v>606</v>
      </c>
      <c r="O255" s="8" t="s">
        <v>9</v>
      </c>
      <c r="P255" s="8" t="s">
        <v>1955</v>
      </c>
      <c r="Q255" s="8" t="s">
        <v>1956</v>
      </c>
      <c r="R255" s="8" t="s">
        <v>1956</v>
      </c>
      <c r="S255" s="8" t="s">
        <v>356</v>
      </c>
      <c r="T255" s="8" t="s">
        <v>1172</v>
      </c>
      <c r="U255" s="8" t="s">
        <v>1968</v>
      </c>
      <c r="V255" s="8" t="s">
        <v>1172</v>
      </c>
      <c r="W255" s="8" t="s">
        <v>1969</v>
      </c>
      <c r="X255" s="8" t="s">
        <v>1843</v>
      </c>
      <c r="Y255" s="8" t="s">
        <v>112</v>
      </c>
      <c r="Z255" s="8" t="s">
        <v>2109</v>
      </c>
    </row>
    <row r="256" spans="1:26" ht="24" x14ac:dyDescent="0.3">
      <c r="A256" s="8" t="s">
        <v>2380</v>
      </c>
      <c r="B256" s="8" t="s">
        <v>9</v>
      </c>
      <c r="C256" s="10">
        <v>315940</v>
      </c>
      <c r="D256" s="8" t="s">
        <v>167</v>
      </c>
      <c r="E256" s="8" t="s">
        <v>1986</v>
      </c>
      <c r="F256" s="8" t="s">
        <v>1966</v>
      </c>
      <c r="G256" s="8" t="s">
        <v>9</v>
      </c>
      <c r="H256" s="8" t="s">
        <v>352</v>
      </c>
      <c r="I256" s="8" t="s">
        <v>1973</v>
      </c>
      <c r="J256" s="8" t="s">
        <v>2379</v>
      </c>
      <c r="K256" s="8" t="s">
        <v>384</v>
      </c>
      <c r="L256" s="8" t="s">
        <v>714</v>
      </c>
      <c r="M256" s="10">
        <v>0</v>
      </c>
      <c r="N256" s="8" t="s">
        <v>608</v>
      </c>
      <c r="O256" s="8" t="s">
        <v>9</v>
      </c>
      <c r="P256" s="8" t="s">
        <v>1955</v>
      </c>
      <c r="Q256" s="8" t="s">
        <v>1956</v>
      </c>
      <c r="R256" s="8" t="s">
        <v>1956</v>
      </c>
      <c r="S256" s="8" t="s">
        <v>356</v>
      </c>
      <c r="T256" s="8" t="s">
        <v>1172</v>
      </c>
      <c r="U256" s="8" t="s">
        <v>1968</v>
      </c>
      <c r="V256" s="8" t="s">
        <v>1172</v>
      </c>
      <c r="W256" s="8" t="s">
        <v>1969</v>
      </c>
      <c r="X256" s="8" t="s">
        <v>1843</v>
      </c>
      <c r="Y256" s="8" t="s">
        <v>112</v>
      </c>
      <c r="Z256" s="8" t="s">
        <v>2109</v>
      </c>
    </row>
    <row r="257" spans="1:26" ht="60" x14ac:dyDescent="0.3">
      <c r="A257" s="8" t="s">
        <v>2381</v>
      </c>
      <c r="B257" s="8" t="s">
        <v>9</v>
      </c>
      <c r="C257" s="10">
        <v>231374</v>
      </c>
      <c r="D257" s="8" t="s">
        <v>496</v>
      </c>
      <c r="E257" s="8" t="s">
        <v>1986</v>
      </c>
      <c r="F257" s="8" t="s">
        <v>1952</v>
      </c>
      <c r="G257" s="8" t="s">
        <v>9</v>
      </c>
      <c r="H257" s="8" t="s">
        <v>352</v>
      </c>
      <c r="I257" s="8" t="s">
        <v>1729</v>
      </c>
      <c r="J257" s="8" t="s">
        <v>2382</v>
      </c>
      <c r="K257" s="8" t="s">
        <v>384</v>
      </c>
      <c r="L257" s="8" t="s">
        <v>2383</v>
      </c>
      <c r="M257" s="10">
        <v>0</v>
      </c>
      <c r="N257" s="8" t="s">
        <v>355</v>
      </c>
      <c r="O257" s="8" t="s">
        <v>9</v>
      </c>
      <c r="P257" s="8" t="s">
        <v>1955</v>
      </c>
      <c r="Q257" s="8" t="s">
        <v>1956</v>
      </c>
      <c r="R257" s="8" t="s">
        <v>1956</v>
      </c>
      <c r="S257" s="8" t="s">
        <v>356</v>
      </c>
      <c r="T257" s="8" t="s">
        <v>1172</v>
      </c>
      <c r="U257" s="8" t="s">
        <v>1957</v>
      </c>
      <c r="V257" s="8" t="s">
        <v>283</v>
      </c>
      <c r="W257" s="8" t="s">
        <v>1958</v>
      </c>
      <c r="X257" s="8" t="s">
        <v>355</v>
      </c>
      <c r="Y257" s="8" t="s">
        <v>112</v>
      </c>
      <c r="Z257" s="8" t="s">
        <v>1959</v>
      </c>
    </row>
    <row r="258" spans="1:26" ht="60" x14ac:dyDescent="0.3">
      <c r="A258" s="8" t="s">
        <v>2384</v>
      </c>
      <c r="B258" s="8" t="s">
        <v>9</v>
      </c>
      <c r="C258" s="10">
        <v>231374</v>
      </c>
      <c r="D258" s="8" t="s">
        <v>496</v>
      </c>
      <c r="E258" s="8" t="s">
        <v>1986</v>
      </c>
      <c r="F258" s="8" t="s">
        <v>1952</v>
      </c>
      <c r="G258" s="8" t="s">
        <v>9</v>
      </c>
      <c r="H258" s="8" t="s">
        <v>352</v>
      </c>
      <c r="I258" s="8" t="s">
        <v>1729</v>
      </c>
      <c r="J258" s="8" t="s">
        <v>2382</v>
      </c>
      <c r="K258" s="8" t="s">
        <v>384</v>
      </c>
      <c r="L258" s="8" t="s">
        <v>2385</v>
      </c>
      <c r="M258" s="10">
        <v>0</v>
      </c>
      <c r="N258" s="8" t="s">
        <v>355</v>
      </c>
      <c r="O258" s="8" t="s">
        <v>9</v>
      </c>
      <c r="P258" s="8" t="s">
        <v>1955</v>
      </c>
      <c r="Q258" s="8" t="s">
        <v>1956</v>
      </c>
      <c r="R258" s="8" t="s">
        <v>1956</v>
      </c>
      <c r="S258" s="8" t="s">
        <v>356</v>
      </c>
      <c r="T258" s="8" t="s">
        <v>1172</v>
      </c>
      <c r="U258" s="8" t="s">
        <v>1957</v>
      </c>
      <c r="V258" s="8" t="s">
        <v>283</v>
      </c>
      <c r="W258" s="8" t="s">
        <v>1958</v>
      </c>
      <c r="X258" s="8" t="s">
        <v>355</v>
      </c>
      <c r="Y258" s="8" t="s">
        <v>112</v>
      </c>
      <c r="Z258" s="8" t="s">
        <v>1959</v>
      </c>
    </row>
    <row r="259" spans="1:26" ht="60" x14ac:dyDescent="0.3">
      <c r="A259" s="8" t="s">
        <v>2386</v>
      </c>
      <c r="B259" s="8" t="s">
        <v>9</v>
      </c>
      <c r="C259" s="10">
        <v>231374</v>
      </c>
      <c r="D259" s="8" t="s">
        <v>496</v>
      </c>
      <c r="E259" s="8" t="s">
        <v>1986</v>
      </c>
      <c r="F259" s="8" t="s">
        <v>1952</v>
      </c>
      <c r="G259" s="8" t="s">
        <v>9</v>
      </c>
      <c r="H259" s="8" t="s">
        <v>352</v>
      </c>
      <c r="I259" s="8" t="s">
        <v>1973</v>
      </c>
      <c r="J259" s="8" t="s">
        <v>2382</v>
      </c>
      <c r="K259" s="8" t="s">
        <v>384</v>
      </c>
      <c r="L259" s="8" t="s">
        <v>2383</v>
      </c>
      <c r="M259" s="10">
        <v>0</v>
      </c>
      <c r="N259" s="8" t="s">
        <v>590</v>
      </c>
      <c r="O259" s="8" t="s">
        <v>9</v>
      </c>
      <c r="P259" s="8" t="s">
        <v>1955</v>
      </c>
      <c r="Q259" s="8" t="s">
        <v>1956</v>
      </c>
      <c r="R259" s="8" t="s">
        <v>1956</v>
      </c>
      <c r="S259" s="8" t="s">
        <v>356</v>
      </c>
      <c r="T259" s="8" t="s">
        <v>1172</v>
      </c>
      <c r="U259" s="8" t="s">
        <v>1957</v>
      </c>
      <c r="V259" s="8" t="s">
        <v>283</v>
      </c>
      <c r="W259" s="8" t="s">
        <v>1958</v>
      </c>
      <c r="X259" s="8" t="s">
        <v>355</v>
      </c>
      <c r="Y259" s="8" t="s">
        <v>112</v>
      </c>
      <c r="Z259" s="8" t="s">
        <v>1959</v>
      </c>
    </row>
    <row r="260" spans="1:26" ht="60" x14ac:dyDescent="0.3">
      <c r="A260" s="8" t="s">
        <v>2387</v>
      </c>
      <c r="B260" s="8" t="s">
        <v>9</v>
      </c>
      <c r="C260" s="10">
        <v>231374</v>
      </c>
      <c r="D260" s="8" t="s">
        <v>496</v>
      </c>
      <c r="E260" s="8" t="s">
        <v>1986</v>
      </c>
      <c r="F260" s="8" t="s">
        <v>1952</v>
      </c>
      <c r="G260" s="8" t="s">
        <v>9</v>
      </c>
      <c r="H260" s="8" t="s">
        <v>352</v>
      </c>
      <c r="I260" s="8" t="s">
        <v>1973</v>
      </c>
      <c r="J260" s="8" t="s">
        <v>2382</v>
      </c>
      <c r="K260" s="8" t="s">
        <v>384</v>
      </c>
      <c r="L260" s="8" t="s">
        <v>2385</v>
      </c>
      <c r="M260" s="10">
        <v>0</v>
      </c>
      <c r="N260" s="8" t="s">
        <v>603</v>
      </c>
      <c r="O260" s="8" t="s">
        <v>9</v>
      </c>
      <c r="P260" s="8" t="s">
        <v>1955</v>
      </c>
      <c r="Q260" s="8" t="s">
        <v>1956</v>
      </c>
      <c r="R260" s="8" t="s">
        <v>1956</v>
      </c>
      <c r="S260" s="8" t="s">
        <v>356</v>
      </c>
      <c r="T260" s="8" t="s">
        <v>1172</v>
      </c>
      <c r="U260" s="8" t="s">
        <v>1957</v>
      </c>
      <c r="V260" s="8" t="s">
        <v>283</v>
      </c>
      <c r="W260" s="8" t="s">
        <v>1958</v>
      </c>
      <c r="X260" s="8" t="s">
        <v>355</v>
      </c>
      <c r="Y260" s="8" t="s">
        <v>112</v>
      </c>
      <c r="Z260" s="8" t="s">
        <v>1959</v>
      </c>
    </row>
    <row r="261" spans="1:26" ht="24" x14ac:dyDescent="0.3">
      <c r="A261" s="8" t="s">
        <v>2388</v>
      </c>
      <c r="B261" s="8" t="s">
        <v>9</v>
      </c>
      <c r="C261" s="10">
        <v>282625</v>
      </c>
      <c r="D261" s="8" t="s">
        <v>169</v>
      </c>
      <c r="E261" s="8" t="s">
        <v>1951</v>
      </c>
      <c r="F261" s="8" t="s">
        <v>1966</v>
      </c>
      <c r="G261" s="8" t="s">
        <v>9</v>
      </c>
      <c r="H261" s="8" t="s">
        <v>352</v>
      </c>
      <c r="I261" s="8" t="s">
        <v>1729</v>
      </c>
      <c r="J261" s="8" t="s">
        <v>2389</v>
      </c>
      <c r="K261" s="8" t="s">
        <v>384</v>
      </c>
      <c r="L261" s="8" t="s">
        <v>847</v>
      </c>
      <c r="M261" s="10">
        <v>0</v>
      </c>
      <c r="N261" s="8" t="s">
        <v>590</v>
      </c>
      <c r="O261" s="8" t="s">
        <v>9</v>
      </c>
      <c r="P261" s="8" t="s">
        <v>1955</v>
      </c>
      <c r="Q261" s="8" t="s">
        <v>1956</v>
      </c>
      <c r="R261" s="8" t="s">
        <v>1956</v>
      </c>
      <c r="S261" s="8" t="s">
        <v>356</v>
      </c>
      <c r="T261" s="8" t="s">
        <v>1172</v>
      </c>
      <c r="U261" s="8" t="s">
        <v>1968</v>
      </c>
      <c r="V261" s="8" t="s">
        <v>1172</v>
      </c>
      <c r="W261" s="8" t="s">
        <v>1969</v>
      </c>
      <c r="X261" s="8" t="s">
        <v>1846</v>
      </c>
      <c r="Y261" s="8" t="s">
        <v>112</v>
      </c>
      <c r="Z261" s="8" t="s">
        <v>1959</v>
      </c>
    </row>
    <row r="262" spans="1:26" ht="24" x14ac:dyDescent="0.3">
      <c r="A262" s="8" t="s">
        <v>2390</v>
      </c>
      <c r="B262" s="8" t="s">
        <v>9</v>
      </c>
      <c r="C262" s="10">
        <v>332726</v>
      </c>
      <c r="D262" s="8" t="s">
        <v>171</v>
      </c>
      <c r="E262" s="8" t="s">
        <v>1951</v>
      </c>
      <c r="F262" s="8" t="s">
        <v>1966</v>
      </c>
      <c r="G262" s="8" t="s">
        <v>9</v>
      </c>
      <c r="H262" s="8" t="s">
        <v>352</v>
      </c>
      <c r="I262" s="8" t="s">
        <v>1729</v>
      </c>
      <c r="J262" s="8" t="s">
        <v>355</v>
      </c>
      <c r="K262" s="8" t="s">
        <v>357</v>
      </c>
      <c r="L262" s="8" t="s">
        <v>852</v>
      </c>
      <c r="M262" s="10">
        <v>871355</v>
      </c>
      <c r="N262" s="8" t="s">
        <v>853</v>
      </c>
      <c r="O262" s="8" t="s">
        <v>9</v>
      </c>
      <c r="P262" s="8" t="s">
        <v>2038</v>
      </c>
      <c r="Q262" s="8" t="s">
        <v>1956</v>
      </c>
      <c r="R262" s="8" t="s">
        <v>1956</v>
      </c>
      <c r="S262" s="8" t="s">
        <v>356</v>
      </c>
      <c r="T262" s="8" t="s">
        <v>1172</v>
      </c>
      <c r="U262" s="8" t="s">
        <v>1968</v>
      </c>
      <c r="V262" s="8" t="s">
        <v>1172</v>
      </c>
      <c r="W262" s="8" t="s">
        <v>1969</v>
      </c>
      <c r="X262" s="8" t="s">
        <v>1851</v>
      </c>
      <c r="Y262" s="8" t="s">
        <v>112</v>
      </c>
      <c r="Z262" s="8" t="s">
        <v>2039</v>
      </c>
    </row>
    <row r="263" spans="1:26" ht="24" x14ac:dyDescent="0.3">
      <c r="A263" s="8" t="s">
        <v>2391</v>
      </c>
      <c r="B263" s="8" t="s">
        <v>9</v>
      </c>
      <c r="C263" s="10">
        <v>332726</v>
      </c>
      <c r="D263" s="8" t="s">
        <v>171</v>
      </c>
      <c r="E263" s="8" t="s">
        <v>1951</v>
      </c>
      <c r="F263" s="8" t="s">
        <v>1966</v>
      </c>
      <c r="G263" s="8" t="s">
        <v>9</v>
      </c>
      <c r="H263" s="8" t="s">
        <v>352</v>
      </c>
      <c r="I263" s="8" t="s">
        <v>1729</v>
      </c>
      <c r="J263" s="8" t="s">
        <v>355</v>
      </c>
      <c r="K263" s="8" t="s">
        <v>357</v>
      </c>
      <c r="L263" s="8" t="s">
        <v>358</v>
      </c>
      <c r="M263" s="10">
        <v>871354</v>
      </c>
      <c r="N263" s="8" t="s">
        <v>849</v>
      </c>
      <c r="O263" s="8" t="s">
        <v>9</v>
      </c>
      <c r="P263" s="8" t="s">
        <v>2038</v>
      </c>
      <c r="Q263" s="8" t="s">
        <v>1956</v>
      </c>
      <c r="R263" s="8" t="s">
        <v>1956</v>
      </c>
      <c r="S263" s="8" t="s">
        <v>356</v>
      </c>
      <c r="T263" s="8" t="s">
        <v>1172</v>
      </c>
      <c r="U263" s="8" t="s">
        <v>1968</v>
      </c>
      <c r="V263" s="8" t="s">
        <v>1172</v>
      </c>
      <c r="W263" s="8" t="s">
        <v>1969</v>
      </c>
      <c r="X263" s="8" t="s">
        <v>1851</v>
      </c>
      <c r="Y263" s="8" t="s">
        <v>112</v>
      </c>
      <c r="Z263" s="8" t="s">
        <v>2039</v>
      </c>
    </row>
    <row r="264" spans="1:26" ht="48" x14ac:dyDescent="0.3">
      <c r="A264" s="8" t="s">
        <v>2392</v>
      </c>
      <c r="B264" s="8" t="s">
        <v>9</v>
      </c>
      <c r="C264" s="10">
        <v>319734</v>
      </c>
      <c r="D264" s="8" t="s">
        <v>173</v>
      </c>
      <c r="E264" s="8" t="s">
        <v>1951</v>
      </c>
      <c r="F264" s="8" t="s">
        <v>1966</v>
      </c>
      <c r="G264" s="8" t="s">
        <v>9</v>
      </c>
      <c r="H264" s="8" t="s">
        <v>352</v>
      </c>
      <c r="I264" s="8" t="s">
        <v>1729</v>
      </c>
      <c r="J264" s="8" t="s">
        <v>2393</v>
      </c>
      <c r="K264" s="8" t="s">
        <v>384</v>
      </c>
      <c r="L264" s="8" t="s">
        <v>856</v>
      </c>
      <c r="M264" s="10">
        <v>0</v>
      </c>
      <c r="N264" s="8" t="s">
        <v>857</v>
      </c>
      <c r="O264" s="8" t="s">
        <v>9</v>
      </c>
      <c r="P264" s="8" t="s">
        <v>1955</v>
      </c>
      <c r="Q264" s="8" t="s">
        <v>1956</v>
      </c>
      <c r="R264" s="8" t="s">
        <v>1956</v>
      </c>
      <c r="S264" s="8" t="s">
        <v>356</v>
      </c>
      <c r="T264" s="8" t="s">
        <v>1172</v>
      </c>
      <c r="U264" s="8" t="s">
        <v>1968</v>
      </c>
      <c r="V264" s="8" t="s">
        <v>1172</v>
      </c>
      <c r="W264" s="8" t="s">
        <v>1969</v>
      </c>
      <c r="X264" s="8" t="s">
        <v>1855</v>
      </c>
      <c r="Y264" s="8" t="s">
        <v>112</v>
      </c>
      <c r="Z264" s="8" t="s">
        <v>1988</v>
      </c>
    </row>
    <row r="265" spans="1:26" ht="48" x14ac:dyDescent="0.3">
      <c r="A265" s="8" t="s">
        <v>2394</v>
      </c>
      <c r="B265" s="8" t="s">
        <v>9</v>
      </c>
      <c r="C265" s="10">
        <v>319734</v>
      </c>
      <c r="D265" s="8" t="s">
        <v>173</v>
      </c>
      <c r="E265" s="8" t="s">
        <v>1951</v>
      </c>
      <c r="F265" s="8" t="s">
        <v>1966</v>
      </c>
      <c r="G265" s="8" t="s">
        <v>9</v>
      </c>
      <c r="H265" s="8" t="s">
        <v>352</v>
      </c>
      <c r="I265" s="8" t="s">
        <v>1729</v>
      </c>
      <c r="J265" s="8" t="s">
        <v>2393</v>
      </c>
      <c r="K265" s="8" t="s">
        <v>384</v>
      </c>
      <c r="L265" s="8" t="s">
        <v>859</v>
      </c>
      <c r="M265" s="10">
        <v>0</v>
      </c>
      <c r="N265" s="8" t="s">
        <v>860</v>
      </c>
      <c r="O265" s="8" t="s">
        <v>9</v>
      </c>
      <c r="P265" s="8" t="s">
        <v>1955</v>
      </c>
      <c r="Q265" s="8" t="s">
        <v>1956</v>
      </c>
      <c r="R265" s="8" t="s">
        <v>1956</v>
      </c>
      <c r="S265" s="8" t="s">
        <v>356</v>
      </c>
      <c r="T265" s="8" t="s">
        <v>1172</v>
      </c>
      <c r="U265" s="8" t="s">
        <v>1968</v>
      </c>
      <c r="V265" s="8" t="s">
        <v>1172</v>
      </c>
      <c r="W265" s="8" t="s">
        <v>1969</v>
      </c>
      <c r="X265" s="8" t="s">
        <v>1855</v>
      </c>
      <c r="Y265" s="8" t="s">
        <v>112</v>
      </c>
      <c r="Z265" s="8" t="s">
        <v>1988</v>
      </c>
    </row>
    <row r="266" spans="1:26" ht="48" x14ac:dyDescent="0.3">
      <c r="A266" s="8" t="s">
        <v>2395</v>
      </c>
      <c r="B266" s="8" t="s">
        <v>9</v>
      </c>
      <c r="C266" s="10">
        <v>266572</v>
      </c>
      <c r="D266" s="8" t="s">
        <v>175</v>
      </c>
      <c r="E266" s="8" t="s">
        <v>1986</v>
      </c>
      <c r="F266" s="8" t="s">
        <v>1966</v>
      </c>
      <c r="G266" s="8" t="s">
        <v>9</v>
      </c>
      <c r="H266" s="8" t="s">
        <v>352</v>
      </c>
      <c r="I266" s="8" t="s">
        <v>1729</v>
      </c>
      <c r="J266" s="8" t="s">
        <v>2396</v>
      </c>
      <c r="K266" s="8" t="s">
        <v>384</v>
      </c>
      <c r="L266" s="8" t="s">
        <v>862</v>
      </c>
      <c r="M266" s="10">
        <v>0</v>
      </c>
      <c r="N266" s="8" t="s">
        <v>355</v>
      </c>
      <c r="O266" s="8" t="s">
        <v>9</v>
      </c>
      <c r="P266" s="8" t="s">
        <v>1955</v>
      </c>
      <c r="Q266" s="8" t="s">
        <v>1956</v>
      </c>
      <c r="R266" s="8" t="s">
        <v>1956</v>
      </c>
      <c r="S266" s="8" t="s">
        <v>356</v>
      </c>
      <c r="T266" s="8" t="s">
        <v>1172</v>
      </c>
      <c r="U266" s="8" t="s">
        <v>1968</v>
      </c>
      <c r="V266" s="8" t="s">
        <v>1172</v>
      </c>
      <c r="W266" s="8" t="s">
        <v>1969</v>
      </c>
      <c r="X266" s="8" t="s">
        <v>1860</v>
      </c>
      <c r="Y266" s="8" t="s">
        <v>112</v>
      </c>
      <c r="Z266" s="8" t="s">
        <v>2397</v>
      </c>
    </row>
    <row r="267" spans="1:26" ht="48" x14ac:dyDescent="0.3">
      <c r="A267" s="8" t="s">
        <v>2398</v>
      </c>
      <c r="B267" s="8" t="s">
        <v>9</v>
      </c>
      <c r="C267" s="10">
        <v>266572</v>
      </c>
      <c r="D267" s="8" t="s">
        <v>175</v>
      </c>
      <c r="E267" s="8" t="s">
        <v>1986</v>
      </c>
      <c r="F267" s="8" t="s">
        <v>1966</v>
      </c>
      <c r="G267" s="8" t="s">
        <v>9</v>
      </c>
      <c r="H267" s="8" t="s">
        <v>352</v>
      </c>
      <c r="I267" s="8" t="s">
        <v>1973</v>
      </c>
      <c r="J267" s="8" t="s">
        <v>2396</v>
      </c>
      <c r="K267" s="8" t="s">
        <v>384</v>
      </c>
      <c r="L267" s="8" t="s">
        <v>862</v>
      </c>
      <c r="M267" s="10">
        <v>0</v>
      </c>
      <c r="N267" s="8" t="s">
        <v>590</v>
      </c>
      <c r="O267" s="8" t="s">
        <v>9</v>
      </c>
      <c r="P267" s="8" t="s">
        <v>1955</v>
      </c>
      <c r="Q267" s="8" t="s">
        <v>1956</v>
      </c>
      <c r="R267" s="8" t="s">
        <v>1956</v>
      </c>
      <c r="S267" s="8" t="s">
        <v>356</v>
      </c>
      <c r="T267" s="8" t="s">
        <v>1172</v>
      </c>
      <c r="U267" s="8" t="s">
        <v>1968</v>
      </c>
      <c r="V267" s="8" t="s">
        <v>1172</v>
      </c>
      <c r="W267" s="8" t="s">
        <v>1969</v>
      </c>
      <c r="X267" s="8" t="s">
        <v>1860</v>
      </c>
      <c r="Y267" s="8" t="s">
        <v>112</v>
      </c>
      <c r="Z267" s="8" t="s">
        <v>2397</v>
      </c>
    </row>
    <row r="268" spans="1:26" ht="48" x14ac:dyDescent="0.3">
      <c r="A268" s="8" t="s">
        <v>2399</v>
      </c>
      <c r="B268" s="8" t="s">
        <v>9</v>
      </c>
      <c r="C268" s="10">
        <v>264528</v>
      </c>
      <c r="D268" s="8" t="s">
        <v>177</v>
      </c>
      <c r="E268" s="8" t="s">
        <v>1986</v>
      </c>
      <c r="F268" s="8" t="s">
        <v>1966</v>
      </c>
      <c r="G268" s="8" t="s">
        <v>9</v>
      </c>
      <c r="H268" s="8" t="s">
        <v>352</v>
      </c>
      <c r="I268" s="8" t="s">
        <v>1729</v>
      </c>
      <c r="J268" s="8" t="s">
        <v>2400</v>
      </c>
      <c r="K268" s="8" t="s">
        <v>384</v>
      </c>
      <c r="L268" s="8" t="s">
        <v>866</v>
      </c>
      <c r="M268" s="10">
        <v>0</v>
      </c>
      <c r="N268" s="8" t="s">
        <v>590</v>
      </c>
      <c r="O268" s="8" t="s">
        <v>9</v>
      </c>
      <c r="P268" s="8" t="s">
        <v>1955</v>
      </c>
      <c r="Q268" s="8" t="s">
        <v>1956</v>
      </c>
      <c r="R268" s="8" t="s">
        <v>1956</v>
      </c>
      <c r="S268" s="8" t="s">
        <v>356</v>
      </c>
      <c r="T268" s="8" t="s">
        <v>1172</v>
      </c>
      <c r="U268" s="8" t="s">
        <v>1968</v>
      </c>
      <c r="V268" s="8" t="s">
        <v>1172</v>
      </c>
      <c r="W268" s="8" t="s">
        <v>1969</v>
      </c>
      <c r="X268" s="8" t="s">
        <v>1866</v>
      </c>
      <c r="Y268" s="8" t="s">
        <v>112</v>
      </c>
      <c r="Z268" s="8" t="s">
        <v>1959</v>
      </c>
    </row>
    <row r="269" spans="1:26" ht="19.95" customHeight="1" x14ac:dyDescent="0.3">
      <c r="A269" s="8" t="s">
        <v>2401</v>
      </c>
      <c r="B269" s="8" t="s">
        <v>9</v>
      </c>
      <c r="C269" s="10">
        <v>264528</v>
      </c>
      <c r="D269" s="8" t="s">
        <v>177</v>
      </c>
      <c r="E269" s="8" t="s">
        <v>1986</v>
      </c>
      <c r="F269" s="8" t="s">
        <v>1966</v>
      </c>
      <c r="G269" s="8" t="s">
        <v>9</v>
      </c>
      <c r="H269" s="8" t="s">
        <v>352</v>
      </c>
      <c r="I269" s="8" t="s">
        <v>1729</v>
      </c>
      <c r="J269" s="8" t="s">
        <v>2400</v>
      </c>
      <c r="K269" s="8" t="s">
        <v>384</v>
      </c>
      <c r="L269" s="8" t="s">
        <v>868</v>
      </c>
      <c r="M269" s="10">
        <v>0</v>
      </c>
      <c r="N269" s="8" t="s">
        <v>603</v>
      </c>
      <c r="O269" s="8" t="s">
        <v>9</v>
      </c>
      <c r="P269" s="8" t="s">
        <v>1955</v>
      </c>
      <c r="Q269" s="8" t="s">
        <v>1956</v>
      </c>
      <c r="R269" s="8" t="s">
        <v>1956</v>
      </c>
      <c r="S269" s="8" t="s">
        <v>356</v>
      </c>
      <c r="T269" s="8" t="s">
        <v>1172</v>
      </c>
      <c r="U269" s="8" t="s">
        <v>1968</v>
      </c>
      <c r="V269" s="8" t="s">
        <v>1172</v>
      </c>
      <c r="W269" s="8" t="s">
        <v>1969</v>
      </c>
      <c r="X269" s="8" t="s">
        <v>1866</v>
      </c>
      <c r="Y269" s="8" t="s">
        <v>112</v>
      </c>
      <c r="Z269" s="8" t="s">
        <v>1959</v>
      </c>
    </row>
    <row r="270" spans="1:26" ht="36" x14ac:dyDescent="0.3">
      <c r="A270" s="8" t="s">
        <v>2402</v>
      </c>
      <c r="B270" s="8" t="s">
        <v>9</v>
      </c>
      <c r="C270" s="10">
        <v>264528</v>
      </c>
      <c r="D270" s="8" t="s">
        <v>177</v>
      </c>
      <c r="E270" s="8" t="s">
        <v>1986</v>
      </c>
      <c r="F270" s="8" t="s">
        <v>1966</v>
      </c>
      <c r="G270" s="8" t="s">
        <v>9</v>
      </c>
      <c r="H270" s="8" t="s">
        <v>352</v>
      </c>
      <c r="I270" s="8" t="s">
        <v>1729</v>
      </c>
      <c r="J270" s="8" t="s">
        <v>2400</v>
      </c>
      <c r="K270" s="8" t="s">
        <v>384</v>
      </c>
      <c r="L270" s="8" t="s">
        <v>870</v>
      </c>
      <c r="M270" s="10">
        <v>0</v>
      </c>
      <c r="N270" s="8" t="s">
        <v>601</v>
      </c>
      <c r="O270" s="8" t="s">
        <v>9</v>
      </c>
      <c r="P270" s="8" t="s">
        <v>1955</v>
      </c>
      <c r="Q270" s="8" t="s">
        <v>1956</v>
      </c>
      <c r="R270" s="8" t="s">
        <v>1956</v>
      </c>
      <c r="S270" s="8" t="s">
        <v>356</v>
      </c>
      <c r="T270" s="8" t="s">
        <v>1172</v>
      </c>
      <c r="U270" s="8" t="s">
        <v>1968</v>
      </c>
      <c r="V270" s="8" t="s">
        <v>1172</v>
      </c>
      <c r="W270" s="8" t="s">
        <v>1969</v>
      </c>
      <c r="X270" s="8" t="s">
        <v>1866</v>
      </c>
      <c r="Y270" s="8" t="s">
        <v>112</v>
      </c>
      <c r="Z270" s="8" t="s">
        <v>1959</v>
      </c>
    </row>
    <row r="271" spans="1:26" ht="19.95" customHeight="1" x14ac:dyDescent="0.3">
      <c r="A271" s="8" t="s">
        <v>2403</v>
      </c>
      <c r="B271" s="8" t="s">
        <v>9</v>
      </c>
      <c r="C271" s="10">
        <v>264528</v>
      </c>
      <c r="D271" s="8" t="s">
        <v>177</v>
      </c>
      <c r="E271" s="8" t="s">
        <v>1986</v>
      </c>
      <c r="F271" s="8" t="s">
        <v>1966</v>
      </c>
      <c r="G271" s="8" t="s">
        <v>9</v>
      </c>
      <c r="H271" s="8" t="s">
        <v>352</v>
      </c>
      <c r="I271" s="8" t="s">
        <v>1729</v>
      </c>
      <c r="J271" s="8" t="s">
        <v>2400</v>
      </c>
      <c r="K271" s="8" t="s">
        <v>384</v>
      </c>
      <c r="L271" s="8" t="s">
        <v>872</v>
      </c>
      <c r="M271" s="10">
        <v>0</v>
      </c>
      <c r="N271" s="8" t="s">
        <v>617</v>
      </c>
      <c r="O271" s="8" t="s">
        <v>9</v>
      </c>
      <c r="P271" s="8" t="s">
        <v>1955</v>
      </c>
      <c r="Q271" s="8" t="s">
        <v>1956</v>
      </c>
      <c r="R271" s="8" t="s">
        <v>1956</v>
      </c>
      <c r="S271" s="8" t="s">
        <v>356</v>
      </c>
      <c r="T271" s="8" t="s">
        <v>1172</v>
      </c>
      <c r="U271" s="8" t="s">
        <v>1968</v>
      </c>
      <c r="V271" s="8" t="s">
        <v>1172</v>
      </c>
      <c r="W271" s="8" t="s">
        <v>1969</v>
      </c>
      <c r="X271" s="8" t="s">
        <v>1866</v>
      </c>
      <c r="Y271" s="8" t="s">
        <v>112</v>
      </c>
      <c r="Z271" s="8" t="s">
        <v>1959</v>
      </c>
    </row>
    <row r="272" spans="1:26" ht="19.95" customHeight="1" x14ac:dyDescent="0.3">
      <c r="A272" s="8" t="s">
        <v>2404</v>
      </c>
      <c r="B272" s="8" t="s">
        <v>9</v>
      </c>
      <c r="C272" s="10">
        <v>264528</v>
      </c>
      <c r="D272" s="8" t="s">
        <v>177</v>
      </c>
      <c r="E272" s="8" t="s">
        <v>1986</v>
      </c>
      <c r="F272" s="8" t="s">
        <v>1966</v>
      </c>
      <c r="G272" s="8" t="s">
        <v>9</v>
      </c>
      <c r="H272" s="8" t="s">
        <v>352</v>
      </c>
      <c r="I272" s="8" t="s">
        <v>1729</v>
      </c>
      <c r="J272" s="8" t="s">
        <v>2400</v>
      </c>
      <c r="K272" s="8" t="s">
        <v>384</v>
      </c>
      <c r="L272" s="8" t="s">
        <v>874</v>
      </c>
      <c r="M272" s="10">
        <v>0</v>
      </c>
      <c r="N272" s="8" t="s">
        <v>623</v>
      </c>
      <c r="O272" s="8" t="s">
        <v>9</v>
      </c>
      <c r="P272" s="8" t="s">
        <v>1955</v>
      </c>
      <c r="Q272" s="8" t="s">
        <v>1956</v>
      </c>
      <c r="R272" s="8" t="s">
        <v>1956</v>
      </c>
      <c r="S272" s="8" t="s">
        <v>356</v>
      </c>
      <c r="T272" s="8" t="s">
        <v>1172</v>
      </c>
      <c r="U272" s="8" t="s">
        <v>1968</v>
      </c>
      <c r="V272" s="8" t="s">
        <v>1172</v>
      </c>
      <c r="W272" s="8" t="s">
        <v>1969</v>
      </c>
      <c r="X272" s="8" t="s">
        <v>1866</v>
      </c>
      <c r="Y272" s="8" t="s">
        <v>112</v>
      </c>
      <c r="Z272" s="8" t="s">
        <v>1959</v>
      </c>
    </row>
    <row r="273" spans="1:26" ht="19.95" customHeight="1" x14ac:dyDescent="0.3">
      <c r="A273" s="8" t="s">
        <v>2405</v>
      </c>
      <c r="B273" s="8" t="s">
        <v>9</v>
      </c>
      <c r="C273" s="10">
        <v>264528</v>
      </c>
      <c r="D273" s="8" t="s">
        <v>177</v>
      </c>
      <c r="E273" s="8" t="s">
        <v>1986</v>
      </c>
      <c r="F273" s="8" t="s">
        <v>1966</v>
      </c>
      <c r="G273" s="8" t="s">
        <v>9</v>
      </c>
      <c r="H273" s="8" t="s">
        <v>352</v>
      </c>
      <c r="I273" s="8" t="s">
        <v>1729</v>
      </c>
      <c r="J273" s="8" t="s">
        <v>2400</v>
      </c>
      <c r="K273" s="8" t="s">
        <v>384</v>
      </c>
      <c r="L273" s="8" t="s">
        <v>876</v>
      </c>
      <c r="M273" s="10">
        <v>0</v>
      </c>
      <c r="N273" s="8" t="s">
        <v>619</v>
      </c>
      <c r="O273" s="8" t="s">
        <v>9</v>
      </c>
      <c r="P273" s="8" t="s">
        <v>1955</v>
      </c>
      <c r="Q273" s="8" t="s">
        <v>1956</v>
      </c>
      <c r="R273" s="8" t="s">
        <v>1956</v>
      </c>
      <c r="S273" s="8" t="s">
        <v>356</v>
      </c>
      <c r="T273" s="8" t="s">
        <v>1172</v>
      </c>
      <c r="U273" s="8" t="s">
        <v>1968</v>
      </c>
      <c r="V273" s="8" t="s">
        <v>1172</v>
      </c>
      <c r="W273" s="8" t="s">
        <v>1969</v>
      </c>
      <c r="X273" s="8" t="s">
        <v>1866</v>
      </c>
      <c r="Y273" s="8" t="s">
        <v>112</v>
      </c>
      <c r="Z273" s="8" t="s">
        <v>1959</v>
      </c>
    </row>
    <row r="274" spans="1:26" ht="36" x14ac:dyDescent="0.3">
      <c r="A274" s="8" t="s">
        <v>2406</v>
      </c>
      <c r="B274" s="8" t="s">
        <v>9</v>
      </c>
      <c r="C274" s="10">
        <v>264528</v>
      </c>
      <c r="D274" s="8" t="s">
        <v>177</v>
      </c>
      <c r="E274" s="8" t="s">
        <v>1986</v>
      </c>
      <c r="F274" s="8" t="s">
        <v>1966</v>
      </c>
      <c r="G274" s="8" t="s">
        <v>9</v>
      </c>
      <c r="H274" s="8" t="s">
        <v>352</v>
      </c>
      <c r="I274" s="8" t="s">
        <v>1729</v>
      </c>
      <c r="J274" s="8" t="s">
        <v>2400</v>
      </c>
      <c r="K274" s="8" t="s">
        <v>384</v>
      </c>
      <c r="L274" s="8" t="s">
        <v>878</v>
      </c>
      <c r="M274" s="10">
        <v>0</v>
      </c>
      <c r="N274" s="8" t="s">
        <v>621</v>
      </c>
      <c r="O274" s="8" t="s">
        <v>9</v>
      </c>
      <c r="P274" s="8" t="s">
        <v>1955</v>
      </c>
      <c r="Q274" s="8" t="s">
        <v>1956</v>
      </c>
      <c r="R274" s="8" t="s">
        <v>1956</v>
      </c>
      <c r="S274" s="8" t="s">
        <v>356</v>
      </c>
      <c r="T274" s="8" t="s">
        <v>1172</v>
      </c>
      <c r="U274" s="8" t="s">
        <v>1968</v>
      </c>
      <c r="V274" s="8" t="s">
        <v>1172</v>
      </c>
      <c r="W274" s="8" t="s">
        <v>1969</v>
      </c>
      <c r="X274" s="8" t="s">
        <v>1866</v>
      </c>
      <c r="Y274" s="8" t="s">
        <v>112</v>
      </c>
      <c r="Z274" s="8" t="s">
        <v>1959</v>
      </c>
    </row>
    <row r="275" spans="1:26" ht="24" x14ac:dyDescent="0.3">
      <c r="A275" s="8" t="s">
        <v>2407</v>
      </c>
      <c r="B275" s="8" t="s">
        <v>9</v>
      </c>
      <c r="C275" s="10">
        <v>264528</v>
      </c>
      <c r="D275" s="8" t="s">
        <v>177</v>
      </c>
      <c r="E275" s="8" t="s">
        <v>1986</v>
      </c>
      <c r="F275" s="8" t="s">
        <v>1966</v>
      </c>
      <c r="G275" s="8" t="s">
        <v>9</v>
      </c>
      <c r="H275" s="8" t="s">
        <v>352</v>
      </c>
      <c r="I275" s="8" t="s">
        <v>1729</v>
      </c>
      <c r="J275" s="8" t="s">
        <v>2400</v>
      </c>
      <c r="K275" s="8" t="s">
        <v>384</v>
      </c>
      <c r="L275" s="8" t="s">
        <v>880</v>
      </c>
      <c r="M275" s="10">
        <v>0</v>
      </c>
      <c r="N275" s="8" t="s">
        <v>625</v>
      </c>
      <c r="O275" s="8" t="s">
        <v>9</v>
      </c>
      <c r="P275" s="8" t="s">
        <v>1955</v>
      </c>
      <c r="Q275" s="8" t="s">
        <v>1956</v>
      </c>
      <c r="R275" s="8" t="s">
        <v>1956</v>
      </c>
      <c r="S275" s="8" t="s">
        <v>356</v>
      </c>
      <c r="T275" s="8" t="s">
        <v>1172</v>
      </c>
      <c r="U275" s="8" t="s">
        <v>1968</v>
      </c>
      <c r="V275" s="8" t="s">
        <v>1172</v>
      </c>
      <c r="W275" s="8" t="s">
        <v>1969</v>
      </c>
      <c r="X275" s="8" t="s">
        <v>1866</v>
      </c>
      <c r="Y275" s="8" t="s">
        <v>112</v>
      </c>
      <c r="Z275" s="8" t="s">
        <v>1959</v>
      </c>
    </row>
    <row r="276" spans="1:26" ht="48" x14ac:dyDescent="0.3">
      <c r="A276" s="8" t="s">
        <v>2408</v>
      </c>
      <c r="B276" s="8" t="s">
        <v>9</v>
      </c>
      <c r="C276" s="10">
        <v>264528</v>
      </c>
      <c r="D276" s="8" t="s">
        <v>177</v>
      </c>
      <c r="E276" s="8" t="s">
        <v>1986</v>
      </c>
      <c r="F276" s="8" t="s">
        <v>1966</v>
      </c>
      <c r="G276" s="8" t="s">
        <v>9</v>
      </c>
      <c r="H276" s="8" t="s">
        <v>352</v>
      </c>
      <c r="I276" s="8" t="s">
        <v>1973</v>
      </c>
      <c r="J276" s="8" t="s">
        <v>2400</v>
      </c>
      <c r="K276" s="8" t="s">
        <v>384</v>
      </c>
      <c r="L276" s="8" t="s">
        <v>866</v>
      </c>
      <c r="M276" s="10">
        <v>0</v>
      </c>
      <c r="N276" s="8" t="s">
        <v>882</v>
      </c>
      <c r="O276" s="8" t="s">
        <v>9</v>
      </c>
      <c r="P276" s="8" t="s">
        <v>1955</v>
      </c>
      <c r="Q276" s="8" t="s">
        <v>1956</v>
      </c>
      <c r="R276" s="8" t="s">
        <v>1956</v>
      </c>
      <c r="S276" s="8" t="s">
        <v>356</v>
      </c>
      <c r="T276" s="8" t="s">
        <v>1172</v>
      </c>
      <c r="U276" s="8" t="s">
        <v>1968</v>
      </c>
      <c r="V276" s="8" t="s">
        <v>1172</v>
      </c>
      <c r="W276" s="8" t="s">
        <v>1969</v>
      </c>
      <c r="X276" s="8" t="s">
        <v>1866</v>
      </c>
      <c r="Y276" s="8" t="s">
        <v>112</v>
      </c>
      <c r="Z276" s="8" t="s">
        <v>1959</v>
      </c>
    </row>
    <row r="277" spans="1:26" ht="19.95" customHeight="1" x14ac:dyDescent="0.3">
      <c r="A277" s="8" t="s">
        <v>2409</v>
      </c>
      <c r="B277" s="8" t="s">
        <v>9</v>
      </c>
      <c r="C277" s="10">
        <v>264528</v>
      </c>
      <c r="D277" s="8" t="s">
        <v>177</v>
      </c>
      <c r="E277" s="8" t="s">
        <v>1986</v>
      </c>
      <c r="F277" s="8" t="s">
        <v>1966</v>
      </c>
      <c r="G277" s="8" t="s">
        <v>9</v>
      </c>
      <c r="H277" s="8" t="s">
        <v>352</v>
      </c>
      <c r="I277" s="8" t="s">
        <v>1973</v>
      </c>
      <c r="J277" s="8" t="s">
        <v>2400</v>
      </c>
      <c r="K277" s="8" t="s">
        <v>384</v>
      </c>
      <c r="L277" s="8" t="s">
        <v>868</v>
      </c>
      <c r="M277" s="10">
        <v>0</v>
      </c>
      <c r="N277" s="8" t="s">
        <v>355</v>
      </c>
      <c r="O277" s="8" t="s">
        <v>9</v>
      </c>
      <c r="P277" s="8" t="s">
        <v>1955</v>
      </c>
      <c r="Q277" s="8" t="s">
        <v>1956</v>
      </c>
      <c r="R277" s="8" t="s">
        <v>1956</v>
      </c>
      <c r="S277" s="8" t="s">
        <v>356</v>
      </c>
      <c r="T277" s="8" t="s">
        <v>1172</v>
      </c>
      <c r="U277" s="8" t="s">
        <v>1968</v>
      </c>
      <c r="V277" s="8" t="s">
        <v>1172</v>
      </c>
      <c r="W277" s="8" t="s">
        <v>1969</v>
      </c>
      <c r="X277" s="8" t="s">
        <v>1866</v>
      </c>
      <c r="Y277" s="8" t="s">
        <v>112</v>
      </c>
      <c r="Z277" s="8" t="s">
        <v>1959</v>
      </c>
    </row>
    <row r="278" spans="1:26" ht="36" x14ac:dyDescent="0.3">
      <c r="A278" s="8" t="s">
        <v>2410</v>
      </c>
      <c r="B278" s="8" t="s">
        <v>9</v>
      </c>
      <c r="C278" s="10">
        <v>264528</v>
      </c>
      <c r="D278" s="8" t="s">
        <v>177</v>
      </c>
      <c r="E278" s="8" t="s">
        <v>1986</v>
      </c>
      <c r="F278" s="8" t="s">
        <v>1966</v>
      </c>
      <c r="G278" s="8" t="s">
        <v>9</v>
      </c>
      <c r="H278" s="8" t="s">
        <v>352</v>
      </c>
      <c r="I278" s="8" t="s">
        <v>1973</v>
      </c>
      <c r="J278" s="8" t="s">
        <v>2400</v>
      </c>
      <c r="K278" s="8" t="s">
        <v>384</v>
      </c>
      <c r="L278" s="8" t="s">
        <v>870</v>
      </c>
      <c r="M278" s="10">
        <v>0</v>
      </c>
      <c r="N278" s="8" t="s">
        <v>355</v>
      </c>
      <c r="O278" s="8" t="s">
        <v>9</v>
      </c>
      <c r="P278" s="8" t="s">
        <v>1955</v>
      </c>
      <c r="Q278" s="8" t="s">
        <v>1956</v>
      </c>
      <c r="R278" s="8" t="s">
        <v>1956</v>
      </c>
      <c r="S278" s="8" t="s">
        <v>356</v>
      </c>
      <c r="T278" s="8" t="s">
        <v>1172</v>
      </c>
      <c r="U278" s="8" t="s">
        <v>1968</v>
      </c>
      <c r="V278" s="8" t="s">
        <v>1172</v>
      </c>
      <c r="W278" s="8" t="s">
        <v>1969</v>
      </c>
      <c r="X278" s="8" t="s">
        <v>1866</v>
      </c>
      <c r="Y278" s="8" t="s">
        <v>112</v>
      </c>
      <c r="Z278" s="8" t="s">
        <v>1959</v>
      </c>
    </row>
    <row r="279" spans="1:26" ht="19.95" customHeight="1" x14ac:dyDescent="0.3">
      <c r="A279" s="8" t="s">
        <v>2411</v>
      </c>
      <c r="B279" s="8" t="s">
        <v>9</v>
      </c>
      <c r="C279" s="10">
        <v>264528</v>
      </c>
      <c r="D279" s="8" t="s">
        <v>177</v>
      </c>
      <c r="E279" s="8" t="s">
        <v>1986</v>
      </c>
      <c r="F279" s="8" t="s">
        <v>1966</v>
      </c>
      <c r="G279" s="8" t="s">
        <v>9</v>
      </c>
      <c r="H279" s="8" t="s">
        <v>352</v>
      </c>
      <c r="I279" s="8" t="s">
        <v>1973</v>
      </c>
      <c r="J279" s="8" t="s">
        <v>2400</v>
      </c>
      <c r="K279" s="8" t="s">
        <v>384</v>
      </c>
      <c r="L279" s="8" t="s">
        <v>872</v>
      </c>
      <c r="M279" s="10">
        <v>0</v>
      </c>
      <c r="N279" s="8" t="s">
        <v>355</v>
      </c>
      <c r="O279" s="8" t="s">
        <v>9</v>
      </c>
      <c r="P279" s="8" t="s">
        <v>1955</v>
      </c>
      <c r="Q279" s="8" t="s">
        <v>1956</v>
      </c>
      <c r="R279" s="8" t="s">
        <v>1956</v>
      </c>
      <c r="S279" s="8" t="s">
        <v>356</v>
      </c>
      <c r="T279" s="8" t="s">
        <v>1172</v>
      </c>
      <c r="U279" s="8" t="s">
        <v>1968</v>
      </c>
      <c r="V279" s="8" t="s">
        <v>1172</v>
      </c>
      <c r="W279" s="8" t="s">
        <v>1969</v>
      </c>
      <c r="X279" s="8" t="s">
        <v>1866</v>
      </c>
      <c r="Y279" s="8" t="s">
        <v>112</v>
      </c>
      <c r="Z279" s="8" t="s">
        <v>1959</v>
      </c>
    </row>
    <row r="280" spans="1:26" ht="19.95" customHeight="1" x14ac:dyDescent="0.3">
      <c r="A280" s="8" t="s">
        <v>2412</v>
      </c>
      <c r="B280" s="8" t="s">
        <v>9</v>
      </c>
      <c r="C280" s="10">
        <v>264528</v>
      </c>
      <c r="D280" s="8" t="s">
        <v>177</v>
      </c>
      <c r="E280" s="8" t="s">
        <v>1986</v>
      </c>
      <c r="F280" s="8" t="s">
        <v>1966</v>
      </c>
      <c r="G280" s="8" t="s">
        <v>9</v>
      </c>
      <c r="H280" s="8" t="s">
        <v>352</v>
      </c>
      <c r="I280" s="8" t="s">
        <v>1973</v>
      </c>
      <c r="J280" s="8" t="s">
        <v>2400</v>
      </c>
      <c r="K280" s="8" t="s">
        <v>384</v>
      </c>
      <c r="L280" s="8" t="s">
        <v>874</v>
      </c>
      <c r="M280" s="10">
        <v>0</v>
      </c>
      <c r="N280" s="8" t="s">
        <v>355</v>
      </c>
      <c r="O280" s="8" t="s">
        <v>9</v>
      </c>
      <c r="P280" s="8" t="s">
        <v>1955</v>
      </c>
      <c r="Q280" s="8" t="s">
        <v>1956</v>
      </c>
      <c r="R280" s="8" t="s">
        <v>1956</v>
      </c>
      <c r="S280" s="8" t="s">
        <v>356</v>
      </c>
      <c r="T280" s="8" t="s">
        <v>1172</v>
      </c>
      <c r="U280" s="8" t="s">
        <v>1968</v>
      </c>
      <c r="V280" s="8" t="s">
        <v>1172</v>
      </c>
      <c r="W280" s="8" t="s">
        <v>1969</v>
      </c>
      <c r="X280" s="8" t="s">
        <v>1866</v>
      </c>
      <c r="Y280" s="8" t="s">
        <v>112</v>
      </c>
      <c r="Z280" s="8" t="s">
        <v>1959</v>
      </c>
    </row>
    <row r="281" spans="1:26" ht="19.95" customHeight="1" x14ac:dyDescent="0.3">
      <c r="A281" s="8" t="s">
        <v>2413</v>
      </c>
      <c r="B281" s="8" t="s">
        <v>9</v>
      </c>
      <c r="C281" s="10">
        <v>264528</v>
      </c>
      <c r="D281" s="8" t="s">
        <v>177</v>
      </c>
      <c r="E281" s="8" t="s">
        <v>1986</v>
      </c>
      <c r="F281" s="8" t="s">
        <v>1966</v>
      </c>
      <c r="G281" s="8" t="s">
        <v>9</v>
      </c>
      <c r="H281" s="8" t="s">
        <v>352</v>
      </c>
      <c r="I281" s="8" t="s">
        <v>1973</v>
      </c>
      <c r="J281" s="8" t="s">
        <v>2400</v>
      </c>
      <c r="K281" s="8" t="s">
        <v>384</v>
      </c>
      <c r="L281" s="8" t="s">
        <v>876</v>
      </c>
      <c r="M281" s="10">
        <v>0</v>
      </c>
      <c r="N281" s="8" t="s">
        <v>355</v>
      </c>
      <c r="O281" s="8" t="s">
        <v>9</v>
      </c>
      <c r="P281" s="8" t="s">
        <v>1955</v>
      </c>
      <c r="Q281" s="8" t="s">
        <v>1956</v>
      </c>
      <c r="R281" s="8" t="s">
        <v>1956</v>
      </c>
      <c r="S281" s="8" t="s">
        <v>356</v>
      </c>
      <c r="T281" s="8" t="s">
        <v>1172</v>
      </c>
      <c r="U281" s="8" t="s">
        <v>1968</v>
      </c>
      <c r="V281" s="8" t="s">
        <v>1172</v>
      </c>
      <c r="W281" s="8" t="s">
        <v>1969</v>
      </c>
      <c r="X281" s="8" t="s">
        <v>1866</v>
      </c>
      <c r="Y281" s="8" t="s">
        <v>112</v>
      </c>
      <c r="Z281" s="8" t="s">
        <v>1959</v>
      </c>
    </row>
    <row r="282" spans="1:26" ht="36" x14ac:dyDescent="0.3">
      <c r="A282" s="8" t="s">
        <v>2414</v>
      </c>
      <c r="B282" s="8" t="s">
        <v>9</v>
      </c>
      <c r="C282" s="10">
        <v>264528</v>
      </c>
      <c r="D282" s="8" t="s">
        <v>177</v>
      </c>
      <c r="E282" s="8" t="s">
        <v>1986</v>
      </c>
      <c r="F282" s="8" t="s">
        <v>1966</v>
      </c>
      <c r="G282" s="8" t="s">
        <v>9</v>
      </c>
      <c r="H282" s="8" t="s">
        <v>352</v>
      </c>
      <c r="I282" s="8" t="s">
        <v>1973</v>
      </c>
      <c r="J282" s="8" t="s">
        <v>2400</v>
      </c>
      <c r="K282" s="8" t="s">
        <v>384</v>
      </c>
      <c r="L282" s="8" t="s">
        <v>878</v>
      </c>
      <c r="M282" s="10">
        <v>0</v>
      </c>
      <c r="N282" s="8" t="s">
        <v>355</v>
      </c>
      <c r="O282" s="8" t="s">
        <v>9</v>
      </c>
      <c r="P282" s="8" t="s">
        <v>1955</v>
      </c>
      <c r="Q282" s="8" t="s">
        <v>1956</v>
      </c>
      <c r="R282" s="8" t="s">
        <v>1956</v>
      </c>
      <c r="S282" s="8" t="s">
        <v>356</v>
      </c>
      <c r="T282" s="8" t="s">
        <v>1172</v>
      </c>
      <c r="U282" s="8" t="s">
        <v>1968</v>
      </c>
      <c r="V282" s="8" t="s">
        <v>1172</v>
      </c>
      <c r="W282" s="8" t="s">
        <v>1969</v>
      </c>
      <c r="X282" s="8" t="s">
        <v>1866</v>
      </c>
      <c r="Y282" s="8" t="s">
        <v>112</v>
      </c>
      <c r="Z282" s="8" t="s">
        <v>1959</v>
      </c>
    </row>
    <row r="283" spans="1:26" ht="24" x14ac:dyDescent="0.3">
      <c r="A283" s="8" t="s">
        <v>2415</v>
      </c>
      <c r="B283" s="8" t="s">
        <v>9</v>
      </c>
      <c r="C283" s="10">
        <v>264528</v>
      </c>
      <c r="D283" s="8" t="s">
        <v>177</v>
      </c>
      <c r="E283" s="8" t="s">
        <v>1986</v>
      </c>
      <c r="F283" s="8" t="s">
        <v>1966</v>
      </c>
      <c r="G283" s="8" t="s">
        <v>9</v>
      </c>
      <c r="H283" s="8" t="s">
        <v>352</v>
      </c>
      <c r="I283" s="8" t="s">
        <v>1973</v>
      </c>
      <c r="J283" s="8" t="s">
        <v>2400</v>
      </c>
      <c r="K283" s="8" t="s">
        <v>384</v>
      </c>
      <c r="L283" s="8" t="s">
        <v>880</v>
      </c>
      <c r="M283" s="10">
        <v>0</v>
      </c>
      <c r="N283" s="8" t="s">
        <v>355</v>
      </c>
      <c r="O283" s="8" t="s">
        <v>9</v>
      </c>
      <c r="P283" s="8" t="s">
        <v>1955</v>
      </c>
      <c r="Q283" s="8" t="s">
        <v>1956</v>
      </c>
      <c r="R283" s="8" t="s">
        <v>1956</v>
      </c>
      <c r="S283" s="8" t="s">
        <v>356</v>
      </c>
      <c r="T283" s="8" t="s">
        <v>1172</v>
      </c>
      <c r="U283" s="8" t="s">
        <v>1968</v>
      </c>
      <c r="V283" s="8" t="s">
        <v>1172</v>
      </c>
      <c r="W283" s="8" t="s">
        <v>1969</v>
      </c>
      <c r="X283" s="8" t="s">
        <v>1866</v>
      </c>
      <c r="Y283" s="8" t="s">
        <v>112</v>
      </c>
      <c r="Z283" s="8" t="s">
        <v>1959</v>
      </c>
    </row>
    <row r="284" spans="1:26" ht="36" x14ac:dyDescent="0.3">
      <c r="A284" s="8" t="s">
        <v>2416</v>
      </c>
      <c r="B284" s="8" t="s">
        <v>9</v>
      </c>
      <c r="C284" s="10">
        <v>235000</v>
      </c>
      <c r="D284" s="8" t="s">
        <v>503</v>
      </c>
      <c r="E284" s="8" t="s">
        <v>1951</v>
      </c>
      <c r="F284" s="8" t="s">
        <v>1952</v>
      </c>
      <c r="G284" s="8" t="s">
        <v>9</v>
      </c>
      <c r="H284" s="8" t="s">
        <v>352</v>
      </c>
      <c r="I284" s="8" t="s">
        <v>1729</v>
      </c>
      <c r="J284" s="8" t="s">
        <v>2417</v>
      </c>
      <c r="K284" s="8" t="s">
        <v>384</v>
      </c>
      <c r="L284" s="8" t="s">
        <v>2418</v>
      </c>
      <c r="M284" s="10">
        <v>0</v>
      </c>
      <c r="N284" s="8" t="s">
        <v>355</v>
      </c>
      <c r="O284" s="8" t="s">
        <v>9</v>
      </c>
      <c r="P284" s="8" t="s">
        <v>1955</v>
      </c>
      <c r="Q284" s="8" t="s">
        <v>1956</v>
      </c>
      <c r="R284" s="8" t="s">
        <v>1956</v>
      </c>
      <c r="S284" s="8" t="s">
        <v>356</v>
      </c>
      <c r="T284" s="8" t="s">
        <v>1172</v>
      </c>
      <c r="U284" s="8" t="s">
        <v>1957</v>
      </c>
      <c r="V284" s="8" t="s">
        <v>283</v>
      </c>
      <c r="W284" s="8" t="s">
        <v>1958</v>
      </c>
      <c r="X284" s="8" t="s">
        <v>355</v>
      </c>
      <c r="Y284" s="8" t="s">
        <v>112</v>
      </c>
      <c r="Z284" s="8" t="s">
        <v>1959</v>
      </c>
    </row>
    <row r="285" spans="1:26" ht="48" x14ac:dyDescent="0.3">
      <c r="A285" s="8" t="s">
        <v>2419</v>
      </c>
      <c r="B285" s="8" t="s">
        <v>9</v>
      </c>
      <c r="C285" s="10">
        <v>235000</v>
      </c>
      <c r="D285" s="8" t="s">
        <v>503</v>
      </c>
      <c r="E285" s="8" t="s">
        <v>1951</v>
      </c>
      <c r="F285" s="8" t="s">
        <v>1952</v>
      </c>
      <c r="G285" s="8" t="s">
        <v>9</v>
      </c>
      <c r="H285" s="8" t="s">
        <v>352</v>
      </c>
      <c r="I285" s="8" t="s">
        <v>1729</v>
      </c>
      <c r="J285" s="8" t="s">
        <v>2417</v>
      </c>
      <c r="K285" s="8" t="s">
        <v>384</v>
      </c>
      <c r="L285" s="8" t="s">
        <v>2420</v>
      </c>
      <c r="M285" s="10">
        <v>0</v>
      </c>
      <c r="N285" s="8" t="s">
        <v>355</v>
      </c>
      <c r="O285" s="8" t="s">
        <v>9</v>
      </c>
      <c r="P285" s="8" t="s">
        <v>1955</v>
      </c>
      <c r="Q285" s="8" t="s">
        <v>1956</v>
      </c>
      <c r="R285" s="8" t="s">
        <v>1956</v>
      </c>
      <c r="S285" s="8" t="s">
        <v>356</v>
      </c>
      <c r="T285" s="8" t="s">
        <v>1172</v>
      </c>
      <c r="U285" s="8" t="s">
        <v>1957</v>
      </c>
      <c r="V285" s="8" t="s">
        <v>283</v>
      </c>
      <c r="W285" s="8" t="s">
        <v>1958</v>
      </c>
      <c r="X285" s="8" t="s">
        <v>355</v>
      </c>
      <c r="Y285" s="8" t="s">
        <v>112</v>
      </c>
      <c r="Z285" s="8" t="s">
        <v>1959</v>
      </c>
    </row>
    <row r="286" spans="1:26" ht="36" x14ac:dyDescent="0.3">
      <c r="A286" s="8" t="s">
        <v>2421</v>
      </c>
      <c r="B286" s="8" t="s">
        <v>9</v>
      </c>
      <c r="C286" s="10">
        <v>235000</v>
      </c>
      <c r="D286" s="8" t="s">
        <v>503</v>
      </c>
      <c r="E286" s="8" t="s">
        <v>1951</v>
      </c>
      <c r="F286" s="8" t="s">
        <v>1952</v>
      </c>
      <c r="G286" s="8" t="s">
        <v>9</v>
      </c>
      <c r="H286" s="8" t="s">
        <v>352</v>
      </c>
      <c r="I286" s="8" t="s">
        <v>1973</v>
      </c>
      <c r="J286" s="8" t="s">
        <v>2422</v>
      </c>
      <c r="K286" s="8" t="s">
        <v>384</v>
      </c>
      <c r="L286" s="8" t="s">
        <v>2418</v>
      </c>
      <c r="M286" s="10">
        <v>0</v>
      </c>
      <c r="N286" s="8" t="s">
        <v>590</v>
      </c>
      <c r="O286" s="8" t="s">
        <v>9</v>
      </c>
      <c r="P286" s="8" t="s">
        <v>1955</v>
      </c>
      <c r="Q286" s="8" t="s">
        <v>1956</v>
      </c>
      <c r="R286" s="8" t="s">
        <v>1956</v>
      </c>
      <c r="S286" s="8" t="s">
        <v>356</v>
      </c>
      <c r="T286" s="8" t="s">
        <v>1172</v>
      </c>
      <c r="U286" s="8" t="s">
        <v>1957</v>
      </c>
      <c r="V286" s="8" t="s">
        <v>283</v>
      </c>
      <c r="W286" s="8" t="s">
        <v>1958</v>
      </c>
      <c r="X286" s="8" t="s">
        <v>355</v>
      </c>
      <c r="Y286" s="8" t="s">
        <v>112</v>
      </c>
      <c r="Z286" s="8" t="s">
        <v>1959</v>
      </c>
    </row>
    <row r="287" spans="1:26" ht="48" x14ac:dyDescent="0.3">
      <c r="A287" s="8" t="s">
        <v>2423</v>
      </c>
      <c r="B287" s="8" t="s">
        <v>9</v>
      </c>
      <c r="C287" s="10">
        <v>235000</v>
      </c>
      <c r="D287" s="8" t="s">
        <v>503</v>
      </c>
      <c r="E287" s="8" t="s">
        <v>1951</v>
      </c>
      <c r="F287" s="8" t="s">
        <v>1952</v>
      </c>
      <c r="G287" s="8" t="s">
        <v>9</v>
      </c>
      <c r="H287" s="8" t="s">
        <v>352</v>
      </c>
      <c r="I287" s="8" t="s">
        <v>1973</v>
      </c>
      <c r="J287" s="8" t="s">
        <v>2422</v>
      </c>
      <c r="K287" s="8" t="s">
        <v>384</v>
      </c>
      <c r="L287" s="8" t="s">
        <v>2420</v>
      </c>
      <c r="M287" s="10">
        <v>0</v>
      </c>
      <c r="N287" s="8" t="s">
        <v>603</v>
      </c>
      <c r="O287" s="8" t="s">
        <v>9</v>
      </c>
      <c r="P287" s="8" t="s">
        <v>1955</v>
      </c>
      <c r="Q287" s="8" t="s">
        <v>1956</v>
      </c>
      <c r="R287" s="8" t="s">
        <v>1956</v>
      </c>
      <c r="S287" s="8" t="s">
        <v>356</v>
      </c>
      <c r="T287" s="8" t="s">
        <v>1172</v>
      </c>
      <c r="U287" s="8" t="s">
        <v>1957</v>
      </c>
      <c r="V287" s="8" t="s">
        <v>283</v>
      </c>
      <c r="W287" s="8" t="s">
        <v>1958</v>
      </c>
      <c r="X287" s="8" t="s">
        <v>355</v>
      </c>
      <c r="Y287" s="8" t="s">
        <v>112</v>
      </c>
      <c r="Z287" s="8" t="s">
        <v>1959</v>
      </c>
    </row>
    <row r="288" spans="1:26" ht="24" x14ac:dyDescent="0.3">
      <c r="A288" s="8" t="s">
        <v>2424</v>
      </c>
      <c r="B288" s="8" t="s">
        <v>9</v>
      </c>
      <c r="C288" s="10">
        <v>296408</v>
      </c>
      <c r="D288" s="8" t="s">
        <v>505</v>
      </c>
      <c r="E288" s="8" t="s">
        <v>1986</v>
      </c>
      <c r="F288" s="8" t="s">
        <v>1952</v>
      </c>
      <c r="G288" s="8" t="s">
        <v>9</v>
      </c>
      <c r="H288" s="8" t="s">
        <v>352</v>
      </c>
      <c r="I288" s="8" t="s">
        <v>1729</v>
      </c>
      <c r="J288" s="8" t="s">
        <v>2105</v>
      </c>
      <c r="K288" s="8" t="s">
        <v>384</v>
      </c>
      <c r="L288" s="8" t="s">
        <v>714</v>
      </c>
      <c r="M288" s="10">
        <v>0</v>
      </c>
      <c r="N288" s="8" t="s">
        <v>606</v>
      </c>
      <c r="O288" s="8" t="s">
        <v>9</v>
      </c>
      <c r="P288" s="8" t="s">
        <v>1955</v>
      </c>
      <c r="Q288" s="8" t="s">
        <v>1172</v>
      </c>
      <c r="R288" s="8" t="s">
        <v>1956</v>
      </c>
      <c r="S288" s="8" t="s">
        <v>356</v>
      </c>
      <c r="T288" s="8" t="s">
        <v>1172</v>
      </c>
      <c r="U288" s="8" t="s">
        <v>1957</v>
      </c>
      <c r="V288" s="8" t="s">
        <v>283</v>
      </c>
      <c r="W288" s="8" t="s">
        <v>1958</v>
      </c>
      <c r="X288" s="8" t="s">
        <v>355</v>
      </c>
      <c r="Y288" s="8" t="s">
        <v>112</v>
      </c>
      <c r="Z288" s="8" t="s">
        <v>2109</v>
      </c>
    </row>
    <row r="289" spans="1:26" ht="90" customHeight="1" x14ac:dyDescent="0.3">
      <c r="A289" s="8" t="s">
        <v>2425</v>
      </c>
      <c r="B289" s="8" t="s">
        <v>9</v>
      </c>
      <c r="C289" s="10">
        <v>296408</v>
      </c>
      <c r="D289" s="8" t="s">
        <v>505</v>
      </c>
      <c r="E289" s="8" t="s">
        <v>1986</v>
      </c>
      <c r="F289" s="8" t="s">
        <v>1952</v>
      </c>
      <c r="G289" s="8" t="s">
        <v>9</v>
      </c>
      <c r="H289" s="8" t="s">
        <v>352</v>
      </c>
      <c r="I289" s="8" t="s">
        <v>1729</v>
      </c>
      <c r="J289" s="8" t="s">
        <v>2105</v>
      </c>
      <c r="K289" s="8" t="s">
        <v>384</v>
      </c>
      <c r="L289" s="8" t="s">
        <v>2426</v>
      </c>
      <c r="M289" s="10">
        <v>0</v>
      </c>
      <c r="N289" s="8" t="s">
        <v>606</v>
      </c>
      <c r="O289" s="8" t="s">
        <v>9</v>
      </c>
      <c r="P289" s="8" t="s">
        <v>1955</v>
      </c>
      <c r="Q289" s="8" t="s">
        <v>1172</v>
      </c>
      <c r="R289" s="8" t="s">
        <v>1956</v>
      </c>
      <c r="S289" s="8" t="s">
        <v>356</v>
      </c>
      <c r="T289" s="8" t="s">
        <v>1172</v>
      </c>
      <c r="U289" s="8" t="s">
        <v>1957</v>
      </c>
      <c r="V289" s="8" t="s">
        <v>283</v>
      </c>
      <c r="W289" s="8" t="s">
        <v>1958</v>
      </c>
      <c r="X289" s="8" t="s">
        <v>355</v>
      </c>
      <c r="Y289" s="8" t="s">
        <v>112</v>
      </c>
      <c r="Z289" s="8" t="s">
        <v>2109</v>
      </c>
    </row>
    <row r="290" spans="1:26" ht="24" x14ac:dyDescent="0.3">
      <c r="A290" s="8" t="s">
        <v>2427</v>
      </c>
      <c r="B290" s="8" t="s">
        <v>9</v>
      </c>
      <c r="C290" s="10">
        <v>296408</v>
      </c>
      <c r="D290" s="8" t="s">
        <v>505</v>
      </c>
      <c r="E290" s="8" t="s">
        <v>1986</v>
      </c>
      <c r="F290" s="8" t="s">
        <v>1952</v>
      </c>
      <c r="G290" s="8" t="s">
        <v>9</v>
      </c>
      <c r="H290" s="8" t="s">
        <v>352</v>
      </c>
      <c r="I290" s="8" t="s">
        <v>1973</v>
      </c>
      <c r="J290" s="8" t="s">
        <v>2105</v>
      </c>
      <c r="K290" s="8" t="s">
        <v>384</v>
      </c>
      <c r="L290" s="8" t="s">
        <v>714</v>
      </c>
      <c r="M290" s="10">
        <v>0</v>
      </c>
      <c r="N290" s="8" t="s">
        <v>673</v>
      </c>
      <c r="O290" s="8" t="s">
        <v>9</v>
      </c>
      <c r="P290" s="8" t="s">
        <v>1955</v>
      </c>
      <c r="Q290" s="8" t="s">
        <v>1172</v>
      </c>
      <c r="R290" s="8" t="s">
        <v>1956</v>
      </c>
      <c r="S290" s="8" t="s">
        <v>356</v>
      </c>
      <c r="T290" s="8" t="s">
        <v>1172</v>
      </c>
      <c r="U290" s="8" t="s">
        <v>1957</v>
      </c>
      <c r="V290" s="8" t="s">
        <v>283</v>
      </c>
      <c r="W290" s="8" t="s">
        <v>1958</v>
      </c>
      <c r="X290" s="8" t="s">
        <v>355</v>
      </c>
      <c r="Y290" s="8" t="s">
        <v>112</v>
      </c>
      <c r="Z290" s="8" t="s">
        <v>2109</v>
      </c>
    </row>
    <row r="291" spans="1:26" ht="90" customHeight="1" x14ac:dyDescent="0.3">
      <c r="A291" s="8" t="s">
        <v>2428</v>
      </c>
      <c r="B291" s="8" t="s">
        <v>9</v>
      </c>
      <c r="C291" s="10">
        <v>296408</v>
      </c>
      <c r="D291" s="8" t="s">
        <v>505</v>
      </c>
      <c r="E291" s="8" t="s">
        <v>1986</v>
      </c>
      <c r="F291" s="8" t="s">
        <v>1952</v>
      </c>
      <c r="G291" s="8" t="s">
        <v>9</v>
      </c>
      <c r="H291" s="8" t="s">
        <v>352</v>
      </c>
      <c r="I291" s="8" t="s">
        <v>1973</v>
      </c>
      <c r="J291" s="8" t="s">
        <v>2105</v>
      </c>
      <c r="K291" s="8" t="s">
        <v>384</v>
      </c>
      <c r="L291" s="8" t="s">
        <v>2426</v>
      </c>
      <c r="M291" s="10">
        <v>0</v>
      </c>
      <c r="N291" s="8" t="s">
        <v>2119</v>
      </c>
      <c r="O291" s="8" t="s">
        <v>9</v>
      </c>
      <c r="P291" s="8" t="s">
        <v>1955</v>
      </c>
      <c r="Q291" s="8" t="s">
        <v>1172</v>
      </c>
      <c r="R291" s="8" t="s">
        <v>1956</v>
      </c>
      <c r="S291" s="8" t="s">
        <v>356</v>
      </c>
      <c r="T291" s="8" t="s">
        <v>1172</v>
      </c>
      <c r="U291" s="8" t="s">
        <v>1957</v>
      </c>
      <c r="V291" s="8" t="s">
        <v>283</v>
      </c>
      <c r="W291" s="8" t="s">
        <v>1958</v>
      </c>
      <c r="X291" s="8" t="s">
        <v>355</v>
      </c>
      <c r="Y291" s="8" t="s">
        <v>112</v>
      </c>
      <c r="Z291" s="8" t="s">
        <v>2109</v>
      </c>
    </row>
    <row r="292" spans="1:26" ht="48" x14ac:dyDescent="0.3">
      <c r="A292" s="8" t="s">
        <v>2429</v>
      </c>
      <c r="B292" s="8" t="s">
        <v>9</v>
      </c>
      <c r="C292" s="10">
        <v>265784</v>
      </c>
      <c r="D292" s="8" t="s">
        <v>179</v>
      </c>
      <c r="E292" s="8" t="s">
        <v>1986</v>
      </c>
      <c r="F292" s="8" t="s">
        <v>1966</v>
      </c>
      <c r="G292" s="8" t="s">
        <v>9</v>
      </c>
      <c r="H292" s="8" t="s">
        <v>352</v>
      </c>
      <c r="I292" s="8" t="s">
        <v>1729</v>
      </c>
      <c r="J292" s="8" t="s">
        <v>2430</v>
      </c>
      <c r="K292" s="8" t="s">
        <v>384</v>
      </c>
      <c r="L292" s="8" t="s">
        <v>862</v>
      </c>
      <c r="M292" s="10">
        <v>0</v>
      </c>
      <c r="N292" s="8" t="s">
        <v>590</v>
      </c>
      <c r="O292" s="8" t="s">
        <v>9</v>
      </c>
      <c r="P292" s="8" t="s">
        <v>1955</v>
      </c>
      <c r="Q292" s="8" t="s">
        <v>1956</v>
      </c>
      <c r="R292" s="8" t="s">
        <v>1956</v>
      </c>
      <c r="S292" s="8" t="s">
        <v>356</v>
      </c>
      <c r="T292" s="8" t="s">
        <v>1172</v>
      </c>
      <c r="U292" s="8" t="s">
        <v>1968</v>
      </c>
      <c r="V292" s="8" t="s">
        <v>1172</v>
      </c>
      <c r="W292" s="8" t="s">
        <v>1969</v>
      </c>
      <c r="X292" s="8" t="s">
        <v>1871</v>
      </c>
      <c r="Y292" s="8" t="s">
        <v>112</v>
      </c>
      <c r="Z292" s="8" t="s">
        <v>2397</v>
      </c>
    </row>
    <row r="293" spans="1:26" ht="60" x14ac:dyDescent="0.3">
      <c r="A293" s="8" t="s">
        <v>2431</v>
      </c>
      <c r="B293" s="8" t="s">
        <v>9</v>
      </c>
      <c r="C293" s="10">
        <v>265784</v>
      </c>
      <c r="D293" s="8" t="s">
        <v>179</v>
      </c>
      <c r="E293" s="8" t="s">
        <v>1986</v>
      </c>
      <c r="F293" s="8" t="s">
        <v>1966</v>
      </c>
      <c r="G293" s="8" t="s">
        <v>9</v>
      </c>
      <c r="H293" s="8" t="s">
        <v>352</v>
      </c>
      <c r="I293" s="8" t="s">
        <v>1729</v>
      </c>
      <c r="J293" s="8" t="s">
        <v>2430</v>
      </c>
      <c r="K293" s="8" t="s">
        <v>384</v>
      </c>
      <c r="L293" s="8" t="s">
        <v>893</v>
      </c>
      <c r="M293" s="10">
        <v>0</v>
      </c>
      <c r="N293" s="8" t="s">
        <v>603</v>
      </c>
      <c r="O293" s="8" t="s">
        <v>9</v>
      </c>
      <c r="P293" s="8" t="s">
        <v>1955</v>
      </c>
      <c r="Q293" s="8" t="s">
        <v>1956</v>
      </c>
      <c r="R293" s="8" t="s">
        <v>1956</v>
      </c>
      <c r="S293" s="8" t="s">
        <v>356</v>
      </c>
      <c r="T293" s="8" t="s">
        <v>1172</v>
      </c>
      <c r="U293" s="8" t="s">
        <v>1968</v>
      </c>
      <c r="V293" s="8" t="s">
        <v>1172</v>
      </c>
      <c r="W293" s="8" t="s">
        <v>1969</v>
      </c>
      <c r="X293" s="8" t="s">
        <v>1871</v>
      </c>
      <c r="Y293" s="8" t="s">
        <v>112</v>
      </c>
      <c r="Z293" s="8" t="s">
        <v>2397</v>
      </c>
    </row>
    <row r="294" spans="1:26" ht="24" x14ac:dyDescent="0.3">
      <c r="A294" s="8" t="s">
        <v>2432</v>
      </c>
      <c r="B294" s="8" t="s">
        <v>9</v>
      </c>
      <c r="C294" s="10">
        <v>265784</v>
      </c>
      <c r="D294" s="8" t="s">
        <v>179</v>
      </c>
      <c r="E294" s="8" t="s">
        <v>1986</v>
      </c>
      <c r="F294" s="8" t="s">
        <v>1966</v>
      </c>
      <c r="G294" s="8" t="s">
        <v>9</v>
      </c>
      <c r="H294" s="8" t="s">
        <v>352</v>
      </c>
      <c r="I294" s="8" t="s">
        <v>1729</v>
      </c>
      <c r="J294" s="8" t="s">
        <v>2430</v>
      </c>
      <c r="K294" s="8" t="s">
        <v>384</v>
      </c>
      <c r="L294" s="8" t="s">
        <v>895</v>
      </c>
      <c r="M294" s="10">
        <v>0</v>
      </c>
      <c r="N294" s="8" t="s">
        <v>601</v>
      </c>
      <c r="O294" s="8" t="s">
        <v>9</v>
      </c>
      <c r="P294" s="8" t="s">
        <v>1955</v>
      </c>
      <c r="Q294" s="8" t="s">
        <v>1956</v>
      </c>
      <c r="R294" s="8" t="s">
        <v>1956</v>
      </c>
      <c r="S294" s="8" t="s">
        <v>356</v>
      </c>
      <c r="T294" s="8" t="s">
        <v>1172</v>
      </c>
      <c r="U294" s="8" t="s">
        <v>1968</v>
      </c>
      <c r="V294" s="8" t="s">
        <v>1172</v>
      </c>
      <c r="W294" s="8" t="s">
        <v>1969</v>
      </c>
      <c r="X294" s="8" t="s">
        <v>1871</v>
      </c>
      <c r="Y294" s="8" t="s">
        <v>112</v>
      </c>
      <c r="Z294" s="8" t="s">
        <v>2397</v>
      </c>
    </row>
    <row r="295" spans="1:26" ht="24" x14ac:dyDescent="0.3">
      <c r="A295" s="8" t="s">
        <v>2433</v>
      </c>
      <c r="B295" s="8" t="s">
        <v>9</v>
      </c>
      <c r="C295" s="10">
        <v>265784</v>
      </c>
      <c r="D295" s="8" t="s">
        <v>179</v>
      </c>
      <c r="E295" s="8" t="s">
        <v>1986</v>
      </c>
      <c r="F295" s="8" t="s">
        <v>1966</v>
      </c>
      <c r="G295" s="8" t="s">
        <v>9</v>
      </c>
      <c r="H295" s="8" t="s">
        <v>352</v>
      </c>
      <c r="I295" s="8" t="s">
        <v>1729</v>
      </c>
      <c r="J295" s="8" t="s">
        <v>2430</v>
      </c>
      <c r="K295" s="8" t="s">
        <v>384</v>
      </c>
      <c r="L295" s="8" t="s">
        <v>897</v>
      </c>
      <c r="M295" s="10">
        <v>0</v>
      </c>
      <c r="N295" s="8" t="s">
        <v>355</v>
      </c>
      <c r="O295" s="8" t="s">
        <v>9</v>
      </c>
      <c r="P295" s="8" t="s">
        <v>1955</v>
      </c>
      <c r="Q295" s="8" t="s">
        <v>1956</v>
      </c>
      <c r="R295" s="8" t="s">
        <v>1956</v>
      </c>
      <c r="S295" s="8" t="s">
        <v>356</v>
      </c>
      <c r="T295" s="8" t="s">
        <v>1172</v>
      </c>
      <c r="U295" s="8" t="s">
        <v>1968</v>
      </c>
      <c r="V295" s="8" t="s">
        <v>1172</v>
      </c>
      <c r="W295" s="8" t="s">
        <v>1969</v>
      </c>
      <c r="X295" s="8" t="s">
        <v>1871</v>
      </c>
      <c r="Y295" s="8" t="s">
        <v>112</v>
      </c>
      <c r="Z295" s="8" t="s">
        <v>2397</v>
      </c>
    </row>
    <row r="296" spans="1:26" ht="24" x14ac:dyDescent="0.3">
      <c r="A296" s="8" t="s">
        <v>2434</v>
      </c>
      <c r="B296" s="8" t="s">
        <v>9</v>
      </c>
      <c r="C296" s="10">
        <v>265784</v>
      </c>
      <c r="D296" s="8" t="s">
        <v>179</v>
      </c>
      <c r="E296" s="8" t="s">
        <v>1986</v>
      </c>
      <c r="F296" s="8" t="s">
        <v>1966</v>
      </c>
      <c r="G296" s="8" t="s">
        <v>9</v>
      </c>
      <c r="H296" s="8" t="s">
        <v>352</v>
      </c>
      <c r="I296" s="8" t="s">
        <v>1729</v>
      </c>
      <c r="J296" s="8" t="s">
        <v>2430</v>
      </c>
      <c r="K296" s="8" t="s">
        <v>384</v>
      </c>
      <c r="L296" s="8" t="s">
        <v>899</v>
      </c>
      <c r="M296" s="10">
        <v>0</v>
      </c>
      <c r="N296" s="8" t="s">
        <v>355</v>
      </c>
      <c r="O296" s="8" t="s">
        <v>9</v>
      </c>
      <c r="P296" s="8" t="s">
        <v>1955</v>
      </c>
      <c r="Q296" s="8" t="s">
        <v>1956</v>
      </c>
      <c r="R296" s="8" t="s">
        <v>1956</v>
      </c>
      <c r="S296" s="8" t="s">
        <v>356</v>
      </c>
      <c r="T296" s="8" t="s">
        <v>1172</v>
      </c>
      <c r="U296" s="8" t="s">
        <v>1968</v>
      </c>
      <c r="V296" s="8" t="s">
        <v>1172</v>
      </c>
      <c r="W296" s="8" t="s">
        <v>1969</v>
      </c>
      <c r="X296" s="8" t="s">
        <v>1871</v>
      </c>
      <c r="Y296" s="8" t="s">
        <v>112</v>
      </c>
      <c r="Z296" s="8" t="s">
        <v>2397</v>
      </c>
    </row>
    <row r="297" spans="1:26" ht="36" x14ac:dyDescent="0.3">
      <c r="A297" s="8" t="s">
        <v>2435</v>
      </c>
      <c r="B297" s="8" t="s">
        <v>9</v>
      </c>
      <c r="C297" s="10">
        <v>265784</v>
      </c>
      <c r="D297" s="8" t="s">
        <v>179</v>
      </c>
      <c r="E297" s="8" t="s">
        <v>1986</v>
      </c>
      <c r="F297" s="8" t="s">
        <v>1966</v>
      </c>
      <c r="G297" s="8" t="s">
        <v>9</v>
      </c>
      <c r="H297" s="8" t="s">
        <v>352</v>
      </c>
      <c r="I297" s="8" t="s">
        <v>1729</v>
      </c>
      <c r="J297" s="8" t="s">
        <v>2430</v>
      </c>
      <c r="K297" s="8" t="s">
        <v>384</v>
      </c>
      <c r="L297" s="8" t="s">
        <v>901</v>
      </c>
      <c r="M297" s="10">
        <v>0</v>
      </c>
      <c r="N297" s="8" t="s">
        <v>355</v>
      </c>
      <c r="O297" s="8" t="s">
        <v>9</v>
      </c>
      <c r="P297" s="8" t="s">
        <v>1955</v>
      </c>
      <c r="Q297" s="8" t="s">
        <v>1956</v>
      </c>
      <c r="R297" s="8" t="s">
        <v>1956</v>
      </c>
      <c r="S297" s="8" t="s">
        <v>356</v>
      </c>
      <c r="T297" s="8" t="s">
        <v>1172</v>
      </c>
      <c r="U297" s="8" t="s">
        <v>1968</v>
      </c>
      <c r="V297" s="8" t="s">
        <v>1172</v>
      </c>
      <c r="W297" s="8" t="s">
        <v>1969</v>
      </c>
      <c r="X297" s="8" t="s">
        <v>1871</v>
      </c>
      <c r="Y297" s="8" t="s">
        <v>112</v>
      </c>
      <c r="Z297" s="8" t="s">
        <v>2397</v>
      </c>
    </row>
    <row r="298" spans="1:26" ht="36" x14ac:dyDescent="0.3">
      <c r="A298" s="8" t="s">
        <v>2436</v>
      </c>
      <c r="B298" s="8" t="s">
        <v>9</v>
      </c>
      <c r="C298" s="10">
        <v>265784</v>
      </c>
      <c r="D298" s="8" t="s">
        <v>179</v>
      </c>
      <c r="E298" s="8" t="s">
        <v>1986</v>
      </c>
      <c r="F298" s="8" t="s">
        <v>1966</v>
      </c>
      <c r="G298" s="8" t="s">
        <v>9</v>
      </c>
      <c r="H298" s="8" t="s">
        <v>352</v>
      </c>
      <c r="I298" s="8" t="s">
        <v>1729</v>
      </c>
      <c r="J298" s="8" t="s">
        <v>2430</v>
      </c>
      <c r="K298" s="8" t="s">
        <v>384</v>
      </c>
      <c r="L298" s="8" t="s">
        <v>903</v>
      </c>
      <c r="M298" s="10">
        <v>0</v>
      </c>
      <c r="N298" s="8" t="s">
        <v>355</v>
      </c>
      <c r="O298" s="8" t="s">
        <v>9</v>
      </c>
      <c r="P298" s="8" t="s">
        <v>1955</v>
      </c>
      <c r="Q298" s="8" t="s">
        <v>1956</v>
      </c>
      <c r="R298" s="8" t="s">
        <v>1956</v>
      </c>
      <c r="S298" s="8" t="s">
        <v>356</v>
      </c>
      <c r="T298" s="8" t="s">
        <v>1172</v>
      </c>
      <c r="U298" s="8" t="s">
        <v>1968</v>
      </c>
      <c r="V298" s="8" t="s">
        <v>1172</v>
      </c>
      <c r="W298" s="8" t="s">
        <v>1969</v>
      </c>
      <c r="X298" s="8" t="s">
        <v>1871</v>
      </c>
      <c r="Y298" s="8" t="s">
        <v>112</v>
      </c>
      <c r="Z298" s="8" t="s">
        <v>2397</v>
      </c>
    </row>
    <row r="299" spans="1:26" ht="48" x14ac:dyDescent="0.3">
      <c r="A299" s="8" t="s">
        <v>2437</v>
      </c>
      <c r="B299" s="8" t="s">
        <v>9</v>
      </c>
      <c r="C299" s="10">
        <v>265784</v>
      </c>
      <c r="D299" s="8" t="s">
        <v>179</v>
      </c>
      <c r="E299" s="8" t="s">
        <v>1986</v>
      </c>
      <c r="F299" s="8" t="s">
        <v>1966</v>
      </c>
      <c r="G299" s="8" t="s">
        <v>9</v>
      </c>
      <c r="H299" s="8" t="s">
        <v>352</v>
      </c>
      <c r="I299" s="8" t="s">
        <v>1977</v>
      </c>
      <c r="J299" s="8" t="s">
        <v>2430</v>
      </c>
      <c r="K299" s="8" t="s">
        <v>384</v>
      </c>
      <c r="L299" s="8" t="s">
        <v>862</v>
      </c>
      <c r="M299" s="10">
        <v>0</v>
      </c>
      <c r="N299" s="8" t="s">
        <v>355</v>
      </c>
      <c r="O299" s="8" t="s">
        <v>9</v>
      </c>
      <c r="P299" s="8" t="s">
        <v>1955</v>
      </c>
      <c r="Q299" s="8" t="s">
        <v>1956</v>
      </c>
      <c r="R299" s="8" t="s">
        <v>1956</v>
      </c>
      <c r="S299" s="8" t="s">
        <v>356</v>
      </c>
      <c r="T299" s="8" t="s">
        <v>1172</v>
      </c>
      <c r="U299" s="8" t="s">
        <v>1968</v>
      </c>
      <c r="V299" s="8" t="s">
        <v>1172</v>
      </c>
      <c r="W299" s="8" t="s">
        <v>1969</v>
      </c>
      <c r="X299" s="8" t="s">
        <v>1871</v>
      </c>
      <c r="Y299" s="8" t="s">
        <v>112</v>
      </c>
      <c r="Z299" s="8" t="s">
        <v>2397</v>
      </c>
    </row>
    <row r="300" spans="1:26" ht="60" x14ac:dyDescent="0.3">
      <c r="A300" s="8" t="s">
        <v>2438</v>
      </c>
      <c r="B300" s="8" t="s">
        <v>9</v>
      </c>
      <c r="C300" s="10">
        <v>265784</v>
      </c>
      <c r="D300" s="8" t="s">
        <v>179</v>
      </c>
      <c r="E300" s="8" t="s">
        <v>1986</v>
      </c>
      <c r="F300" s="8" t="s">
        <v>1966</v>
      </c>
      <c r="G300" s="8" t="s">
        <v>9</v>
      </c>
      <c r="H300" s="8" t="s">
        <v>352</v>
      </c>
      <c r="I300" s="8" t="s">
        <v>1977</v>
      </c>
      <c r="J300" s="8" t="s">
        <v>2430</v>
      </c>
      <c r="K300" s="8" t="s">
        <v>384</v>
      </c>
      <c r="L300" s="8" t="s">
        <v>893</v>
      </c>
      <c r="M300" s="10">
        <v>0</v>
      </c>
      <c r="N300" s="8" t="s">
        <v>355</v>
      </c>
      <c r="O300" s="8" t="s">
        <v>9</v>
      </c>
      <c r="P300" s="8" t="s">
        <v>1955</v>
      </c>
      <c r="Q300" s="8" t="s">
        <v>1956</v>
      </c>
      <c r="R300" s="8" t="s">
        <v>1956</v>
      </c>
      <c r="S300" s="8" t="s">
        <v>356</v>
      </c>
      <c r="T300" s="8" t="s">
        <v>1172</v>
      </c>
      <c r="U300" s="8" t="s">
        <v>1968</v>
      </c>
      <c r="V300" s="8" t="s">
        <v>1172</v>
      </c>
      <c r="W300" s="8" t="s">
        <v>1969</v>
      </c>
      <c r="X300" s="8" t="s">
        <v>1871</v>
      </c>
      <c r="Y300" s="8" t="s">
        <v>112</v>
      </c>
      <c r="Z300" s="8" t="s">
        <v>2397</v>
      </c>
    </row>
    <row r="301" spans="1:26" ht="24" x14ac:dyDescent="0.3">
      <c r="A301" s="8" t="s">
        <v>2439</v>
      </c>
      <c r="B301" s="8" t="s">
        <v>9</v>
      </c>
      <c r="C301" s="10">
        <v>265784</v>
      </c>
      <c r="D301" s="8" t="s">
        <v>179</v>
      </c>
      <c r="E301" s="8" t="s">
        <v>1986</v>
      </c>
      <c r="F301" s="8" t="s">
        <v>1966</v>
      </c>
      <c r="G301" s="8" t="s">
        <v>9</v>
      </c>
      <c r="H301" s="8" t="s">
        <v>352</v>
      </c>
      <c r="I301" s="8" t="s">
        <v>1977</v>
      </c>
      <c r="J301" s="8" t="s">
        <v>2430</v>
      </c>
      <c r="K301" s="8" t="s">
        <v>384</v>
      </c>
      <c r="L301" s="8" t="s">
        <v>895</v>
      </c>
      <c r="M301" s="10">
        <v>0</v>
      </c>
      <c r="N301" s="8" t="s">
        <v>355</v>
      </c>
      <c r="O301" s="8" t="s">
        <v>9</v>
      </c>
      <c r="P301" s="8" t="s">
        <v>1955</v>
      </c>
      <c r="Q301" s="8" t="s">
        <v>1956</v>
      </c>
      <c r="R301" s="8" t="s">
        <v>1956</v>
      </c>
      <c r="S301" s="8" t="s">
        <v>356</v>
      </c>
      <c r="T301" s="8" t="s">
        <v>1172</v>
      </c>
      <c r="U301" s="8" t="s">
        <v>1968</v>
      </c>
      <c r="V301" s="8" t="s">
        <v>1172</v>
      </c>
      <c r="W301" s="8" t="s">
        <v>1969</v>
      </c>
      <c r="X301" s="8" t="s">
        <v>1871</v>
      </c>
      <c r="Y301" s="8" t="s">
        <v>112</v>
      </c>
      <c r="Z301" s="8" t="s">
        <v>2397</v>
      </c>
    </row>
    <row r="302" spans="1:26" ht="24" x14ac:dyDescent="0.3">
      <c r="A302" s="8" t="s">
        <v>2440</v>
      </c>
      <c r="B302" s="8" t="s">
        <v>9</v>
      </c>
      <c r="C302" s="10">
        <v>265784</v>
      </c>
      <c r="D302" s="8" t="s">
        <v>179</v>
      </c>
      <c r="E302" s="8" t="s">
        <v>1986</v>
      </c>
      <c r="F302" s="8" t="s">
        <v>1966</v>
      </c>
      <c r="G302" s="8" t="s">
        <v>9</v>
      </c>
      <c r="H302" s="8" t="s">
        <v>352</v>
      </c>
      <c r="I302" s="8" t="s">
        <v>1977</v>
      </c>
      <c r="J302" s="8" t="s">
        <v>2430</v>
      </c>
      <c r="K302" s="8" t="s">
        <v>384</v>
      </c>
      <c r="L302" s="8" t="s">
        <v>897</v>
      </c>
      <c r="M302" s="10">
        <v>0</v>
      </c>
      <c r="N302" s="8" t="s">
        <v>617</v>
      </c>
      <c r="O302" s="8" t="s">
        <v>9</v>
      </c>
      <c r="P302" s="8" t="s">
        <v>1955</v>
      </c>
      <c r="Q302" s="8" t="s">
        <v>1956</v>
      </c>
      <c r="R302" s="8" t="s">
        <v>1956</v>
      </c>
      <c r="S302" s="8" t="s">
        <v>356</v>
      </c>
      <c r="T302" s="8" t="s">
        <v>1172</v>
      </c>
      <c r="U302" s="8" t="s">
        <v>1968</v>
      </c>
      <c r="V302" s="8" t="s">
        <v>1172</v>
      </c>
      <c r="W302" s="8" t="s">
        <v>1969</v>
      </c>
      <c r="X302" s="8" t="s">
        <v>1871</v>
      </c>
      <c r="Y302" s="8" t="s">
        <v>112</v>
      </c>
      <c r="Z302" s="8" t="s">
        <v>2397</v>
      </c>
    </row>
    <row r="303" spans="1:26" ht="24" x14ac:dyDescent="0.3">
      <c r="A303" s="8" t="s">
        <v>2441</v>
      </c>
      <c r="B303" s="8" t="s">
        <v>9</v>
      </c>
      <c r="C303" s="10">
        <v>265784</v>
      </c>
      <c r="D303" s="8" t="s">
        <v>179</v>
      </c>
      <c r="E303" s="8" t="s">
        <v>1986</v>
      </c>
      <c r="F303" s="8" t="s">
        <v>1966</v>
      </c>
      <c r="G303" s="8" t="s">
        <v>9</v>
      </c>
      <c r="H303" s="8" t="s">
        <v>352</v>
      </c>
      <c r="I303" s="8" t="s">
        <v>1977</v>
      </c>
      <c r="J303" s="8" t="s">
        <v>2430</v>
      </c>
      <c r="K303" s="8" t="s">
        <v>384</v>
      </c>
      <c r="L303" s="8" t="s">
        <v>899</v>
      </c>
      <c r="M303" s="10">
        <v>0</v>
      </c>
      <c r="N303" s="8" t="s">
        <v>623</v>
      </c>
      <c r="O303" s="8" t="s">
        <v>9</v>
      </c>
      <c r="P303" s="8" t="s">
        <v>1955</v>
      </c>
      <c r="Q303" s="8" t="s">
        <v>1956</v>
      </c>
      <c r="R303" s="8" t="s">
        <v>1956</v>
      </c>
      <c r="S303" s="8" t="s">
        <v>356</v>
      </c>
      <c r="T303" s="8" t="s">
        <v>1172</v>
      </c>
      <c r="U303" s="8" t="s">
        <v>1968</v>
      </c>
      <c r="V303" s="8" t="s">
        <v>1172</v>
      </c>
      <c r="W303" s="8" t="s">
        <v>1969</v>
      </c>
      <c r="X303" s="8" t="s">
        <v>1871</v>
      </c>
      <c r="Y303" s="8" t="s">
        <v>112</v>
      </c>
      <c r="Z303" s="8" t="s">
        <v>2397</v>
      </c>
    </row>
    <row r="304" spans="1:26" ht="36" x14ac:dyDescent="0.3">
      <c r="A304" s="8" t="s">
        <v>2442</v>
      </c>
      <c r="B304" s="8" t="s">
        <v>9</v>
      </c>
      <c r="C304" s="10">
        <v>265784</v>
      </c>
      <c r="D304" s="8" t="s">
        <v>179</v>
      </c>
      <c r="E304" s="8" t="s">
        <v>1986</v>
      </c>
      <c r="F304" s="8" t="s">
        <v>1966</v>
      </c>
      <c r="G304" s="8" t="s">
        <v>9</v>
      </c>
      <c r="H304" s="8" t="s">
        <v>352</v>
      </c>
      <c r="I304" s="8" t="s">
        <v>1977</v>
      </c>
      <c r="J304" s="8" t="s">
        <v>2430</v>
      </c>
      <c r="K304" s="8" t="s">
        <v>384</v>
      </c>
      <c r="L304" s="8" t="s">
        <v>901</v>
      </c>
      <c r="M304" s="10">
        <v>0</v>
      </c>
      <c r="N304" s="8" t="s">
        <v>619</v>
      </c>
      <c r="O304" s="8" t="s">
        <v>9</v>
      </c>
      <c r="P304" s="8" t="s">
        <v>1955</v>
      </c>
      <c r="Q304" s="8" t="s">
        <v>1956</v>
      </c>
      <c r="R304" s="8" t="s">
        <v>1956</v>
      </c>
      <c r="S304" s="8" t="s">
        <v>356</v>
      </c>
      <c r="T304" s="8" t="s">
        <v>1172</v>
      </c>
      <c r="U304" s="8" t="s">
        <v>1968</v>
      </c>
      <c r="V304" s="8" t="s">
        <v>1172</v>
      </c>
      <c r="W304" s="8" t="s">
        <v>1969</v>
      </c>
      <c r="X304" s="8" t="s">
        <v>1871</v>
      </c>
      <c r="Y304" s="8" t="s">
        <v>112</v>
      </c>
      <c r="Z304" s="8" t="s">
        <v>2397</v>
      </c>
    </row>
    <row r="305" spans="1:26" ht="36" x14ac:dyDescent="0.3">
      <c r="A305" s="8" t="s">
        <v>2443</v>
      </c>
      <c r="B305" s="8" t="s">
        <v>9</v>
      </c>
      <c r="C305" s="10">
        <v>265784</v>
      </c>
      <c r="D305" s="8" t="s">
        <v>179</v>
      </c>
      <c r="E305" s="8" t="s">
        <v>1986</v>
      </c>
      <c r="F305" s="8" t="s">
        <v>1966</v>
      </c>
      <c r="G305" s="8" t="s">
        <v>9</v>
      </c>
      <c r="H305" s="8" t="s">
        <v>352</v>
      </c>
      <c r="I305" s="8" t="s">
        <v>1977</v>
      </c>
      <c r="J305" s="8" t="s">
        <v>2430</v>
      </c>
      <c r="K305" s="8" t="s">
        <v>384</v>
      </c>
      <c r="L305" s="8" t="s">
        <v>903</v>
      </c>
      <c r="M305" s="10">
        <v>0</v>
      </c>
      <c r="N305" s="8" t="s">
        <v>621</v>
      </c>
      <c r="O305" s="8" t="s">
        <v>9</v>
      </c>
      <c r="P305" s="8" t="s">
        <v>1955</v>
      </c>
      <c r="Q305" s="8" t="s">
        <v>1956</v>
      </c>
      <c r="R305" s="8" t="s">
        <v>1956</v>
      </c>
      <c r="S305" s="8" t="s">
        <v>356</v>
      </c>
      <c r="T305" s="8" t="s">
        <v>1172</v>
      </c>
      <c r="U305" s="8" t="s">
        <v>1968</v>
      </c>
      <c r="V305" s="8" t="s">
        <v>1172</v>
      </c>
      <c r="W305" s="8" t="s">
        <v>1969</v>
      </c>
      <c r="X305" s="8" t="s">
        <v>1871</v>
      </c>
      <c r="Y305" s="8" t="s">
        <v>112</v>
      </c>
      <c r="Z305" s="8" t="s">
        <v>2397</v>
      </c>
    </row>
    <row r="306" spans="1:26" ht="48" x14ac:dyDescent="0.3">
      <c r="A306" s="8" t="s">
        <v>2444</v>
      </c>
      <c r="B306" s="8" t="s">
        <v>9</v>
      </c>
      <c r="C306" s="10">
        <v>264680</v>
      </c>
      <c r="D306" s="8" t="s">
        <v>508</v>
      </c>
      <c r="E306" s="8" t="s">
        <v>1951</v>
      </c>
      <c r="F306" s="8" t="s">
        <v>1952</v>
      </c>
      <c r="G306" s="8" t="s">
        <v>9</v>
      </c>
      <c r="H306" s="8" t="s">
        <v>352</v>
      </c>
      <c r="I306" s="8" t="s">
        <v>1729</v>
      </c>
      <c r="J306" s="8" t="s">
        <v>2445</v>
      </c>
      <c r="K306" s="8" t="s">
        <v>384</v>
      </c>
      <c r="L306" s="8" t="s">
        <v>862</v>
      </c>
      <c r="M306" s="10">
        <v>0</v>
      </c>
      <c r="N306" s="8" t="s">
        <v>590</v>
      </c>
      <c r="O306" s="8" t="s">
        <v>9</v>
      </c>
      <c r="P306" s="8" t="s">
        <v>1955</v>
      </c>
      <c r="Q306" s="8" t="s">
        <v>1956</v>
      </c>
      <c r="R306" s="8" t="s">
        <v>1956</v>
      </c>
      <c r="S306" s="8" t="s">
        <v>356</v>
      </c>
      <c r="T306" s="8" t="s">
        <v>1172</v>
      </c>
      <c r="U306" s="8" t="s">
        <v>1957</v>
      </c>
      <c r="V306" s="8" t="s">
        <v>283</v>
      </c>
      <c r="W306" s="8" t="s">
        <v>1958</v>
      </c>
      <c r="X306" s="8" t="s">
        <v>355</v>
      </c>
      <c r="Y306" s="8" t="s">
        <v>112</v>
      </c>
      <c r="Z306" s="8" t="s">
        <v>2397</v>
      </c>
    </row>
    <row r="307" spans="1:26" ht="48" x14ac:dyDescent="0.3">
      <c r="A307" s="8" t="s">
        <v>2446</v>
      </c>
      <c r="B307" s="8" t="s">
        <v>9</v>
      </c>
      <c r="C307" s="10">
        <v>264292</v>
      </c>
      <c r="D307" s="8" t="s">
        <v>181</v>
      </c>
      <c r="E307" s="8" t="s">
        <v>1986</v>
      </c>
      <c r="F307" s="8" t="s">
        <v>1966</v>
      </c>
      <c r="G307" s="8" t="s">
        <v>9</v>
      </c>
      <c r="H307" s="8" t="s">
        <v>352</v>
      </c>
      <c r="I307" s="8" t="s">
        <v>1729</v>
      </c>
      <c r="J307" s="8" t="s">
        <v>2447</v>
      </c>
      <c r="K307" s="8" t="s">
        <v>384</v>
      </c>
      <c r="L307" s="8" t="s">
        <v>862</v>
      </c>
      <c r="M307" s="10">
        <v>0</v>
      </c>
      <c r="N307" s="8" t="s">
        <v>590</v>
      </c>
      <c r="O307" s="8" t="s">
        <v>9</v>
      </c>
      <c r="P307" s="8" t="s">
        <v>1955</v>
      </c>
      <c r="Q307" s="8" t="s">
        <v>1956</v>
      </c>
      <c r="R307" s="8" t="s">
        <v>1956</v>
      </c>
      <c r="S307" s="8" t="s">
        <v>356</v>
      </c>
      <c r="T307" s="8" t="s">
        <v>1172</v>
      </c>
      <c r="U307" s="8" t="s">
        <v>1968</v>
      </c>
      <c r="V307" s="8" t="s">
        <v>1172</v>
      </c>
      <c r="W307" s="8" t="s">
        <v>1969</v>
      </c>
      <c r="X307" s="8" t="s">
        <v>1877</v>
      </c>
      <c r="Y307" s="8" t="s">
        <v>112</v>
      </c>
      <c r="Z307" s="8" t="s">
        <v>2397</v>
      </c>
    </row>
    <row r="308" spans="1:26" ht="60" x14ac:dyDescent="0.3">
      <c r="A308" s="8" t="s">
        <v>2448</v>
      </c>
      <c r="B308" s="8" t="s">
        <v>9</v>
      </c>
      <c r="C308" s="10">
        <v>264292</v>
      </c>
      <c r="D308" s="8" t="s">
        <v>181</v>
      </c>
      <c r="E308" s="8" t="s">
        <v>1986</v>
      </c>
      <c r="F308" s="8" t="s">
        <v>1966</v>
      </c>
      <c r="G308" s="8" t="s">
        <v>9</v>
      </c>
      <c r="H308" s="8" t="s">
        <v>352</v>
      </c>
      <c r="I308" s="8" t="s">
        <v>1729</v>
      </c>
      <c r="J308" s="8" t="s">
        <v>2447</v>
      </c>
      <c r="K308" s="8" t="s">
        <v>384</v>
      </c>
      <c r="L308" s="8" t="s">
        <v>914</v>
      </c>
      <c r="M308" s="10">
        <v>0</v>
      </c>
      <c r="N308" s="8" t="s">
        <v>603</v>
      </c>
      <c r="O308" s="8" t="s">
        <v>9</v>
      </c>
      <c r="P308" s="8" t="s">
        <v>1955</v>
      </c>
      <c r="Q308" s="8" t="s">
        <v>1956</v>
      </c>
      <c r="R308" s="8" t="s">
        <v>1956</v>
      </c>
      <c r="S308" s="8" t="s">
        <v>356</v>
      </c>
      <c r="T308" s="8" t="s">
        <v>1172</v>
      </c>
      <c r="U308" s="8" t="s">
        <v>1968</v>
      </c>
      <c r="V308" s="8" t="s">
        <v>1172</v>
      </c>
      <c r="W308" s="8" t="s">
        <v>1969</v>
      </c>
      <c r="X308" s="8" t="s">
        <v>1877</v>
      </c>
      <c r="Y308" s="8" t="s">
        <v>112</v>
      </c>
      <c r="Z308" s="8" t="s">
        <v>2397</v>
      </c>
    </row>
    <row r="309" spans="1:26" ht="24" x14ac:dyDescent="0.3">
      <c r="A309" s="8" t="s">
        <v>2449</v>
      </c>
      <c r="B309" s="8" t="s">
        <v>9</v>
      </c>
      <c r="C309" s="10">
        <v>264292</v>
      </c>
      <c r="D309" s="8" t="s">
        <v>181</v>
      </c>
      <c r="E309" s="8" t="s">
        <v>1986</v>
      </c>
      <c r="F309" s="8" t="s">
        <v>1966</v>
      </c>
      <c r="G309" s="8" t="s">
        <v>9</v>
      </c>
      <c r="H309" s="8" t="s">
        <v>352</v>
      </c>
      <c r="I309" s="8" t="s">
        <v>1729</v>
      </c>
      <c r="J309" s="8" t="s">
        <v>2447</v>
      </c>
      <c r="K309" s="8" t="s">
        <v>384</v>
      </c>
      <c r="L309" s="8" t="s">
        <v>933</v>
      </c>
      <c r="M309" s="10">
        <v>0</v>
      </c>
      <c r="N309" s="8" t="s">
        <v>934</v>
      </c>
      <c r="O309" s="8" t="s">
        <v>9</v>
      </c>
      <c r="P309" s="8" t="s">
        <v>1955</v>
      </c>
      <c r="Q309" s="8" t="s">
        <v>1956</v>
      </c>
      <c r="R309" s="8" t="s">
        <v>1956</v>
      </c>
      <c r="S309" s="8" t="s">
        <v>356</v>
      </c>
      <c r="T309" s="8" t="s">
        <v>1172</v>
      </c>
      <c r="U309" s="8" t="s">
        <v>1968</v>
      </c>
      <c r="V309" s="8" t="s">
        <v>1172</v>
      </c>
      <c r="W309" s="8" t="s">
        <v>1969</v>
      </c>
      <c r="X309" s="8" t="s">
        <v>1877</v>
      </c>
      <c r="Y309" s="8" t="s">
        <v>112</v>
      </c>
      <c r="Z309" s="8" t="s">
        <v>2397</v>
      </c>
    </row>
    <row r="310" spans="1:26" ht="48" x14ac:dyDescent="0.3">
      <c r="A310" s="8" t="s">
        <v>2450</v>
      </c>
      <c r="B310" s="8" t="s">
        <v>9</v>
      </c>
      <c r="C310" s="10">
        <v>264292</v>
      </c>
      <c r="D310" s="8" t="s">
        <v>181</v>
      </c>
      <c r="E310" s="8" t="s">
        <v>1986</v>
      </c>
      <c r="F310" s="8" t="s">
        <v>1966</v>
      </c>
      <c r="G310" s="8" t="s">
        <v>9</v>
      </c>
      <c r="H310" s="8" t="s">
        <v>352</v>
      </c>
      <c r="I310" s="8" t="s">
        <v>1729</v>
      </c>
      <c r="J310" s="8" t="s">
        <v>2447</v>
      </c>
      <c r="K310" s="8" t="s">
        <v>384</v>
      </c>
      <c r="L310" s="8" t="s">
        <v>936</v>
      </c>
      <c r="M310" s="10">
        <v>0</v>
      </c>
      <c r="N310" s="8" t="s">
        <v>355</v>
      </c>
      <c r="O310" s="8" t="s">
        <v>9</v>
      </c>
      <c r="P310" s="8" t="s">
        <v>1955</v>
      </c>
      <c r="Q310" s="8" t="s">
        <v>1956</v>
      </c>
      <c r="R310" s="8" t="s">
        <v>1956</v>
      </c>
      <c r="S310" s="8" t="s">
        <v>356</v>
      </c>
      <c r="T310" s="8" t="s">
        <v>1172</v>
      </c>
      <c r="U310" s="8" t="s">
        <v>1968</v>
      </c>
      <c r="V310" s="8" t="s">
        <v>1172</v>
      </c>
      <c r="W310" s="8" t="s">
        <v>1969</v>
      </c>
      <c r="X310" s="8" t="s">
        <v>1877</v>
      </c>
      <c r="Y310" s="8" t="s">
        <v>112</v>
      </c>
      <c r="Z310" s="8" t="s">
        <v>2397</v>
      </c>
    </row>
    <row r="311" spans="1:26" ht="60" x14ac:dyDescent="0.3">
      <c r="A311" s="8" t="s">
        <v>2451</v>
      </c>
      <c r="B311" s="8" t="s">
        <v>9</v>
      </c>
      <c r="C311" s="10">
        <v>264292</v>
      </c>
      <c r="D311" s="8" t="s">
        <v>181</v>
      </c>
      <c r="E311" s="8" t="s">
        <v>1986</v>
      </c>
      <c r="F311" s="8" t="s">
        <v>1966</v>
      </c>
      <c r="G311" s="8" t="s">
        <v>9</v>
      </c>
      <c r="H311" s="8" t="s">
        <v>352</v>
      </c>
      <c r="I311" s="8" t="s">
        <v>1729</v>
      </c>
      <c r="J311" s="8" t="s">
        <v>2447</v>
      </c>
      <c r="K311" s="8" t="s">
        <v>384</v>
      </c>
      <c r="L311" s="8" t="s">
        <v>938</v>
      </c>
      <c r="M311" s="10">
        <v>0</v>
      </c>
      <c r="N311" s="8" t="s">
        <v>355</v>
      </c>
      <c r="O311" s="8" t="s">
        <v>9</v>
      </c>
      <c r="P311" s="8" t="s">
        <v>1955</v>
      </c>
      <c r="Q311" s="8" t="s">
        <v>1956</v>
      </c>
      <c r="R311" s="8" t="s">
        <v>1956</v>
      </c>
      <c r="S311" s="8" t="s">
        <v>356</v>
      </c>
      <c r="T311" s="8" t="s">
        <v>1172</v>
      </c>
      <c r="U311" s="8" t="s">
        <v>1968</v>
      </c>
      <c r="V311" s="8" t="s">
        <v>1172</v>
      </c>
      <c r="W311" s="8" t="s">
        <v>1969</v>
      </c>
      <c r="X311" s="8" t="s">
        <v>1877</v>
      </c>
      <c r="Y311" s="8" t="s">
        <v>112</v>
      </c>
      <c r="Z311" s="8" t="s">
        <v>2397</v>
      </c>
    </row>
    <row r="312" spans="1:26" ht="36" x14ac:dyDescent="0.3">
      <c r="A312" s="8" t="s">
        <v>2452</v>
      </c>
      <c r="B312" s="8" t="s">
        <v>9</v>
      </c>
      <c r="C312" s="10">
        <v>264292</v>
      </c>
      <c r="D312" s="8" t="s">
        <v>181</v>
      </c>
      <c r="E312" s="8" t="s">
        <v>1986</v>
      </c>
      <c r="F312" s="8" t="s">
        <v>1966</v>
      </c>
      <c r="G312" s="8" t="s">
        <v>9</v>
      </c>
      <c r="H312" s="8" t="s">
        <v>352</v>
      </c>
      <c r="I312" s="8" t="s">
        <v>1729</v>
      </c>
      <c r="J312" s="8" t="s">
        <v>2447</v>
      </c>
      <c r="K312" s="8" t="s">
        <v>384</v>
      </c>
      <c r="L312" s="8" t="s">
        <v>940</v>
      </c>
      <c r="M312" s="10">
        <v>0</v>
      </c>
      <c r="N312" s="8" t="s">
        <v>355</v>
      </c>
      <c r="O312" s="8" t="s">
        <v>9</v>
      </c>
      <c r="P312" s="8" t="s">
        <v>1955</v>
      </c>
      <c r="Q312" s="8" t="s">
        <v>1956</v>
      </c>
      <c r="R312" s="8" t="s">
        <v>1956</v>
      </c>
      <c r="S312" s="8" t="s">
        <v>356</v>
      </c>
      <c r="T312" s="8" t="s">
        <v>1172</v>
      </c>
      <c r="U312" s="8" t="s">
        <v>1968</v>
      </c>
      <c r="V312" s="8" t="s">
        <v>1172</v>
      </c>
      <c r="W312" s="8" t="s">
        <v>1969</v>
      </c>
      <c r="X312" s="8" t="s">
        <v>1877</v>
      </c>
      <c r="Y312" s="8" t="s">
        <v>112</v>
      </c>
      <c r="Z312" s="8" t="s">
        <v>2397</v>
      </c>
    </row>
    <row r="313" spans="1:26" ht="36" x14ac:dyDescent="0.3">
      <c r="A313" s="8" t="s">
        <v>2453</v>
      </c>
      <c r="B313" s="8" t="s">
        <v>9</v>
      </c>
      <c r="C313" s="10">
        <v>264292</v>
      </c>
      <c r="D313" s="8" t="s">
        <v>181</v>
      </c>
      <c r="E313" s="8" t="s">
        <v>1986</v>
      </c>
      <c r="F313" s="8" t="s">
        <v>1966</v>
      </c>
      <c r="G313" s="8" t="s">
        <v>9</v>
      </c>
      <c r="H313" s="8" t="s">
        <v>352</v>
      </c>
      <c r="I313" s="8" t="s">
        <v>1729</v>
      </c>
      <c r="J313" s="8" t="s">
        <v>2447</v>
      </c>
      <c r="K313" s="8" t="s">
        <v>384</v>
      </c>
      <c r="L313" s="8" t="s">
        <v>942</v>
      </c>
      <c r="M313" s="10">
        <v>0</v>
      </c>
      <c r="N313" s="8" t="s">
        <v>355</v>
      </c>
      <c r="O313" s="8" t="s">
        <v>9</v>
      </c>
      <c r="P313" s="8" t="s">
        <v>1955</v>
      </c>
      <c r="Q313" s="8" t="s">
        <v>1956</v>
      </c>
      <c r="R313" s="8" t="s">
        <v>1956</v>
      </c>
      <c r="S313" s="8" t="s">
        <v>356</v>
      </c>
      <c r="T313" s="8" t="s">
        <v>1172</v>
      </c>
      <c r="U313" s="8" t="s">
        <v>1968</v>
      </c>
      <c r="V313" s="8" t="s">
        <v>1172</v>
      </c>
      <c r="W313" s="8" t="s">
        <v>1969</v>
      </c>
      <c r="X313" s="8" t="s">
        <v>1877</v>
      </c>
      <c r="Y313" s="8" t="s">
        <v>112</v>
      </c>
      <c r="Z313" s="8" t="s">
        <v>2397</v>
      </c>
    </row>
    <row r="314" spans="1:26" ht="60" x14ac:dyDescent="0.3">
      <c r="A314" s="8" t="s">
        <v>2454</v>
      </c>
      <c r="B314" s="8" t="s">
        <v>9</v>
      </c>
      <c r="C314" s="10">
        <v>264292</v>
      </c>
      <c r="D314" s="8" t="s">
        <v>181</v>
      </c>
      <c r="E314" s="8" t="s">
        <v>1986</v>
      </c>
      <c r="F314" s="8" t="s">
        <v>1966</v>
      </c>
      <c r="G314" s="8" t="s">
        <v>9</v>
      </c>
      <c r="H314" s="8" t="s">
        <v>352</v>
      </c>
      <c r="I314" s="8" t="s">
        <v>1729</v>
      </c>
      <c r="J314" s="8" t="s">
        <v>2447</v>
      </c>
      <c r="K314" s="8" t="s">
        <v>384</v>
      </c>
      <c r="L314" s="8" t="s">
        <v>916</v>
      </c>
      <c r="M314" s="10">
        <v>0</v>
      </c>
      <c r="N314" s="8" t="s">
        <v>601</v>
      </c>
      <c r="O314" s="8" t="s">
        <v>9</v>
      </c>
      <c r="P314" s="8" t="s">
        <v>1955</v>
      </c>
      <c r="Q314" s="8" t="s">
        <v>1956</v>
      </c>
      <c r="R314" s="8" t="s">
        <v>1956</v>
      </c>
      <c r="S314" s="8" t="s">
        <v>356</v>
      </c>
      <c r="T314" s="8" t="s">
        <v>1172</v>
      </c>
      <c r="U314" s="8" t="s">
        <v>1968</v>
      </c>
      <c r="V314" s="8" t="s">
        <v>1172</v>
      </c>
      <c r="W314" s="8" t="s">
        <v>1969</v>
      </c>
      <c r="X314" s="8" t="s">
        <v>1877</v>
      </c>
      <c r="Y314" s="8" t="s">
        <v>112</v>
      </c>
      <c r="Z314" s="8" t="s">
        <v>2397</v>
      </c>
    </row>
    <row r="315" spans="1:26" ht="60" x14ac:dyDescent="0.3">
      <c r="A315" s="8" t="s">
        <v>2455</v>
      </c>
      <c r="B315" s="8" t="s">
        <v>9</v>
      </c>
      <c r="C315" s="10">
        <v>264292</v>
      </c>
      <c r="D315" s="8" t="s">
        <v>181</v>
      </c>
      <c r="E315" s="8" t="s">
        <v>1986</v>
      </c>
      <c r="F315" s="8" t="s">
        <v>1966</v>
      </c>
      <c r="G315" s="8" t="s">
        <v>9</v>
      </c>
      <c r="H315" s="8" t="s">
        <v>352</v>
      </c>
      <c r="I315" s="8" t="s">
        <v>1729</v>
      </c>
      <c r="J315" s="8" t="s">
        <v>2447</v>
      </c>
      <c r="K315" s="8" t="s">
        <v>384</v>
      </c>
      <c r="L315" s="8" t="s">
        <v>918</v>
      </c>
      <c r="M315" s="10">
        <v>0</v>
      </c>
      <c r="N315" s="8" t="s">
        <v>617</v>
      </c>
      <c r="O315" s="8" t="s">
        <v>9</v>
      </c>
      <c r="P315" s="8" t="s">
        <v>1955</v>
      </c>
      <c r="Q315" s="8" t="s">
        <v>1956</v>
      </c>
      <c r="R315" s="8" t="s">
        <v>1956</v>
      </c>
      <c r="S315" s="8" t="s">
        <v>356</v>
      </c>
      <c r="T315" s="8" t="s">
        <v>1172</v>
      </c>
      <c r="U315" s="8" t="s">
        <v>1968</v>
      </c>
      <c r="V315" s="8" t="s">
        <v>1172</v>
      </c>
      <c r="W315" s="8" t="s">
        <v>1969</v>
      </c>
      <c r="X315" s="8" t="s">
        <v>1877</v>
      </c>
      <c r="Y315" s="8" t="s">
        <v>112</v>
      </c>
      <c r="Z315" s="8" t="s">
        <v>2397</v>
      </c>
    </row>
    <row r="316" spans="1:26" ht="60" x14ac:dyDescent="0.3">
      <c r="A316" s="8" t="s">
        <v>2456</v>
      </c>
      <c r="B316" s="8" t="s">
        <v>9</v>
      </c>
      <c r="C316" s="10">
        <v>264292</v>
      </c>
      <c r="D316" s="8" t="s">
        <v>181</v>
      </c>
      <c r="E316" s="8" t="s">
        <v>1986</v>
      </c>
      <c r="F316" s="8" t="s">
        <v>1966</v>
      </c>
      <c r="G316" s="8" t="s">
        <v>9</v>
      </c>
      <c r="H316" s="8" t="s">
        <v>352</v>
      </c>
      <c r="I316" s="8" t="s">
        <v>1729</v>
      </c>
      <c r="J316" s="8" t="s">
        <v>2447</v>
      </c>
      <c r="K316" s="8" t="s">
        <v>384</v>
      </c>
      <c r="L316" s="8" t="s">
        <v>920</v>
      </c>
      <c r="M316" s="10">
        <v>0</v>
      </c>
      <c r="N316" s="8" t="s">
        <v>623</v>
      </c>
      <c r="O316" s="8" t="s">
        <v>9</v>
      </c>
      <c r="P316" s="8" t="s">
        <v>1955</v>
      </c>
      <c r="Q316" s="8" t="s">
        <v>1956</v>
      </c>
      <c r="R316" s="8" t="s">
        <v>1956</v>
      </c>
      <c r="S316" s="8" t="s">
        <v>356</v>
      </c>
      <c r="T316" s="8" t="s">
        <v>1172</v>
      </c>
      <c r="U316" s="8" t="s">
        <v>1968</v>
      </c>
      <c r="V316" s="8" t="s">
        <v>1172</v>
      </c>
      <c r="W316" s="8" t="s">
        <v>1969</v>
      </c>
      <c r="X316" s="8" t="s">
        <v>1877</v>
      </c>
      <c r="Y316" s="8" t="s">
        <v>112</v>
      </c>
      <c r="Z316" s="8" t="s">
        <v>2397</v>
      </c>
    </row>
    <row r="317" spans="1:26" ht="60" x14ac:dyDescent="0.3">
      <c r="A317" s="8" t="s">
        <v>2457</v>
      </c>
      <c r="B317" s="8" t="s">
        <v>9</v>
      </c>
      <c r="C317" s="10">
        <v>264292</v>
      </c>
      <c r="D317" s="8" t="s">
        <v>181</v>
      </c>
      <c r="E317" s="8" t="s">
        <v>1986</v>
      </c>
      <c r="F317" s="8" t="s">
        <v>1966</v>
      </c>
      <c r="G317" s="8" t="s">
        <v>9</v>
      </c>
      <c r="H317" s="8" t="s">
        <v>352</v>
      </c>
      <c r="I317" s="8" t="s">
        <v>1729</v>
      </c>
      <c r="J317" s="8" t="s">
        <v>2447</v>
      </c>
      <c r="K317" s="8" t="s">
        <v>384</v>
      </c>
      <c r="L317" s="8" t="s">
        <v>922</v>
      </c>
      <c r="M317" s="10">
        <v>0</v>
      </c>
      <c r="N317" s="8" t="s">
        <v>619</v>
      </c>
      <c r="O317" s="8" t="s">
        <v>9</v>
      </c>
      <c r="P317" s="8" t="s">
        <v>1955</v>
      </c>
      <c r="Q317" s="8" t="s">
        <v>1956</v>
      </c>
      <c r="R317" s="8" t="s">
        <v>1956</v>
      </c>
      <c r="S317" s="8" t="s">
        <v>356</v>
      </c>
      <c r="T317" s="8" t="s">
        <v>1172</v>
      </c>
      <c r="U317" s="8" t="s">
        <v>1968</v>
      </c>
      <c r="V317" s="8" t="s">
        <v>1172</v>
      </c>
      <c r="W317" s="8" t="s">
        <v>1969</v>
      </c>
      <c r="X317" s="8" t="s">
        <v>1877</v>
      </c>
      <c r="Y317" s="8" t="s">
        <v>112</v>
      </c>
      <c r="Z317" s="8" t="s">
        <v>2397</v>
      </c>
    </row>
    <row r="318" spans="1:26" ht="36" x14ac:dyDescent="0.3">
      <c r="A318" s="8" t="s">
        <v>2458</v>
      </c>
      <c r="B318" s="8" t="s">
        <v>9</v>
      </c>
      <c r="C318" s="10">
        <v>264292</v>
      </c>
      <c r="D318" s="8" t="s">
        <v>181</v>
      </c>
      <c r="E318" s="8" t="s">
        <v>1986</v>
      </c>
      <c r="F318" s="8" t="s">
        <v>1966</v>
      </c>
      <c r="G318" s="8" t="s">
        <v>9</v>
      </c>
      <c r="H318" s="8" t="s">
        <v>352</v>
      </c>
      <c r="I318" s="8" t="s">
        <v>1729</v>
      </c>
      <c r="J318" s="8" t="s">
        <v>2447</v>
      </c>
      <c r="K318" s="8" t="s">
        <v>384</v>
      </c>
      <c r="L318" s="8" t="s">
        <v>924</v>
      </c>
      <c r="M318" s="10">
        <v>0</v>
      </c>
      <c r="N318" s="8" t="s">
        <v>621</v>
      </c>
      <c r="O318" s="8" t="s">
        <v>9</v>
      </c>
      <c r="P318" s="8" t="s">
        <v>1955</v>
      </c>
      <c r="Q318" s="8" t="s">
        <v>1956</v>
      </c>
      <c r="R318" s="8" t="s">
        <v>1956</v>
      </c>
      <c r="S318" s="8" t="s">
        <v>356</v>
      </c>
      <c r="T318" s="8" t="s">
        <v>1172</v>
      </c>
      <c r="U318" s="8" t="s">
        <v>1968</v>
      </c>
      <c r="V318" s="8" t="s">
        <v>1172</v>
      </c>
      <c r="W318" s="8" t="s">
        <v>1969</v>
      </c>
      <c r="X318" s="8" t="s">
        <v>1877</v>
      </c>
      <c r="Y318" s="8" t="s">
        <v>112</v>
      </c>
      <c r="Z318" s="8" t="s">
        <v>2397</v>
      </c>
    </row>
    <row r="319" spans="1:26" ht="36" x14ac:dyDescent="0.3">
      <c r="A319" s="8" t="s">
        <v>2459</v>
      </c>
      <c r="B319" s="8" t="s">
        <v>9</v>
      </c>
      <c r="C319" s="10">
        <v>264292</v>
      </c>
      <c r="D319" s="8" t="s">
        <v>181</v>
      </c>
      <c r="E319" s="8" t="s">
        <v>1986</v>
      </c>
      <c r="F319" s="8" t="s">
        <v>1966</v>
      </c>
      <c r="G319" s="8" t="s">
        <v>9</v>
      </c>
      <c r="H319" s="8" t="s">
        <v>352</v>
      </c>
      <c r="I319" s="8" t="s">
        <v>1729</v>
      </c>
      <c r="J319" s="8" t="s">
        <v>2447</v>
      </c>
      <c r="K319" s="8" t="s">
        <v>384</v>
      </c>
      <c r="L319" s="8" t="s">
        <v>926</v>
      </c>
      <c r="M319" s="10">
        <v>0</v>
      </c>
      <c r="N319" s="8" t="s">
        <v>625</v>
      </c>
      <c r="O319" s="8" t="s">
        <v>9</v>
      </c>
      <c r="P319" s="8" t="s">
        <v>1955</v>
      </c>
      <c r="Q319" s="8" t="s">
        <v>1956</v>
      </c>
      <c r="R319" s="8" t="s">
        <v>1956</v>
      </c>
      <c r="S319" s="8" t="s">
        <v>356</v>
      </c>
      <c r="T319" s="8" t="s">
        <v>1172</v>
      </c>
      <c r="U319" s="8" t="s">
        <v>1968</v>
      </c>
      <c r="V319" s="8" t="s">
        <v>1172</v>
      </c>
      <c r="W319" s="8" t="s">
        <v>1969</v>
      </c>
      <c r="X319" s="8" t="s">
        <v>1877</v>
      </c>
      <c r="Y319" s="8" t="s">
        <v>112</v>
      </c>
      <c r="Z319" s="8" t="s">
        <v>2397</v>
      </c>
    </row>
    <row r="320" spans="1:26" ht="36" x14ac:dyDescent="0.3">
      <c r="A320" s="8" t="s">
        <v>2460</v>
      </c>
      <c r="B320" s="8" t="s">
        <v>9</v>
      </c>
      <c r="C320" s="10">
        <v>264292</v>
      </c>
      <c r="D320" s="8" t="s">
        <v>181</v>
      </c>
      <c r="E320" s="8" t="s">
        <v>1986</v>
      </c>
      <c r="F320" s="8" t="s">
        <v>1966</v>
      </c>
      <c r="G320" s="8" t="s">
        <v>9</v>
      </c>
      <c r="H320" s="8" t="s">
        <v>352</v>
      </c>
      <c r="I320" s="8" t="s">
        <v>1729</v>
      </c>
      <c r="J320" s="8" t="s">
        <v>2447</v>
      </c>
      <c r="K320" s="8" t="s">
        <v>384</v>
      </c>
      <c r="L320" s="8" t="s">
        <v>928</v>
      </c>
      <c r="M320" s="10">
        <v>0</v>
      </c>
      <c r="N320" s="8" t="s">
        <v>882</v>
      </c>
      <c r="O320" s="8" t="s">
        <v>9</v>
      </c>
      <c r="P320" s="8" t="s">
        <v>1955</v>
      </c>
      <c r="Q320" s="8" t="s">
        <v>1956</v>
      </c>
      <c r="R320" s="8" t="s">
        <v>1956</v>
      </c>
      <c r="S320" s="8" t="s">
        <v>356</v>
      </c>
      <c r="T320" s="8" t="s">
        <v>1172</v>
      </c>
      <c r="U320" s="8" t="s">
        <v>1968</v>
      </c>
      <c r="V320" s="8" t="s">
        <v>1172</v>
      </c>
      <c r="W320" s="8" t="s">
        <v>1969</v>
      </c>
      <c r="X320" s="8" t="s">
        <v>1877</v>
      </c>
      <c r="Y320" s="8" t="s">
        <v>112</v>
      </c>
      <c r="Z320" s="8" t="s">
        <v>2397</v>
      </c>
    </row>
    <row r="321" spans="1:26" ht="36" x14ac:dyDescent="0.3">
      <c r="A321" s="8" t="s">
        <v>2461</v>
      </c>
      <c r="B321" s="8" t="s">
        <v>9</v>
      </c>
      <c r="C321" s="10">
        <v>264292</v>
      </c>
      <c r="D321" s="8" t="s">
        <v>181</v>
      </c>
      <c r="E321" s="8" t="s">
        <v>1986</v>
      </c>
      <c r="F321" s="8" t="s">
        <v>1966</v>
      </c>
      <c r="G321" s="8" t="s">
        <v>9</v>
      </c>
      <c r="H321" s="8" t="s">
        <v>352</v>
      </c>
      <c r="I321" s="8" t="s">
        <v>1729</v>
      </c>
      <c r="J321" s="8" t="s">
        <v>2447</v>
      </c>
      <c r="K321" s="8" t="s">
        <v>384</v>
      </c>
      <c r="L321" s="8" t="s">
        <v>930</v>
      </c>
      <c r="M321" s="10">
        <v>0</v>
      </c>
      <c r="N321" s="8" t="s">
        <v>931</v>
      </c>
      <c r="O321" s="8" t="s">
        <v>9</v>
      </c>
      <c r="P321" s="8" t="s">
        <v>1955</v>
      </c>
      <c r="Q321" s="8" t="s">
        <v>1956</v>
      </c>
      <c r="R321" s="8" t="s">
        <v>1956</v>
      </c>
      <c r="S321" s="8" t="s">
        <v>356</v>
      </c>
      <c r="T321" s="8" t="s">
        <v>1172</v>
      </c>
      <c r="U321" s="8" t="s">
        <v>1968</v>
      </c>
      <c r="V321" s="8" t="s">
        <v>1172</v>
      </c>
      <c r="W321" s="8" t="s">
        <v>1969</v>
      </c>
      <c r="X321" s="8" t="s">
        <v>1877</v>
      </c>
      <c r="Y321" s="8" t="s">
        <v>112</v>
      </c>
      <c r="Z321" s="8" t="s">
        <v>2397</v>
      </c>
    </row>
    <row r="322" spans="1:26" ht="48" x14ac:dyDescent="0.3">
      <c r="A322" s="8" t="s">
        <v>2462</v>
      </c>
      <c r="B322" s="8" t="s">
        <v>9</v>
      </c>
      <c r="C322" s="10">
        <v>264292</v>
      </c>
      <c r="D322" s="8" t="s">
        <v>181</v>
      </c>
      <c r="E322" s="8" t="s">
        <v>1986</v>
      </c>
      <c r="F322" s="8" t="s">
        <v>1966</v>
      </c>
      <c r="G322" s="8" t="s">
        <v>9</v>
      </c>
      <c r="H322" s="8" t="s">
        <v>352</v>
      </c>
      <c r="I322" s="8" t="s">
        <v>1973</v>
      </c>
      <c r="J322" s="8" t="s">
        <v>2447</v>
      </c>
      <c r="K322" s="8" t="s">
        <v>384</v>
      </c>
      <c r="L322" s="8" t="s">
        <v>862</v>
      </c>
      <c r="M322" s="10">
        <v>0</v>
      </c>
      <c r="N322" s="8" t="s">
        <v>944</v>
      </c>
      <c r="O322" s="8" t="s">
        <v>9</v>
      </c>
      <c r="P322" s="8" t="s">
        <v>1955</v>
      </c>
      <c r="Q322" s="8" t="s">
        <v>1956</v>
      </c>
      <c r="R322" s="8" t="s">
        <v>1956</v>
      </c>
      <c r="S322" s="8" t="s">
        <v>356</v>
      </c>
      <c r="T322" s="8" t="s">
        <v>1172</v>
      </c>
      <c r="U322" s="8" t="s">
        <v>1968</v>
      </c>
      <c r="V322" s="8" t="s">
        <v>1172</v>
      </c>
      <c r="W322" s="8" t="s">
        <v>1969</v>
      </c>
      <c r="X322" s="8" t="s">
        <v>1877</v>
      </c>
      <c r="Y322" s="8" t="s">
        <v>112</v>
      </c>
      <c r="Z322" s="8" t="s">
        <v>2397</v>
      </c>
    </row>
    <row r="323" spans="1:26" ht="60" x14ac:dyDescent="0.3">
      <c r="A323" s="8" t="s">
        <v>2463</v>
      </c>
      <c r="B323" s="8" t="s">
        <v>9</v>
      </c>
      <c r="C323" s="10">
        <v>264292</v>
      </c>
      <c r="D323" s="8" t="s">
        <v>181</v>
      </c>
      <c r="E323" s="8" t="s">
        <v>1986</v>
      </c>
      <c r="F323" s="8" t="s">
        <v>1966</v>
      </c>
      <c r="G323" s="8" t="s">
        <v>9</v>
      </c>
      <c r="H323" s="8" t="s">
        <v>352</v>
      </c>
      <c r="I323" s="8" t="s">
        <v>1973</v>
      </c>
      <c r="J323" s="8" t="s">
        <v>2447</v>
      </c>
      <c r="K323" s="8" t="s">
        <v>384</v>
      </c>
      <c r="L323" s="8" t="s">
        <v>914</v>
      </c>
      <c r="M323" s="10">
        <v>0</v>
      </c>
      <c r="N323" s="8" t="s">
        <v>355</v>
      </c>
      <c r="O323" s="8" t="s">
        <v>9</v>
      </c>
      <c r="P323" s="8" t="s">
        <v>1955</v>
      </c>
      <c r="Q323" s="8" t="s">
        <v>1956</v>
      </c>
      <c r="R323" s="8" t="s">
        <v>1956</v>
      </c>
      <c r="S323" s="8" t="s">
        <v>356</v>
      </c>
      <c r="T323" s="8" t="s">
        <v>1172</v>
      </c>
      <c r="U323" s="8" t="s">
        <v>1968</v>
      </c>
      <c r="V323" s="8" t="s">
        <v>1172</v>
      </c>
      <c r="W323" s="8" t="s">
        <v>1969</v>
      </c>
      <c r="X323" s="8" t="s">
        <v>1877</v>
      </c>
      <c r="Y323" s="8" t="s">
        <v>112</v>
      </c>
      <c r="Z323" s="8" t="s">
        <v>2397</v>
      </c>
    </row>
    <row r="324" spans="1:26" ht="24" x14ac:dyDescent="0.3">
      <c r="A324" s="8" t="s">
        <v>2464</v>
      </c>
      <c r="B324" s="8" t="s">
        <v>9</v>
      </c>
      <c r="C324" s="10">
        <v>264292</v>
      </c>
      <c r="D324" s="8" t="s">
        <v>181</v>
      </c>
      <c r="E324" s="8" t="s">
        <v>1986</v>
      </c>
      <c r="F324" s="8" t="s">
        <v>1966</v>
      </c>
      <c r="G324" s="8" t="s">
        <v>9</v>
      </c>
      <c r="H324" s="8" t="s">
        <v>352</v>
      </c>
      <c r="I324" s="8" t="s">
        <v>1973</v>
      </c>
      <c r="J324" s="8" t="s">
        <v>2447</v>
      </c>
      <c r="K324" s="8" t="s">
        <v>384</v>
      </c>
      <c r="L324" s="8" t="s">
        <v>933</v>
      </c>
      <c r="M324" s="10">
        <v>0</v>
      </c>
      <c r="N324" s="8" t="s">
        <v>355</v>
      </c>
      <c r="O324" s="8" t="s">
        <v>9</v>
      </c>
      <c r="P324" s="8" t="s">
        <v>1955</v>
      </c>
      <c r="Q324" s="8" t="s">
        <v>1956</v>
      </c>
      <c r="R324" s="8" t="s">
        <v>1956</v>
      </c>
      <c r="S324" s="8" t="s">
        <v>356</v>
      </c>
      <c r="T324" s="8" t="s">
        <v>1172</v>
      </c>
      <c r="U324" s="8" t="s">
        <v>1968</v>
      </c>
      <c r="V324" s="8" t="s">
        <v>1172</v>
      </c>
      <c r="W324" s="8" t="s">
        <v>1969</v>
      </c>
      <c r="X324" s="8" t="s">
        <v>1877</v>
      </c>
      <c r="Y324" s="8" t="s">
        <v>112</v>
      </c>
      <c r="Z324" s="8" t="s">
        <v>2397</v>
      </c>
    </row>
    <row r="325" spans="1:26" ht="48" x14ac:dyDescent="0.3">
      <c r="A325" s="8" t="s">
        <v>2465</v>
      </c>
      <c r="B325" s="8" t="s">
        <v>9</v>
      </c>
      <c r="C325" s="10">
        <v>264292</v>
      </c>
      <c r="D325" s="8" t="s">
        <v>181</v>
      </c>
      <c r="E325" s="8" t="s">
        <v>1986</v>
      </c>
      <c r="F325" s="8" t="s">
        <v>1966</v>
      </c>
      <c r="G325" s="8" t="s">
        <v>9</v>
      </c>
      <c r="H325" s="8" t="s">
        <v>352</v>
      </c>
      <c r="I325" s="8" t="s">
        <v>1973</v>
      </c>
      <c r="J325" s="8" t="s">
        <v>2447</v>
      </c>
      <c r="K325" s="8" t="s">
        <v>384</v>
      </c>
      <c r="L325" s="8" t="s">
        <v>936</v>
      </c>
      <c r="M325" s="10">
        <v>0</v>
      </c>
      <c r="N325" s="8" t="s">
        <v>956</v>
      </c>
      <c r="O325" s="8" t="s">
        <v>9</v>
      </c>
      <c r="P325" s="8" t="s">
        <v>1955</v>
      </c>
      <c r="Q325" s="8" t="s">
        <v>1956</v>
      </c>
      <c r="R325" s="8" t="s">
        <v>1956</v>
      </c>
      <c r="S325" s="8" t="s">
        <v>356</v>
      </c>
      <c r="T325" s="8" t="s">
        <v>1172</v>
      </c>
      <c r="U325" s="8" t="s">
        <v>1968</v>
      </c>
      <c r="V325" s="8" t="s">
        <v>1172</v>
      </c>
      <c r="W325" s="8" t="s">
        <v>1969</v>
      </c>
      <c r="X325" s="8" t="s">
        <v>1877</v>
      </c>
      <c r="Y325" s="8" t="s">
        <v>112</v>
      </c>
      <c r="Z325" s="8" t="s">
        <v>2397</v>
      </c>
    </row>
    <row r="326" spans="1:26" ht="60" x14ac:dyDescent="0.3">
      <c r="A326" s="8" t="s">
        <v>2466</v>
      </c>
      <c r="B326" s="8" t="s">
        <v>9</v>
      </c>
      <c r="C326" s="10">
        <v>264292</v>
      </c>
      <c r="D326" s="8" t="s">
        <v>181</v>
      </c>
      <c r="E326" s="8" t="s">
        <v>1986</v>
      </c>
      <c r="F326" s="8" t="s">
        <v>1966</v>
      </c>
      <c r="G326" s="8" t="s">
        <v>9</v>
      </c>
      <c r="H326" s="8" t="s">
        <v>352</v>
      </c>
      <c r="I326" s="8" t="s">
        <v>1973</v>
      </c>
      <c r="J326" s="8" t="s">
        <v>2447</v>
      </c>
      <c r="K326" s="8" t="s">
        <v>384</v>
      </c>
      <c r="L326" s="8" t="s">
        <v>938</v>
      </c>
      <c r="M326" s="10">
        <v>0</v>
      </c>
      <c r="N326" s="8" t="s">
        <v>958</v>
      </c>
      <c r="O326" s="8" t="s">
        <v>9</v>
      </c>
      <c r="P326" s="8" t="s">
        <v>1955</v>
      </c>
      <c r="Q326" s="8" t="s">
        <v>1956</v>
      </c>
      <c r="R326" s="8" t="s">
        <v>1956</v>
      </c>
      <c r="S326" s="8" t="s">
        <v>356</v>
      </c>
      <c r="T326" s="8" t="s">
        <v>1172</v>
      </c>
      <c r="U326" s="8" t="s">
        <v>1968</v>
      </c>
      <c r="V326" s="8" t="s">
        <v>1172</v>
      </c>
      <c r="W326" s="8" t="s">
        <v>1969</v>
      </c>
      <c r="X326" s="8" t="s">
        <v>1877</v>
      </c>
      <c r="Y326" s="8" t="s">
        <v>112</v>
      </c>
      <c r="Z326" s="8" t="s">
        <v>2397</v>
      </c>
    </row>
    <row r="327" spans="1:26" ht="36" x14ac:dyDescent="0.3">
      <c r="A327" s="8" t="s">
        <v>2467</v>
      </c>
      <c r="B327" s="8" t="s">
        <v>9</v>
      </c>
      <c r="C327" s="10">
        <v>264292</v>
      </c>
      <c r="D327" s="8" t="s">
        <v>181</v>
      </c>
      <c r="E327" s="8" t="s">
        <v>1986</v>
      </c>
      <c r="F327" s="8" t="s">
        <v>1966</v>
      </c>
      <c r="G327" s="8" t="s">
        <v>9</v>
      </c>
      <c r="H327" s="8" t="s">
        <v>352</v>
      </c>
      <c r="I327" s="8" t="s">
        <v>1973</v>
      </c>
      <c r="J327" s="8" t="s">
        <v>2447</v>
      </c>
      <c r="K327" s="8" t="s">
        <v>384</v>
      </c>
      <c r="L327" s="8" t="s">
        <v>940</v>
      </c>
      <c r="M327" s="10">
        <v>0</v>
      </c>
      <c r="N327" s="8" t="s">
        <v>960</v>
      </c>
      <c r="O327" s="8" t="s">
        <v>9</v>
      </c>
      <c r="P327" s="8" t="s">
        <v>1955</v>
      </c>
      <c r="Q327" s="8" t="s">
        <v>1956</v>
      </c>
      <c r="R327" s="8" t="s">
        <v>1956</v>
      </c>
      <c r="S327" s="8" t="s">
        <v>356</v>
      </c>
      <c r="T327" s="8" t="s">
        <v>1172</v>
      </c>
      <c r="U327" s="8" t="s">
        <v>1968</v>
      </c>
      <c r="V327" s="8" t="s">
        <v>1172</v>
      </c>
      <c r="W327" s="8" t="s">
        <v>1969</v>
      </c>
      <c r="X327" s="8" t="s">
        <v>1877</v>
      </c>
      <c r="Y327" s="8" t="s">
        <v>112</v>
      </c>
      <c r="Z327" s="8" t="s">
        <v>2397</v>
      </c>
    </row>
    <row r="328" spans="1:26" ht="36" x14ac:dyDescent="0.3">
      <c r="A328" s="8" t="s">
        <v>2468</v>
      </c>
      <c r="B328" s="8" t="s">
        <v>9</v>
      </c>
      <c r="C328" s="10">
        <v>264292</v>
      </c>
      <c r="D328" s="8" t="s">
        <v>181</v>
      </c>
      <c r="E328" s="8" t="s">
        <v>1986</v>
      </c>
      <c r="F328" s="8" t="s">
        <v>1966</v>
      </c>
      <c r="G328" s="8" t="s">
        <v>9</v>
      </c>
      <c r="H328" s="8" t="s">
        <v>352</v>
      </c>
      <c r="I328" s="8" t="s">
        <v>1973</v>
      </c>
      <c r="J328" s="8" t="s">
        <v>2447</v>
      </c>
      <c r="K328" s="8" t="s">
        <v>384</v>
      </c>
      <c r="L328" s="8" t="s">
        <v>942</v>
      </c>
      <c r="M328" s="10">
        <v>0</v>
      </c>
      <c r="N328" s="8" t="s">
        <v>962</v>
      </c>
      <c r="O328" s="8" t="s">
        <v>9</v>
      </c>
      <c r="P328" s="8" t="s">
        <v>1955</v>
      </c>
      <c r="Q328" s="8" t="s">
        <v>1956</v>
      </c>
      <c r="R328" s="8" t="s">
        <v>1956</v>
      </c>
      <c r="S328" s="8" t="s">
        <v>356</v>
      </c>
      <c r="T328" s="8" t="s">
        <v>1172</v>
      </c>
      <c r="U328" s="8" t="s">
        <v>1968</v>
      </c>
      <c r="V328" s="8" t="s">
        <v>1172</v>
      </c>
      <c r="W328" s="8" t="s">
        <v>1969</v>
      </c>
      <c r="X328" s="8" t="s">
        <v>1877</v>
      </c>
      <c r="Y328" s="8" t="s">
        <v>112</v>
      </c>
      <c r="Z328" s="8" t="s">
        <v>2397</v>
      </c>
    </row>
    <row r="329" spans="1:26" ht="60" x14ac:dyDescent="0.3">
      <c r="A329" s="8" t="s">
        <v>2469</v>
      </c>
      <c r="B329" s="8" t="s">
        <v>9</v>
      </c>
      <c r="C329" s="10">
        <v>264292</v>
      </c>
      <c r="D329" s="8" t="s">
        <v>181</v>
      </c>
      <c r="E329" s="8" t="s">
        <v>1986</v>
      </c>
      <c r="F329" s="8" t="s">
        <v>1966</v>
      </c>
      <c r="G329" s="8" t="s">
        <v>9</v>
      </c>
      <c r="H329" s="8" t="s">
        <v>352</v>
      </c>
      <c r="I329" s="8" t="s">
        <v>1973</v>
      </c>
      <c r="J329" s="8" t="s">
        <v>2447</v>
      </c>
      <c r="K329" s="8" t="s">
        <v>384</v>
      </c>
      <c r="L329" s="8" t="s">
        <v>916</v>
      </c>
      <c r="M329" s="10">
        <v>0</v>
      </c>
      <c r="N329" s="8" t="s">
        <v>355</v>
      </c>
      <c r="O329" s="8" t="s">
        <v>9</v>
      </c>
      <c r="P329" s="8" t="s">
        <v>1955</v>
      </c>
      <c r="Q329" s="8" t="s">
        <v>1956</v>
      </c>
      <c r="R329" s="8" t="s">
        <v>1956</v>
      </c>
      <c r="S329" s="8" t="s">
        <v>356</v>
      </c>
      <c r="T329" s="8" t="s">
        <v>1172</v>
      </c>
      <c r="U329" s="8" t="s">
        <v>1968</v>
      </c>
      <c r="V329" s="8" t="s">
        <v>1172</v>
      </c>
      <c r="W329" s="8" t="s">
        <v>1969</v>
      </c>
      <c r="X329" s="8" t="s">
        <v>1877</v>
      </c>
      <c r="Y329" s="8" t="s">
        <v>112</v>
      </c>
      <c r="Z329" s="8" t="s">
        <v>2397</v>
      </c>
    </row>
    <row r="330" spans="1:26" ht="60" x14ac:dyDescent="0.3">
      <c r="A330" s="8" t="s">
        <v>2470</v>
      </c>
      <c r="B330" s="8" t="s">
        <v>9</v>
      </c>
      <c r="C330" s="10">
        <v>264292</v>
      </c>
      <c r="D330" s="8" t="s">
        <v>181</v>
      </c>
      <c r="E330" s="8" t="s">
        <v>1986</v>
      </c>
      <c r="F330" s="8" t="s">
        <v>1966</v>
      </c>
      <c r="G330" s="8" t="s">
        <v>9</v>
      </c>
      <c r="H330" s="8" t="s">
        <v>352</v>
      </c>
      <c r="I330" s="8" t="s">
        <v>1973</v>
      </c>
      <c r="J330" s="8" t="s">
        <v>2447</v>
      </c>
      <c r="K330" s="8" t="s">
        <v>384</v>
      </c>
      <c r="L330" s="8" t="s">
        <v>918</v>
      </c>
      <c r="M330" s="10">
        <v>0</v>
      </c>
      <c r="N330" s="8" t="s">
        <v>355</v>
      </c>
      <c r="O330" s="8" t="s">
        <v>9</v>
      </c>
      <c r="P330" s="8" t="s">
        <v>1955</v>
      </c>
      <c r="Q330" s="8" t="s">
        <v>1956</v>
      </c>
      <c r="R330" s="8" t="s">
        <v>1956</v>
      </c>
      <c r="S330" s="8" t="s">
        <v>356</v>
      </c>
      <c r="T330" s="8" t="s">
        <v>1172</v>
      </c>
      <c r="U330" s="8" t="s">
        <v>1968</v>
      </c>
      <c r="V330" s="8" t="s">
        <v>1172</v>
      </c>
      <c r="W330" s="8" t="s">
        <v>1969</v>
      </c>
      <c r="X330" s="8" t="s">
        <v>1877</v>
      </c>
      <c r="Y330" s="8" t="s">
        <v>112</v>
      </c>
      <c r="Z330" s="8" t="s">
        <v>2397</v>
      </c>
    </row>
    <row r="331" spans="1:26" ht="60" x14ac:dyDescent="0.3">
      <c r="A331" s="8" t="s">
        <v>2471</v>
      </c>
      <c r="B331" s="8" t="s">
        <v>9</v>
      </c>
      <c r="C331" s="10">
        <v>264292</v>
      </c>
      <c r="D331" s="8" t="s">
        <v>181</v>
      </c>
      <c r="E331" s="8" t="s">
        <v>1986</v>
      </c>
      <c r="F331" s="8" t="s">
        <v>1966</v>
      </c>
      <c r="G331" s="8" t="s">
        <v>9</v>
      </c>
      <c r="H331" s="8" t="s">
        <v>352</v>
      </c>
      <c r="I331" s="8" t="s">
        <v>1973</v>
      </c>
      <c r="J331" s="8" t="s">
        <v>2447</v>
      </c>
      <c r="K331" s="8" t="s">
        <v>384</v>
      </c>
      <c r="L331" s="8" t="s">
        <v>920</v>
      </c>
      <c r="M331" s="10">
        <v>0</v>
      </c>
      <c r="N331" s="8" t="s">
        <v>355</v>
      </c>
      <c r="O331" s="8" t="s">
        <v>9</v>
      </c>
      <c r="P331" s="8" t="s">
        <v>1955</v>
      </c>
      <c r="Q331" s="8" t="s">
        <v>1956</v>
      </c>
      <c r="R331" s="8" t="s">
        <v>1956</v>
      </c>
      <c r="S331" s="8" t="s">
        <v>356</v>
      </c>
      <c r="T331" s="8" t="s">
        <v>1172</v>
      </c>
      <c r="U331" s="8" t="s">
        <v>1968</v>
      </c>
      <c r="V331" s="8" t="s">
        <v>1172</v>
      </c>
      <c r="W331" s="8" t="s">
        <v>1969</v>
      </c>
      <c r="X331" s="8" t="s">
        <v>1877</v>
      </c>
      <c r="Y331" s="8" t="s">
        <v>112</v>
      </c>
      <c r="Z331" s="8" t="s">
        <v>2397</v>
      </c>
    </row>
    <row r="332" spans="1:26" ht="60" x14ac:dyDescent="0.3">
      <c r="A332" s="8" t="s">
        <v>2472</v>
      </c>
      <c r="B332" s="8" t="s">
        <v>9</v>
      </c>
      <c r="C332" s="10">
        <v>264292</v>
      </c>
      <c r="D332" s="8" t="s">
        <v>181</v>
      </c>
      <c r="E332" s="8" t="s">
        <v>1986</v>
      </c>
      <c r="F332" s="8" t="s">
        <v>1966</v>
      </c>
      <c r="G332" s="8" t="s">
        <v>9</v>
      </c>
      <c r="H332" s="8" t="s">
        <v>352</v>
      </c>
      <c r="I332" s="8" t="s">
        <v>1973</v>
      </c>
      <c r="J332" s="8" t="s">
        <v>2447</v>
      </c>
      <c r="K332" s="8" t="s">
        <v>384</v>
      </c>
      <c r="L332" s="8" t="s">
        <v>922</v>
      </c>
      <c r="M332" s="10">
        <v>0</v>
      </c>
      <c r="N332" s="8" t="s">
        <v>355</v>
      </c>
      <c r="O332" s="8" t="s">
        <v>9</v>
      </c>
      <c r="P332" s="8" t="s">
        <v>1955</v>
      </c>
      <c r="Q332" s="8" t="s">
        <v>1956</v>
      </c>
      <c r="R332" s="8" t="s">
        <v>1956</v>
      </c>
      <c r="S332" s="8" t="s">
        <v>356</v>
      </c>
      <c r="T332" s="8" t="s">
        <v>1172</v>
      </c>
      <c r="U332" s="8" t="s">
        <v>1968</v>
      </c>
      <c r="V332" s="8" t="s">
        <v>1172</v>
      </c>
      <c r="W332" s="8" t="s">
        <v>1969</v>
      </c>
      <c r="X332" s="8" t="s">
        <v>1877</v>
      </c>
      <c r="Y332" s="8" t="s">
        <v>112</v>
      </c>
      <c r="Z332" s="8" t="s">
        <v>2397</v>
      </c>
    </row>
    <row r="333" spans="1:26" ht="36" x14ac:dyDescent="0.3">
      <c r="A333" s="8" t="s">
        <v>2473</v>
      </c>
      <c r="B333" s="8" t="s">
        <v>9</v>
      </c>
      <c r="C333" s="10">
        <v>264292</v>
      </c>
      <c r="D333" s="8" t="s">
        <v>181</v>
      </c>
      <c r="E333" s="8" t="s">
        <v>1986</v>
      </c>
      <c r="F333" s="8" t="s">
        <v>1966</v>
      </c>
      <c r="G333" s="8" t="s">
        <v>9</v>
      </c>
      <c r="H333" s="8" t="s">
        <v>352</v>
      </c>
      <c r="I333" s="8" t="s">
        <v>1973</v>
      </c>
      <c r="J333" s="8" t="s">
        <v>2447</v>
      </c>
      <c r="K333" s="8" t="s">
        <v>384</v>
      </c>
      <c r="L333" s="8" t="s">
        <v>924</v>
      </c>
      <c r="M333" s="10">
        <v>0</v>
      </c>
      <c r="N333" s="8" t="s">
        <v>355</v>
      </c>
      <c r="O333" s="8" t="s">
        <v>9</v>
      </c>
      <c r="P333" s="8" t="s">
        <v>1955</v>
      </c>
      <c r="Q333" s="8" t="s">
        <v>1956</v>
      </c>
      <c r="R333" s="8" t="s">
        <v>1956</v>
      </c>
      <c r="S333" s="8" t="s">
        <v>356</v>
      </c>
      <c r="T333" s="8" t="s">
        <v>1172</v>
      </c>
      <c r="U333" s="8" t="s">
        <v>1968</v>
      </c>
      <c r="V333" s="8" t="s">
        <v>1172</v>
      </c>
      <c r="W333" s="8" t="s">
        <v>1969</v>
      </c>
      <c r="X333" s="8" t="s">
        <v>1877</v>
      </c>
      <c r="Y333" s="8" t="s">
        <v>112</v>
      </c>
      <c r="Z333" s="8" t="s">
        <v>2397</v>
      </c>
    </row>
    <row r="334" spans="1:26" ht="36" x14ac:dyDescent="0.3">
      <c r="A334" s="8" t="s">
        <v>2474</v>
      </c>
      <c r="B334" s="8" t="s">
        <v>9</v>
      </c>
      <c r="C334" s="10">
        <v>264292</v>
      </c>
      <c r="D334" s="8" t="s">
        <v>181</v>
      </c>
      <c r="E334" s="8" t="s">
        <v>1986</v>
      </c>
      <c r="F334" s="8" t="s">
        <v>1966</v>
      </c>
      <c r="G334" s="8" t="s">
        <v>9</v>
      </c>
      <c r="H334" s="8" t="s">
        <v>352</v>
      </c>
      <c r="I334" s="8" t="s">
        <v>1973</v>
      </c>
      <c r="J334" s="8" t="s">
        <v>2447</v>
      </c>
      <c r="K334" s="8" t="s">
        <v>384</v>
      </c>
      <c r="L334" s="8" t="s">
        <v>926</v>
      </c>
      <c r="M334" s="10">
        <v>0</v>
      </c>
      <c r="N334" s="8" t="s">
        <v>355</v>
      </c>
      <c r="O334" s="8" t="s">
        <v>9</v>
      </c>
      <c r="P334" s="8" t="s">
        <v>1955</v>
      </c>
      <c r="Q334" s="8" t="s">
        <v>1956</v>
      </c>
      <c r="R334" s="8" t="s">
        <v>1956</v>
      </c>
      <c r="S334" s="8" t="s">
        <v>356</v>
      </c>
      <c r="T334" s="8" t="s">
        <v>1172</v>
      </c>
      <c r="U334" s="8" t="s">
        <v>1968</v>
      </c>
      <c r="V334" s="8" t="s">
        <v>1172</v>
      </c>
      <c r="W334" s="8" t="s">
        <v>1969</v>
      </c>
      <c r="X334" s="8" t="s">
        <v>1877</v>
      </c>
      <c r="Y334" s="8" t="s">
        <v>112</v>
      </c>
      <c r="Z334" s="8" t="s">
        <v>2397</v>
      </c>
    </row>
    <row r="335" spans="1:26" ht="36" x14ac:dyDescent="0.3">
      <c r="A335" s="8" t="s">
        <v>2475</v>
      </c>
      <c r="B335" s="8" t="s">
        <v>9</v>
      </c>
      <c r="C335" s="10">
        <v>264292</v>
      </c>
      <c r="D335" s="8" t="s">
        <v>181</v>
      </c>
      <c r="E335" s="8" t="s">
        <v>1986</v>
      </c>
      <c r="F335" s="8" t="s">
        <v>1966</v>
      </c>
      <c r="G335" s="8" t="s">
        <v>9</v>
      </c>
      <c r="H335" s="8" t="s">
        <v>352</v>
      </c>
      <c r="I335" s="8" t="s">
        <v>1973</v>
      </c>
      <c r="J335" s="8" t="s">
        <v>2447</v>
      </c>
      <c r="K335" s="8" t="s">
        <v>384</v>
      </c>
      <c r="L335" s="8" t="s">
        <v>928</v>
      </c>
      <c r="M335" s="10">
        <v>0</v>
      </c>
      <c r="N335" s="8" t="s">
        <v>355</v>
      </c>
      <c r="O335" s="8" t="s">
        <v>9</v>
      </c>
      <c r="P335" s="8" t="s">
        <v>1955</v>
      </c>
      <c r="Q335" s="8" t="s">
        <v>1956</v>
      </c>
      <c r="R335" s="8" t="s">
        <v>1956</v>
      </c>
      <c r="S335" s="8" t="s">
        <v>356</v>
      </c>
      <c r="T335" s="8" t="s">
        <v>1172</v>
      </c>
      <c r="U335" s="8" t="s">
        <v>1968</v>
      </c>
      <c r="V335" s="8" t="s">
        <v>1172</v>
      </c>
      <c r="W335" s="8" t="s">
        <v>1969</v>
      </c>
      <c r="X335" s="8" t="s">
        <v>1877</v>
      </c>
      <c r="Y335" s="8" t="s">
        <v>112</v>
      </c>
      <c r="Z335" s="8" t="s">
        <v>2397</v>
      </c>
    </row>
    <row r="336" spans="1:26" ht="36" x14ac:dyDescent="0.3">
      <c r="A336" s="8" t="s">
        <v>2476</v>
      </c>
      <c r="B336" s="8" t="s">
        <v>9</v>
      </c>
      <c r="C336" s="10">
        <v>264292</v>
      </c>
      <c r="D336" s="8" t="s">
        <v>181</v>
      </c>
      <c r="E336" s="8" t="s">
        <v>1986</v>
      </c>
      <c r="F336" s="8" t="s">
        <v>1966</v>
      </c>
      <c r="G336" s="8" t="s">
        <v>9</v>
      </c>
      <c r="H336" s="8" t="s">
        <v>352</v>
      </c>
      <c r="I336" s="8" t="s">
        <v>1973</v>
      </c>
      <c r="J336" s="8" t="s">
        <v>2447</v>
      </c>
      <c r="K336" s="8" t="s">
        <v>384</v>
      </c>
      <c r="L336" s="8" t="s">
        <v>930</v>
      </c>
      <c r="M336" s="10">
        <v>0</v>
      </c>
      <c r="N336" s="8" t="s">
        <v>355</v>
      </c>
      <c r="O336" s="8" t="s">
        <v>9</v>
      </c>
      <c r="P336" s="8" t="s">
        <v>1955</v>
      </c>
      <c r="Q336" s="8" t="s">
        <v>1956</v>
      </c>
      <c r="R336" s="8" t="s">
        <v>1956</v>
      </c>
      <c r="S336" s="8" t="s">
        <v>356</v>
      </c>
      <c r="T336" s="8" t="s">
        <v>1172</v>
      </c>
      <c r="U336" s="8" t="s">
        <v>1968</v>
      </c>
      <c r="V336" s="8" t="s">
        <v>1172</v>
      </c>
      <c r="W336" s="8" t="s">
        <v>1969</v>
      </c>
      <c r="X336" s="8" t="s">
        <v>1877</v>
      </c>
      <c r="Y336" s="8" t="s">
        <v>112</v>
      </c>
      <c r="Z336" s="8" t="s">
        <v>2397</v>
      </c>
    </row>
    <row r="337" spans="1:26" ht="24" x14ac:dyDescent="0.3">
      <c r="A337" s="8" t="s">
        <v>2477</v>
      </c>
      <c r="B337" s="8" t="s">
        <v>9</v>
      </c>
      <c r="C337" s="10">
        <v>325778</v>
      </c>
      <c r="D337" s="8" t="s">
        <v>511</v>
      </c>
      <c r="E337" s="8" t="s">
        <v>1951</v>
      </c>
      <c r="F337" s="8" t="s">
        <v>1952</v>
      </c>
      <c r="G337" s="8" t="s">
        <v>9</v>
      </c>
      <c r="H337" s="8" t="s">
        <v>352</v>
      </c>
      <c r="I337" s="8" t="s">
        <v>1973</v>
      </c>
      <c r="J337" s="8" t="s">
        <v>2478</v>
      </c>
      <c r="K337" s="8" t="s">
        <v>384</v>
      </c>
      <c r="L337" s="8" t="s">
        <v>2232</v>
      </c>
      <c r="M337" s="10">
        <v>0</v>
      </c>
      <c r="N337" s="8" t="s">
        <v>732</v>
      </c>
      <c r="O337" s="8" t="s">
        <v>9</v>
      </c>
      <c r="P337" s="8" t="s">
        <v>1955</v>
      </c>
      <c r="Q337" s="8" t="s">
        <v>1956</v>
      </c>
      <c r="R337" s="8" t="s">
        <v>1956</v>
      </c>
      <c r="S337" s="8" t="s">
        <v>356</v>
      </c>
      <c r="T337" s="8" t="s">
        <v>1172</v>
      </c>
      <c r="U337" s="8" t="s">
        <v>1957</v>
      </c>
      <c r="V337" s="8" t="s">
        <v>283</v>
      </c>
      <c r="W337" s="8" t="s">
        <v>1958</v>
      </c>
      <c r="X337" s="8" t="s">
        <v>355</v>
      </c>
      <c r="Y337" s="8" t="s">
        <v>112</v>
      </c>
      <c r="Z337" s="8" t="s">
        <v>1988</v>
      </c>
    </row>
    <row r="338" spans="1:26" ht="24" x14ac:dyDescent="0.3">
      <c r="A338" s="8" t="s">
        <v>2479</v>
      </c>
      <c r="B338" s="8" t="s">
        <v>9</v>
      </c>
      <c r="C338" s="10">
        <v>325778</v>
      </c>
      <c r="D338" s="8" t="s">
        <v>511</v>
      </c>
      <c r="E338" s="8" t="s">
        <v>1951</v>
      </c>
      <c r="F338" s="8" t="s">
        <v>1952</v>
      </c>
      <c r="G338" s="8" t="s">
        <v>9</v>
      </c>
      <c r="H338" s="8" t="s">
        <v>352</v>
      </c>
      <c r="I338" s="8" t="s">
        <v>1973</v>
      </c>
      <c r="J338" s="8" t="s">
        <v>2478</v>
      </c>
      <c r="K338" s="8" t="s">
        <v>384</v>
      </c>
      <c r="L338" s="8" t="s">
        <v>2480</v>
      </c>
      <c r="M338" s="10">
        <v>0</v>
      </c>
      <c r="N338" s="8" t="s">
        <v>606</v>
      </c>
      <c r="O338" s="8" t="s">
        <v>9</v>
      </c>
      <c r="P338" s="8" t="s">
        <v>1955</v>
      </c>
      <c r="Q338" s="8" t="s">
        <v>1956</v>
      </c>
      <c r="R338" s="8" t="s">
        <v>1956</v>
      </c>
      <c r="S338" s="8" t="s">
        <v>356</v>
      </c>
      <c r="T338" s="8" t="s">
        <v>1172</v>
      </c>
      <c r="U338" s="8" t="s">
        <v>1957</v>
      </c>
      <c r="V338" s="8" t="s">
        <v>283</v>
      </c>
      <c r="W338" s="8" t="s">
        <v>1958</v>
      </c>
      <c r="X338" s="8" t="s">
        <v>355</v>
      </c>
      <c r="Y338" s="8" t="s">
        <v>112</v>
      </c>
      <c r="Z338" s="8" t="s">
        <v>1988</v>
      </c>
    </row>
    <row r="339" spans="1:26" ht="24" x14ac:dyDescent="0.3">
      <c r="A339" s="8" t="s">
        <v>2481</v>
      </c>
      <c r="B339" s="8" t="s">
        <v>9</v>
      </c>
      <c r="C339" s="10">
        <v>325778</v>
      </c>
      <c r="D339" s="8" t="s">
        <v>511</v>
      </c>
      <c r="E339" s="8" t="s">
        <v>1951</v>
      </c>
      <c r="F339" s="8" t="s">
        <v>1952</v>
      </c>
      <c r="G339" s="8" t="s">
        <v>9</v>
      </c>
      <c r="H339" s="8" t="s">
        <v>352</v>
      </c>
      <c r="I339" s="8" t="s">
        <v>1977</v>
      </c>
      <c r="J339" s="8" t="s">
        <v>2482</v>
      </c>
      <c r="K339" s="8" t="s">
        <v>384</v>
      </c>
      <c r="L339" s="8" t="s">
        <v>2232</v>
      </c>
      <c r="M339" s="10">
        <v>0</v>
      </c>
      <c r="N339" s="8" t="s">
        <v>606</v>
      </c>
      <c r="O339" s="8" t="s">
        <v>9</v>
      </c>
      <c r="P339" s="8" t="s">
        <v>1955</v>
      </c>
      <c r="Q339" s="8" t="s">
        <v>1956</v>
      </c>
      <c r="R339" s="8" t="s">
        <v>1956</v>
      </c>
      <c r="S339" s="8" t="s">
        <v>356</v>
      </c>
      <c r="T339" s="8" t="s">
        <v>1172</v>
      </c>
      <c r="U339" s="8" t="s">
        <v>1957</v>
      </c>
      <c r="V339" s="8" t="s">
        <v>283</v>
      </c>
      <c r="W339" s="8" t="s">
        <v>1958</v>
      </c>
      <c r="X339" s="8" t="s">
        <v>355</v>
      </c>
      <c r="Y339" s="8" t="s">
        <v>112</v>
      </c>
      <c r="Z339" s="8" t="s">
        <v>1988</v>
      </c>
    </row>
    <row r="340" spans="1:26" ht="24" x14ac:dyDescent="0.3">
      <c r="A340" s="8" t="s">
        <v>2483</v>
      </c>
      <c r="B340" s="8" t="s">
        <v>9</v>
      </c>
      <c r="C340" s="10">
        <v>325778</v>
      </c>
      <c r="D340" s="8" t="s">
        <v>511</v>
      </c>
      <c r="E340" s="8" t="s">
        <v>1951</v>
      </c>
      <c r="F340" s="8" t="s">
        <v>1952</v>
      </c>
      <c r="G340" s="8" t="s">
        <v>9</v>
      </c>
      <c r="H340" s="8" t="s">
        <v>352</v>
      </c>
      <c r="I340" s="8" t="s">
        <v>1977</v>
      </c>
      <c r="J340" s="8" t="s">
        <v>2482</v>
      </c>
      <c r="K340" s="8" t="s">
        <v>384</v>
      </c>
      <c r="L340" s="8" t="s">
        <v>2480</v>
      </c>
      <c r="M340" s="10">
        <v>0</v>
      </c>
      <c r="N340" s="8" t="s">
        <v>977</v>
      </c>
      <c r="O340" s="8" t="s">
        <v>9</v>
      </c>
      <c r="P340" s="8" t="s">
        <v>1955</v>
      </c>
      <c r="Q340" s="8" t="s">
        <v>1956</v>
      </c>
      <c r="R340" s="8" t="s">
        <v>1956</v>
      </c>
      <c r="S340" s="8" t="s">
        <v>356</v>
      </c>
      <c r="T340" s="8" t="s">
        <v>1172</v>
      </c>
      <c r="U340" s="8" t="s">
        <v>1957</v>
      </c>
      <c r="V340" s="8" t="s">
        <v>283</v>
      </c>
      <c r="W340" s="8" t="s">
        <v>1958</v>
      </c>
      <c r="X340" s="8" t="s">
        <v>355</v>
      </c>
      <c r="Y340" s="8" t="s">
        <v>112</v>
      </c>
      <c r="Z340" s="8" t="s">
        <v>1988</v>
      </c>
    </row>
    <row r="341" spans="1:26" ht="24" x14ac:dyDescent="0.3">
      <c r="A341" s="8" t="s">
        <v>2484</v>
      </c>
      <c r="B341" s="8" t="s">
        <v>9</v>
      </c>
      <c r="C341" s="10">
        <v>329797</v>
      </c>
      <c r="D341" s="8" t="s">
        <v>183</v>
      </c>
      <c r="E341" s="8" t="s">
        <v>1951</v>
      </c>
      <c r="F341" s="8" t="s">
        <v>1966</v>
      </c>
      <c r="G341" s="8" t="s">
        <v>9</v>
      </c>
      <c r="H341" s="8" t="s">
        <v>352</v>
      </c>
      <c r="I341" s="8" t="s">
        <v>1729</v>
      </c>
      <c r="J341" s="8" t="s">
        <v>2485</v>
      </c>
      <c r="K341" s="8" t="s">
        <v>384</v>
      </c>
      <c r="L341" s="8" t="s">
        <v>964</v>
      </c>
      <c r="M341" s="10">
        <v>0</v>
      </c>
      <c r="N341" s="8" t="s">
        <v>732</v>
      </c>
      <c r="O341" s="8" t="s">
        <v>9</v>
      </c>
      <c r="P341" s="8" t="s">
        <v>1955</v>
      </c>
      <c r="Q341" s="8" t="s">
        <v>1956</v>
      </c>
      <c r="R341" s="8" t="s">
        <v>1956</v>
      </c>
      <c r="S341" s="8" t="s">
        <v>356</v>
      </c>
      <c r="T341" s="8" t="s">
        <v>1172</v>
      </c>
      <c r="U341" s="8" t="s">
        <v>1968</v>
      </c>
      <c r="V341" s="8" t="s">
        <v>1172</v>
      </c>
      <c r="W341" s="8" t="s">
        <v>1969</v>
      </c>
      <c r="X341" s="8" t="s">
        <v>1882</v>
      </c>
      <c r="Y341" s="8" t="s">
        <v>112</v>
      </c>
      <c r="Z341" s="8" t="s">
        <v>1959</v>
      </c>
    </row>
    <row r="342" spans="1:26" ht="24" x14ac:dyDescent="0.3">
      <c r="A342" s="8" t="s">
        <v>2486</v>
      </c>
      <c r="B342" s="8" t="s">
        <v>9</v>
      </c>
      <c r="C342" s="10">
        <v>292740</v>
      </c>
      <c r="D342" s="8" t="s">
        <v>514</v>
      </c>
      <c r="E342" s="8" t="s">
        <v>1951</v>
      </c>
      <c r="F342" s="8" t="s">
        <v>1952</v>
      </c>
      <c r="G342" s="8" t="s">
        <v>9</v>
      </c>
      <c r="H342" s="8" t="s">
        <v>352</v>
      </c>
      <c r="I342" s="8" t="s">
        <v>1729</v>
      </c>
      <c r="J342" s="8" t="s">
        <v>355</v>
      </c>
      <c r="K342" s="8" t="s">
        <v>357</v>
      </c>
      <c r="L342" s="8" t="s">
        <v>852</v>
      </c>
      <c r="M342" s="10">
        <v>0</v>
      </c>
      <c r="N342" s="8" t="s">
        <v>606</v>
      </c>
      <c r="O342" s="8" t="s">
        <v>9</v>
      </c>
      <c r="P342" s="8" t="s">
        <v>1956</v>
      </c>
      <c r="Q342" s="8" t="s">
        <v>1956</v>
      </c>
      <c r="R342" s="8" t="s">
        <v>1956</v>
      </c>
      <c r="S342" s="8" t="s">
        <v>356</v>
      </c>
      <c r="T342" s="8" t="s">
        <v>1172</v>
      </c>
      <c r="U342" s="8" t="s">
        <v>1957</v>
      </c>
      <c r="V342" s="8" t="s">
        <v>283</v>
      </c>
      <c r="W342" s="8" t="s">
        <v>1958</v>
      </c>
      <c r="X342" s="8" t="s">
        <v>355</v>
      </c>
      <c r="Y342" s="8" t="s">
        <v>112</v>
      </c>
      <c r="Z342" s="8" t="s">
        <v>2487</v>
      </c>
    </row>
    <row r="343" spans="1:26" ht="24" x14ac:dyDescent="0.3">
      <c r="A343" s="8" t="s">
        <v>2488</v>
      </c>
      <c r="B343" s="8" t="s">
        <v>9</v>
      </c>
      <c r="C343" s="10">
        <v>320521</v>
      </c>
      <c r="D343" s="8" t="s">
        <v>185</v>
      </c>
      <c r="E343" s="8" t="s">
        <v>1986</v>
      </c>
      <c r="F343" s="8" t="s">
        <v>1966</v>
      </c>
      <c r="G343" s="8" t="s">
        <v>9</v>
      </c>
      <c r="H343" s="8" t="s">
        <v>352</v>
      </c>
      <c r="I343" s="8" t="s">
        <v>1729</v>
      </c>
      <c r="J343" s="8" t="s">
        <v>355</v>
      </c>
      <c r="K343" s="8" t="s">
        <v>357</v>
      </c>
      <c r="L343" s="8" t="s">
        <v>966</v>
      </c>
      <c r="M343" s="10">
        <v>851933</v>
      </c>
      <c r="N343" s="8" t="s">
        <v>967</v>
      </c>
      <c r="O343" s="8" t="s">
        <v>9</v>
      </c>
      <c r="P343" s="8" t="s">
        <v>1956</v>
      </c>
      <c r="Q343" s="8" t="s">
        <v>1956</v>
      </c>
      <c r="R343" s="8" t="s">
        <v>1956</v>
      </c>
      <c r="S343" s="8" t="s">
        <v>356</v>
      </c>
      <c r="T343" s="8" t="s">
        <v>1172</v>
      </c>
      <c r="U343" s="8" t="s">
        <v>1968</v>
      </c>
      <c r="V343" s="8" t="s">
        <v>1172</v>
      </c>
      <c r="W343" s="8" t="s">
        <v>1969</v>
      </c>
      <c r="X343" s="8" t="s">
        <v>1887</v>
      </c>
      <c r="Y343" s="8" t="s">
        <v>112</v>
      </c>
      <c r="Z343" s="8" t="s">
        <v>1988</v>
      </c>
    </row>
    <row r="344" spans="1:26" ht="24" x14ac:dyDescent="0.3">
      <c r="A344" s="8" t="s">
        <v>2489</v>
      </c>
      <c r="B344" s="8" t="s">
        <v>9</v>
      </c>
      <c r="C344" s="10">
        <v>320521</v>
      </c>
      <c r="D344" s="8" t="s">
        <v>185</v>
      </c>
      <c r="E344" s="8" t="s">
        <v>1986</v>
      </c>
      <c r="F344" s="8" t="s">
        <v>1966</v>
      </c>
      <c r="G344" s="8" t="s">
        <v>9</v>
      </c>
      <c r="H344" s="8" t="s">
        <v>352</v>
      </c>
      <c r="I344" s="8" t="s">
        <v>1973</v>
      </c>
      <c r="J344" s="8" t="s">
        <v>355</v>
      </c>
      <c r="K344" s="8" t="s">
        <v>357</v>
      </c>
      <c r="L344" s="8" t="s">
        <v>966</v>
      </c>
      <c r="M344" s="10">
        <v>851934</v>
      </c>
      <c r="N344" s="8" t="s">
        <v>969</v>
      </c>
      <c r="O344" s="8" t="s">
        <v>9</v>
      </c>
      <c r="P344" s="8" t="s">
        <v>1956</v>
      </c>
      <c r="Q344" s="8" t="s">
        <v>1956</v>
      </c>
      <c r="R344" s="8" t="s">
        <v>1956</v>
      </c>
      <c r="S344" s="8" t="s">
        <v>356</v>
      </c>
      <c r="T344" s="8" t="s">
        <v>1172</v>
      </c>
      <c r="U344" s="8" t="s">
        <v>1968</v>
      </c>
      <c r="V344" s="8" t="s">
        <v>1172</v>
      </c>
      <c r="W344" s="8" t="s">
        <v>1969</v>
      </c>
      <c r="X344" s="8" t="s">
        <v>1887</v>
      </c>
      <c r="Y344" s="8" t="s">
        <v>112</v>
      </c>
      <c r="Z344" s="8" t="s">
        <v>1988</v>
      </c>
    </row>
    <row r="345" spans="1:26" ht="48" x14ac:dyDescent="0.3">
      <c r="A345" s="8" t="s">
        <v>2490</v>
      </c>
      <c r="B345" s="8" t="s">
        <v>9</v>
      </c>
      <c r="C345" s="10">
        <v>301381</v>
      </c>
      <c r="D345" s="8" t="s">
        <v>517</v>
      </c>
      <c r="E345" s="8" t="s">
        <v>1986</v>
      </c>
      <c r="F345" s="8" t="s">
        <v>1952</v>
      </c>
      <c r="G345" s="8" t="s">
        <v>9</v>
      </c>
      <c r="H345" s="8" t="s">
        <v>352</v>
      </c>
      <c r="I345" s="8" t="s">
        <v>1729</v>
      </c>
      <c r="J345" s="8" t="s">
        <v>2491</v>
      </c>
      <c r="K345" s="8" t="s">
        <v>384</v>
      </c>
      <c r="L345" s="8" t="s">
        <v>2492</v>
      </c>
      <c r="M345" s="10">
        <v>0</v>
      </c>
      <c r="N345" s="8" t="s">
        <v>606</v>
      </c>
      <c r="O345" s="8" t="s">
        <v>9</v>
      </c>
      <c r="P345" s="8" t="s">
        <v>1955</v>
      </c>
      <c r="Q345" s="8" t="s">
        <v>1956</v>
      </c>
      <c r="R345" s="8" t="s">
        <v>1956</v>
      </c>
      <c r="S345" s="8" t="s">
        <v>356</v>
      </c>
      <c r="T345" s="8" t="s">
        <v>1172</v>
      </c>
      <c r="U345" s="8" t="s">
        <v>1957</v>
      </c>
      <c r="V345" s="8" t="s">
        <v>283</v>
      </c>
      <c r="W345" s="8" t="s">
        <v>1958</v>
      </c>
      <c r="X345" s="8" t="s">
        <v>355</v>
      </c>
      <c r="Y345" s="8" t="s">
        <v>112</v>
      </c>
      <c r="Z345" s="8" t="s">
        <v>1959</v>
      </c>
    </row>
    <row r="346" spans="1:26" ht="36" x14ac:dyDescent="0.3">
      <c r="A346" s="8" t="s">
        <v>2493</v>
      </c>
      <c r="B346" s="8" t="s">
        <v>9</v>
      </c>
      <c r="C346" s="10">
        <v>301381</v>
      </c>
      <c r="D346" s="8" t="s">
        <v>517</v>
      </c>
      <c r="E346" s="8" t="s">
        <v>1986</v>
      </c>
      <c r="F346" s="8" t="s">
        <v>1952</v>
      </c>
      <c r="G346" s="8" t="s">
        <v>9</v>
      </c>
      <c r="H346" s="8" t="s">
        <v>352</v>
      </c>
      <c r="I346" s="8" t="s">
        <v>1729</v>
      </c>
      <c r="J346" s="8" t="s">
        <v>2491</v>
      </c>
      <c r="K346" s="8" t="s">
        <v>384</v>
      </c>
      <c r="L346" s="8" t="s">
        <v>2494</v>
      </c>
      <c r="M346" s="10">
        <v>0</v>
      </c>
      <c r="N346" s="8" t="s">
        <v>606</v>
      </c>
      <c r="O346" s="8" t="s">
        <v>9</v>
      </c>
      <c r="P346" s="8" t="s">
        <v>1955</v>
      </c>
      <c r="Q346" s="8" t="s">
        <v>1956</v>
      </c>
      <c r="R346" s="8" t="s">
        <v>1956</v>
      </c>
      <c r="S346" s="8" t="s">
        <v>356</v>
      </c>
      <c r="T346" s="8" t="s">
        <v>1172</v>
      </c>
      <c r="U346" s="8" t="s">
        <v>1957</v>
      </c>
      <c r="V346" s="8" t="s">
        <v>283</v>
      </c>
      <c r="W346" s="8" t="s">
        <v>1958</v>
      </c>
      <c r="X346" s="8" t="s">
        <v>355</v>
      </c>
      <c r="Y346" s="8" t="s">
        <v>112</v>
      </c>
      <c r="Z346" s="8" t="s">
        <v>1959</v>
      </c>
    </row>
    <row r="347" spans="1:26" ht="48" x14ac:dyDescent="0.3">
      <c r="A347" s="8" t="s">
        <v>2495</v>
      </c>
      <c r="B347" s="8" t="s">
        <v>9</v>
      </c>
      <c r="C347" s="10">
        <v>301381</v>
      </c>
      <c r="D347" s="8" t="s">
        <v>517</v>
      </c>
      <c r="E347" s="8" t="s">
        <v>1986</v>
      </c>
      <c r="F347" s="8" t="s">
        <v>1952</v>
      </c>
      <c r="G347" s="8" t="s">
        <v>9</v>
      </c>
      <c r="H347" s="8" t="s">
        <v>352</v>
      </c>
      <c r="I347" s="8" t="s">
        <v>1729</v>
      </c>
      <c r="J347" s="8" t="s">
        <v>2491</v>
      </c>
      <c r="K347" s="8" t="s">
        <v>384</v>
      </c>
      <c r="L347" s="8" t="s">
        <v>2496</v>
      </c>
      <c r="M347" s="10">
        <v>0</v>
      </c>
      <c r="N347" s="8" t="s">
        <v>606</v>
      </c>
      <c r="O347" s="8" t="s">
        <v>9</v>
      </c>
      <c r="P347" s="8" t="s">
        <v>1955</v>
      </c>
      <c r="Q347" s="8" t="s">
        <v>1956</v>
      </c>
      <c r="R347" s="8" t="s">
        <v>1956</v>
      </c>
      <c r="S347" s="8" t="s">
        <v>356</v>
      </c>
      <c r="T347" s="8" t="s">
        <v>1172</v>
      </c>
      <c r="U347" s="8" t="s">
        <v>1957</v>
      </c>
      <c r="V347" s="8" t="s">
        <v>283</v>
      </c>
      <c r="W347" s="8" t="s">
        <v>1958</v>
      </c>
      <c r="X347" s="8" t="s">
        <v>355</v>
      </c>
      <c r="Y347" s="8" t="s">
        <v>112</v>
      </c>
      <c r="Z347" s="8" t="s">
        <v>1959</v>
      </c>
    </row>
    <row r="348" spans="1:26" ht="36" x14ac:dyDescent="0.3">
      <c r="A348" s="8" t="s">
        <v>2497</v>
      </c>
      <c r="B348" s="8" t="s">
        <v>9</v>
      </c>
      <c r="C348" s="10">
        <v>301381</v>
      </c>
      <c r="D348" s="8" t="s">
        <v>517</v>
      </c>
      <c r="E348" s="8" t="s">
        <v>1986</v>
      </c>
      <c r="F348" s="8" t="s">
        <v>1952</v>
      </c>
      <c r="G348" s="8" t="s">
        <v>9</v>
      </c>
      <c r="H348" s="8" t="s">
        <v>352</v>
      </c>
      <c r="I348" s="8" t="s">
        <v>1729</v>
      </c>
      <c r="J348" s="8" t="s">
        <v>2491</v>
      </c>
      <c r="K348" s="8" t="s">
        <v>384</v>
      </c>
      <c r="L348" s="8" t="s">
        <v>2498</v>
      </c>
      <c r="M348" s="10">
        <v>0</v>
      </c>
      <c r="N348" s="8" t="s">
        <v>606</v>
      </c>
      <c r="O348" s="8" t="s">
        <v>9</v>
      </c>
      <c r="P348" s="8" t="s">
        <v>1955</v>
      </c>
      <c r="Q348" s="8" t="s">
        <v>1956</v>
      </c>
      <c r="R348" s="8" t="s">
        <v>1956</v>
      </c>
      <c r="S348" s="8" t="s">
        <v>356</v>
      </c>
      <c r="T348" s="8" t="s">
        <v>1172</v>
      </c>
      <c r="U348" s="8" t="s">
        <v>1957</v>
      </c>
      <c r="V348" s="8" t="s">
        <v>283</v>
      </c>
      <c r="W348" s="8" t="s">
        <v>1958</v>
      </c>
      <c r="X348" s="8" t="s">
        <v>355</v>
      </c>
      <c r="Y348" s="8" t="s">
        <v>112</v>
      </c>
      <c r="Z348" s="8" t="s">
        <v>1959</v>
      </c>
    </row>
    <row r="349" spans="1:26" ht="48" x14ac:dyDescent="0.3">
      <c r="A349" s="8" t="s">
        <v>2499</v>
      </c>
      <c r="B349" s="8" t="s">
        <v>9</v>
      </c>
      <c r="C349" s="10">
        <v>301381</v>
      </c>
      <c r="D349" s="8" t="s">
        <v>517</v>
      </c>
      <c r="E349" s="8" t="s">
        <v>1986</v>
      </c>
      <c r="F349" s="8" t="s">
        <v>1952</v>
      </c>
      <c r="G349" s="8" t="s">
        <v>9</v>
      </c>
      <c r="H349" s="8" t="s">
        <v>352</v>
      </c>
      <c r="I349" s="8" t="s">
        <v>1729</v>
      </c>
      <c r="J349" s="8" t="s">
        <v>2491</v>
      </c>
      <c r="K349" s="8" t="s">
        <v>384</v>
      </c>
      <c r="L349" s="8" t="s">
        <v>2500</v>
      </c>
      <c r="M349" s="10">
        <v>0</v>
      </c>
      <c r="N349" s="8" t="s">
        <v>606</v>
      </c>
      <c r="O349" s="8" t="s">
        <v>9</v>
      </c>
      <c r="P349" s="8" t="s">
        <v>1955</v>
      </c>
      <c r="Q349" s="8" t="s">
        <v>1956</v>
      </c>
      <c r="R349" s="8" t="s">
        <v>1956</v>
      </c>
      <c r="S349" s="8" t="s">
        <v>356</v>
      </c>
      <c r="T349" s="8" t="s">
        <v>1172</v>
      </c>
      <c r="U349" s="8" t="s">
        <v>1957</v>
      </c>
      <c r="V349" s="8" t="s">
        <v>283</v>
      </c>
      <c r="W349" s="8" t="s">
        <v>1958</v>
      </c>
      <c r="X349" s="8" t="s">
        <v>355</v>
      </c>
      <c r="Y349" s="8" t="s">
        <v>112</v>
      </c>
      <c r="Z349" s="8" t="s">
        <v>1959</v>
      </c>
    </row>
    <row r="350" spans="1:26" ht="48" x14ac:dyDescent="0.3">
      <c r="A350" s="8" t="s">
        <v>2501</v>
      </c>
      <c r="B350" s="8" t="s">
        <v>9</v>
      </c>
      <c r="C350" s="10">
        <v>301381</v>
      </c>
      <c r="D350" s="8" t="s">
        <v>517</v>
      </c>
      <c r="E350" s="8" t="s">
        <v>1986</v>
      </c>
      <c r="F350" s="8" t="s">
        <v>1952</v>
      </c>
      <c r="G350" s="8" t="s">
        <v>9</v>
      </c>
      <c r="H350" s="8" t="s">
        <v>352</v>
      </c>
      <c r="I350" s="8" t="s">
        <v>1729</v>
      </c>
      <c r="J350" s="8" t="s">
        <v>2491</v>
      </c>
      <c r="K350" s="8" t="s">
        <v>384</v>
      </c>
      <c r="L350" s="8" t="s">
        <v>2502</v>
      </c>
      <c r="M350" s="10">
        <v>0</v>
      </c>
      <c r="N350" s="8" t="s">
        <v>606</v>
      </c>
      <c r="O350" s="8" t="s">
        <v>9</v>
      </c>
      <c r="P350" s="8" t="s">
        <v>1955</v>
      </c>
      <c r="Q350" s="8" t="s">
        <v>1956</v>
      </c>
      <c r="R350" s="8" t="s">
        <v>1956</v>
      </c>
      <c r="S350" s="8" t="s">
        <v>356</v>
      </c>
      <c r="T350" s="8" t="s">
        <v>1172</v>
      </c>
      <c r="U350" s="8" t="s">
        <v>1957</v>
      </c>
      <c r="V350" s="8" t="s">
        <v>283</v>
      </c>
      <c r="W350" s="8" t="s">
        <v>1958</v>
      </c>
      <c r="X350" s="8" t="s">
        <v>355</v>
      </c>
      <c r="Y350" s="8" t="s">
        <v>112</v>
      </c>
      <c r="Z350" s="8" t="s">
        <v>1959</v>
      </c>
    </row>
    <row r="351" spans="1:26" ht="36" x14ac:dyDescent="0.3">
      <c r="A351" s="8" t="s">
        <v>2503</v>
      </c>
      <c r="B351" s="8" t="s">
        <v>9</v>
      </c>
      <c r="C351" s="10">
        <v>301381</v>
      </c>
      <c r="D351" s="8" t="s">
        <v>517</v>
      </c>
      <c r="E351" s="8" t="s">
        <v>1986</v>
      </c>
      <c r="F351" s="8" t="s">
        <v>1952</v>
      </c>
      <c r="G351" s="8" t="s">
        <v>9</v>
      </c>
      <c r="H351" s="8" t="s">
        <v>352</v>
      </c>
      <c r="I351" s="8" t="s">
        <v>1729</v>
      </c>
      <c r="J351" s="8" t="s">
        <v>2491</v>
      </c>
      <c r="K351" s="8" t="s">
        <v>384</v>
      </c>
      <c r="L351" s="8" t="s">
        <v>2504</v>
      </c>
      <c r="M351" s="10">
        <v>0</v>
      </c>
      <c r="N351" s="8" t="s">
        <v>606</v>
      </c>
      <c r="O351" s="8" t="s">
        <v>9</v>
      </c>
      <c r="P351" s="8" t="s">
        <v>1955</v>
      </c>
      <c r="Q351" s="8" t="s">
        <v>1956</v>
      </c>
      <c r="R351" s="8" t="s">
        <v>1956</v>
      </c>
      <c r="S351" s="8" t="s">
        <v>356</v>
      </c>
      <c r="T351" s="8" t="s">
        <v>1172</v>
      </c>
      <c r="U351" s="8" t="s">
        <v>1957</v>
      </c>
      <c r="V351" s="8" t="s">
        <v>283</v>
      </c>
      <c r="W351" s="8" t="s">
        <v>1958</v>
      </c>
      <c r="X351" s="8" t="s">
        <v>355</v>
      </c>
      <c r="Y351" s="8" t="s">
        <v>112</v>
      </c>
      <c r="Z351" s="8" t="s">
        <v>1959</v>
      </c>
    </row>
    <row r="352" spans="1:26" ht="48" x14ac:dyDescent="0.3">
      <c r="A352" s="8" t="s">
        <v>2505</v>
      </c>
      <c r="B352" s="8" t="s">
        <v>9</v>
      </c>
      <c r="C352" s="10">
        <v>301381</v>
      </c>
      <c r="D352" s="8" t="s">
        <v>517</v>
      </c>
      <c r="E352" s="8" t="s">
        <v>1986</v>
      </c>
      <c r="F352" s="8" t="s">
        <v>1952</v>
      </c>
      <c r="G352" s="8" t="s">
        <v>9</v>
      </c>
      <c r="H352" s="8" t="s">
        <v>352</v>
      </c>
      <c r="I352" s="8" t="s">
        <v>1729</v>
      </c>
      <c r="J352" s="8" t="s">
        <v>2491</v>
      </c>
      <c r="K352" s="8" t="s">
        <v>384</v>
      </c>
      <c r="L352" s="8" t="s">
        <v>2506</v>
      </c>
      <c r="M352" s="10">
        <v>0</v>
      </c>
      <c r="N352" s="8" t="s">
        <v>606</v>
      </c>
      <c r="O352" s="8" t="s">
        <v>9</v>
      </c>
      <c r="P352" s="8" t="s">
        <v>1955</v>
      </c>
      <c r="Q352" s="8" t="s">
        <v>1956</v>
      </c>
      <c r="R352" s="8" t="s">
        <v>1956</v>
      </c>
      <c r="S352" s="8" t="s">
        <v>356</v>
      </c>
      <c r="T352" s="8" t="s">
        <v>1172</v>
      </c>
      <c r="U352" s="8" t="s">
        <v>1957</v>
      </c>
      <c r="V352" s="8" t="s">
        <v>283</v>
      </c>
      <c r="W352" s="8" t="s">
        <v>1958</v>
      </c>
      <c r="X352" s="8" t="s">
        <v>355</v>
      </c>
      <c r="Y352" s="8" t="s">
        <v>112</v>
      </c>
      <c r="Z352" s="8" t="s">
        <v>1959</v>
      </c>
    </row>
    <row r="353" spans="1:26" ht="36" x14ac:dyDescent="0.3">
      <c r="A353" s="8" t="s">
        <v>2507</v>
      </c>
      <c r="B353" s="8" t="s">
        <v>9</v>
      </c>
      <c r="C353" s="10">
        <v>301381</v>
      </c>
      <c r="D353" s="8" t="s">
        <v>517</v>
      </c>
      <c r="E353" s="8" t="s">
        <v>1986</v>
      </c>
      <c r="F353" s="8" t="s">
        <v>1952</v>
      </c>
      <c r="G353" s="8" t="s">
        <v>9</v>
      </c>
      <c r="H353" s="8" t="s">
        <v>352</v>
      </c>
      <c r="I353" s="8" t="s">
        <v>1729</v>
      </c>
      <c r="J353" s="8" t="s">
        <v>2491</v>
      </c>
      <c r="K353" s="8" t="s">
        <v>384</v>
      </c>
      <c r="L353" s="8" t="s">
        <v>2508</v>
      </c>
      <c r="M353" s="10">
        <v>0</v>
      </c>
      <c r="N353" s="8" t="s">
        <v>606</v>
      </c>
      <c r="O353" s="8" t="s">
        <v>9</v>
      </c>
      <c r="P353" s="8" t="s">
        <v>1955</v>
      </c>
      <c r="Q353" s="8" t="s">
        <v>1956</v>
      </c>
      <c r="R353" s="8" t="s">
        <v>1956</v>
      </c>
      <c r="S353" s="8" t="s">
        <v>356</v>
      </c>
      <c r="T353" s="8" t="s">
        <v>1172</v>
      </c>
      <c r="U353" s="8" t="s">
        <v>1957</v>
      </c>
      <c r="V353" s="8" t="s">
        <v>283</v>
      </c>
      <c r="W353" s="8" t="s">
        <v>1958</v>
      </c>
      <c r="X353" s="8" t="s">
        <v>355</v>
      </c>
      <c r="Y353" s="8" t="s">
        <v>112</v>
      </c>
      <c r="Z353" s="8" t="s">
        <v>1959</v>
      </c>
    </row>
    <row r="354" spans="1:26" ht="24" x14ac:dyDescent="0.3">
      <c r="A354" s="8" t="s">
        <v>2509</v>
      </c>
      <c r="B354" s="8" t="s">
        <v>9</v>
      </c>
      <c r="C354" s="10">
        <v>301381</v>
      </c>
      <c r="D354" s="8" t="s">
        <v>517</v>
      </c>
      <c r="E354" s="8" t="s">
        <v>1986</v>
      </c>
      <c r="F354" s="8" t="s">
        <v>1952</v>
      </c>
      <c r="G354" s="8" t="s">
        <v>9</v>
      </c>
      <c r="H354" s="8" t="s">
        <v>352</v>
      </c>
      <c r="I354" s="8" t="s">
        <v>1729</v>
      </c>
      <c r="J354" s="8" t="s">
        <v>2491</v>
      </c>
      <c r="K354" s="8" t="s">
        <v>384</v>
      </c>
      <c r="L354" s="8" t="s">
        <v>2510</v>
      </c>
      <c r="M354" s="10">
        <v>0</v>
      </c>
      <c r="N354" s="8" t="s">
        <v>606</v>
      </c>
      <c r="O354" s="8" t="s">
        <v>9</v>
      </c>
      <c r="P354" s="8" t="s">
        <v>1955</v>
      </c>
      <c r="Q354" s="8" t="s">
        <v>1956</v>
      </c>
      <c r="R354" s="8" t="s">
        <v>1956</v>
      </c>
      <c r="S354" s="8" t="s">
        <v>356</v>
      </c>
      <c r="T354" s="8" t="s">
        <v>1172</v>
      </c>
      <c r="U354" s="8" t="s">
        <v>1957</v>
      </c>
      <c r="V354" s="8" t="s">
        <v>283</v>
      </c>
      <c r="W354" s="8" t="s">
        <v>1958</v>
      </c>
      <c r="X354" s="8" t="s">
        <v>355</v>
      </c>
      <c r="Y354" s="8" t="s">
        <v>112</v>
      </c>
      <c r="Z354" s="8" t="s">
        <v>1959</v>
      </c>
    </row>
    <row r="355" spans="1:26" ht="36" x14ac:dyDescent="0.3">
      <c r="A355" s="8" t="s">
        <v>2511</v>
      </c>
      <c r="B355" s="8" t="s">
        <v>9</v>
      </c>
      <c r="C355" s="10">
        <v>301381</v>
      </c>
      <c r="D355" s="8" t="s">
        <v>517</v>
      </c>
      <c r="E355" s="8" t="s">
        <v>1986</v>
      </c>
      <c r="F355" s="8" t="s">
        <v>1952</v>
      </c>
      <c r="G355" s="8" t="s">
        <v>9</v>
      </c>
      <c r="H355" s="8" t="s">
        <v>352</v>
      </c>
      <c r="I355" s="8" t="s">
        <v>1729</v>
      </c>
      <c r="J355" s="8" t="s">
        <v>2491</v>
      </c>
      <c r="K355" s="8" t="s">
        <v>384</v>
      </c>
      <c r="L355" s="8" t="s">
        <v>2512</v>
      </c>
      <c r="M355" s="10">
        <v>0</v>
      </c>
      <c r="N355" s="8" t="s">
        <v>606</v>
      </c>
      <c r="O355" s="8" t="s">
        <v>9</v>
      </c>
      <c r="P355" s="8" t="s">
        <v>1955</v>
      </c>
      <c r="Q355" s="8" t="s">
        <v>1956</v>
      </c>
      <c r="R355" s="8" t="s">
        <v>1956</v>
      </c>
      <c r="S355" s="8" t="s">
        <v>356</v>
      </c>
      <c r="T355" s="8" t="s">
        <v>1172</v>
      </c>
      <c r="U355" s="8" t="s">
        <v>1957</v>
      </c>
      <c r="V355" s="8" t="s">
        <v>283</v>
      </c>
      <c r="W355" s="8" t="s">
        <v>1958</v>
      </c>
      <c r="X355" s="8" t="s">
        <v>355</v>
      </c>
      <c r="Y355" s="8" t="s">
        <v>112</v>
      </c>
      <c r="Z355" s="8" t="s">
        <v>1959</v>
      </c>
    </row>
    <row r="356" spans="1:26" ht="24" x14ac:dyDescent="0.3">
      <c r="A356" s="8" t="s">
        <v>2513</v>
      </c>
      <c r="B356" s="8" t="s">
        <v>9</v>
      </c>
      <c r="C356" s="10">
        <v>301381</v>
      </c>
      <c r="D356" s="8" t="s">
        <v>517</v>
      </c>
      <c r="E356" s="8" t="s">
        <v>1986</v>
      </c>
      <c r="F356" s="8" t="s">
        <v>1952</v>
      </c>
      <c r="G356" s="8" t="s">
        <v>9</v>
      </c>
      <c r="H356" s="8" t="s">
        <v>352</v>
      </c>
      <c r="I356" s="8" t="s">
        <v>1729</v>
      </c>
      <c r="J356" s="8" t="s">
        <v>2491</v>
      </c>
      <c r="K356" s="8" t="s">
        <v>384</v>
      </c>
      <c r="L356" s="8" t="s">
        <v>2514</v>
      </c>
      <c r="M356" s="10">
        <v>0</v>
      </c>
      <c r="N356" s="8" t="s">
        <v>606</v>
      </c>
      <c r="O356" s="8" t="s">
        <v>9</v>
      </c>
      <c r="P356" s="8" t="s">
        <v>1955</v>
      </c>
      <c r="Q356" s="8" t="s">
        <v>1956</v>
      </c>
      <c r="R356" s="8" t="s">
        <v>1956</v>
      </c>
      <c r="S356" s="8" t="s">
        <v>356</v>
      </c>
      <c r="T356" s="8" t="s">
        <v>1172</v>
      </c>
      <c r="U356" s="8" t="s">
        <v>1957</v>
      </c>
      <c r="V356" s="8" t="s">
        <v>283</v>
      </c>
      <c r="W356" s="8" t="s">
        <v>1958</v>
      </c>
      <c r="X356" s="8" t="s">
        <v>355</v>
      </c>
      <c r="Y356" s="8" t="s">
        <v>112</v>
      </c>
      <c r="Z356" s="8" t="s">
        <v>1959</v>
      </c>
    </row>
    <row r="357" spans="1:26" ht="36" x14ac:dyDescent="0.3">
      <c r="A357" s="8" t="s">
        <v>2515</v>
      </c>
      <c r="B357" s="8" t="s">
        <v>9</v>
      </c>
      <c r="C357" s="10">
        <v>301381</v>
      </c>
      <c r="D357" s="8" t="s">
        <v>517</v>
      </c>
      <c r="E357" s="8" t="s">
        <v>1986</v>
      </c>
      <c r="F357" s="8" t="s">
        <v>1952</v>
      </c>
      <c r="G357" s="8" t="s">
        <v>9</v>
      </c>
      <c r="H357" s="8" t="s">
        <v>352</v>
      </c>
      <c r="I357" s="8" t="s">
        <v>1729</v>
      </c>
      <c r="J357" s="8" t="s">
        <v>2491</v>
      </c>
      <c r="K357" s="8" t="s">
        <v>384</v>
      </c>
      <c r="L357" s="8" t="s">
        <v>2516</v>
      </c>
      <c r="M357" s="10">
        <v>0</v>
      </c>
      <c r="N357" s="8" t="s">
        <v>606</v>
      </c>
      <c r="O357" s="8" t="s">
        <v>9</v>
      </c>
      <c r="P357" s="8" t="s">
        <v>1955</v>
      </c>
      <c r="Q357" s="8" t="s">
        <v>1956</v>
      </c>
      <c r="R357" s="8" t="s">
        <v>1956</v>
      </c>
      <c r="S357" s="8" t="s">
        <v>356</v>
      </c>
      <c r="T357" s="8" t="s">
        <v>1172</v>
      </c>
      <c r="U357" s="8" t="s">
        <v>1957</v>
      </c>
      <c r="V357" s="8" t="s">
        <v>283</v>
      </c>
      <c r="W357" s="8" t="s">
        <v>1958</v>
      </c>
      <c r="X357" s="8" t="s">
        <v>355</v>
      </c>
      <c r="Y357" s="8" t="s">
        <v>112</v>
      </c>
      <c r="Z357" s="8" t="s">
        <v>1959</v>
      </c>
    </row>
    <row r="358" spans="1:26" ht="36" x14ac:dyDescent="0.3">
      <c r="A358" s="8" t="s">
        <v>2517</v>
      </c>
      <c r="B358" s="8" t="s">
        <v>9</v>
      </c>
      <c r="C358" s="10">
        <v>301381</v>
      </c>
      <c r="D358" s="8" t="s">
        <v>517</v>
      </c>
      <c r="E358" s="8" t="s">
        <v>1986</v>
      </c>
      <c r="F358" s="8" t="s">
        <v>1952</v>
      </c>
      <c r="G358" s="8" t="s">
        <v>9</v>
      </c>
      <c r="H358" s="8" t="s">
        <v>352</v>
      </c>
      <c r="I358" s="8" t="s">
        <v>1729</v>
      </c>
      <c r="J358" s="8" t="s">
        <v>2491</v>
      </c>
      <c r="K358" s="8" t="s">
        <v>384</v>
      </c>
      <c r="L358" s="8" t="s">
        <v>2518</v>
      </c>
      <c r="M358" s="10">
        <v>0</v>
      </c>
      <c r="N358" s="8" t="s">
        <v>606</v>
      </c>
      <c r="O358" s="8" t="s">
        <v>9</v>
      </c>
      <c r="P358" s="8" t="s">
        <v>1955</v>
      </c>
      <c r="Q358" s="8" t="s">
        <v>1956</v>
      </c>
      <c r="R358" s="8" t="s">
        <v>1956</v>
      </c>
      <c r="S358" s="8" t="s">
        <v>356</v>
      </c>
      <c r="T358" s="8" t="s">
        <v>1172</v>
      </c>
      <c r="U358" s="8" t="s">
        <v>1957</v>
      </c>
      <c r="V358" s="8" t="s">
        <v>283</v>
      </c>
      <c r="W358" s="8" t="s">
        <v>1958</v>
      </c>
      <c r="X358" s="8" t="s">
        <v>355</v>
      </c>
      <c r="Y358" s="8" t="s">
        <v>112</v>
      </c>
      <c r="Z358" s="8" t="s">
        <v>1959</v>
      </c>
    </row>
    <row r="359" spans="1:26" ht="36" x14ac:dyDescent="0.3">
      <c r="A359" s="8" t="s">
        <v>2519</v>
      </c>
      <c r="B359" s="8" t="s">
        <v>9</v>
      </c>
      <c r="C359" s="10">
        <v>301381</v>
      </c>
      <c r="D359" s="8" t="s">
        <v>517</v>
      </c>
      <c r="E359" s="8" t="s">
        <v>1986</v>
      </c>
      <c r="F359" s="8" t="s">
        <v>1952</v>
      </c>
      <c r="G359" s="8" t="s">
        <v>9</v>
      </c>
      <c r="H359" s="8" t="s">
        <v>352</v>
      </c>
      <c r="I359" s="8" t="s">
        <v>1729</v>
      </c>
      <c r="J359" s="8" t="s">
        <v>2491</v>
      </c>
      <c r="K359" s="8" t="s">
        <v>384</v>
      </c>
      <c r="L359" s="8" t="s">
        <v>2520</v>
      </c>
      <c r="M359" s="10">
        <v>0</v>
      </c>
      <c r="N359" s="8" t="s">
        <v>606</v>
      </c>
      <c r="O359" s="8" t="s">
        <v>9</v>
      </c>
      <c r="P359" s="8" t="s">
        <v>1955</v>
      </c>
      <c r="Q359" s="8" t="s">
        <v>1956</v>
      </c>
      <c r="R359" s="8" t="s">
        <v>1956</v>
      </c>
      <c r="S359" s="8" t="s">
        <v>356</v>
      </c>
      <c r="T359" s="8" t="s">
        <v>1172</v>
      </c>
      <c r="U359" s="8" t="s">
        <v>1957</v>
      </c>
      <c r="V359" s="8" t="s">
        <v>283</v>
      </c>
      <c r="W359" s="8" t="s">
        <v>1958</v>
      </c>
      <c r="X359" s="8" t="s">
        <v>355</v>
      </c>
      <c r="Y359" s="8" t="s">
        <v>112</v>
      </c>
      <c r="Z359" s="8" t="s">
        <v>1959</v>
      </c>
    </row>
    <row r="360" spans="1:26" ht="48" x14ac:dyDescent="0.3">
      <c r="A360" s="8" t="s">
        <v>2521</v>
      </c>
      <c r="B360" s="8" t="s">
        <v>9</v>
      </c>
      <c r="C360" s="10">
        <v>301381</v>
      </c>
      <c r="D360" s="8" t="s">
        <v>517</v>
      </c>
      <c r="E360" s="8" t="s">
        <v>1986</v>
      </c>
      <c r="F360" s="8" t="s">
        <v>1952</v>
      </c>
      <c r="G360" s="8" t="s">
        <v>9</v>
      </c>
      <c r="H360" s="8" t="s">
        <v>352</v>
      </c>
      <c r="I360" s="8" t="s">
        <v>1729</v>
      </c>
      <c r="J360" s="8" t="s">
        <v>2491</v>
      </c>
      <c r="K360" s="8" t="s">
        <v>384</v>
      </c>
      <c r="L360" s="8" t="s">
        <v>2522</v>
      </c>
      <c r="M360" s="10">
        <v>0</v>
      </c>
      <c r="N360" s="8" t="s">
        <v>606</v>
      </c>
      <c r="O360" s="8" t="s">
        <v>9</v>
      </c>
      <c r="P360" s="8" t="s">
        <v>1955</v>
      </c>
      <c r="Q360" s="8" t="s">
        <v>1956</v>
      </c>
      <c r="R360" s="8" t="s">
        <v>1956</v>
      </c>
      <c r="S360" s="8" t="s">
        <v>356</v>
      </c>
      <c r="T360" s="8" t="s">
        <v>1172</v>
      </c>
      <c r="U360" s="8" t="s">
        <v>1957</v>
      </c>
      <c r="V360" s="8" t="s">
        <v>283</v>
      </c>
      <c r="W360" s="8" t="s">
        <v>1958</v>
      </c>
      <c r="X360" s="8" t="s">
        <v>355</v>
      </c>
      <c r="Y360" s="8" t="s">
        <v>112</v>
      </c>
      <c r="Z360" s="8" t="s">
        <v>1959</v>
      </c>
    </row>
    <row r="361" spans="1:26" ht="48" x14ac:dyDescent="0.3">
      <c r="A361" s="8" t="s">
        <v>2523</v>
      </c>
      <c r="B361" s="8" t="s">
        <v>9</v>
      </c>
      <c r="C361" s="10">
        <v>301381</v>
      </c>
      <c r="D361" s="8" t="s">
        <v>517</v>
      </c>
      <c r="E361" s="8" t="s">
        <v>1986</v>
      </c>
      <c r="F361" s="8" t="s">
        <v>1952</v>
      </c>
      <c r="G361" s="8" t="s">
        <v>9</v>
      </c>
      <c r="H361" s="8" t="s">
        <v>352</v>
      </c>
      <c r="I361" s="8" t="s">
        <v>1729</v>
      </c>
      <c r="J361" s="8" t="s">
        <v>2491</v>
      </c>
      <c r="K361" s="8" t="s">
        <v>384</v>
      </c>
      <c r="L361" s="8" t="s">
        <v>2524</v>
      </c>
      <c r="M361" s="10">
        <v>0</v>
      </c>
      <c r="N361" s="8" t="s">
        <v>606</v>
      </c>
      <c r="O361" s="8" t="s">
        <v>9</v>
      </c>
      <c r="P361" s="8" t="s">
        <v>1955</v>
      </c>
      <c r="Q361" s="8" t="s">
        <v>1956</v>
      </c>
      <c r="R361" s="8" t="s">
        <v>1956</v>
      </c>
      <c r="S361" s="8" t="s">
        <v>356</v>
      </c>
      <c r="T361" s="8" t="s">
        <v>1172</v>
      </c>
      <c r="U361" s="8" t="s">
        <v>1957</v>
      </c>
      <c r="V361" s="8" t="s">
        <v>283</v>
      </c>
      <c r="W361" s="8" t="s">
        <v>1958</v>
      </c>
      <c r="X361" s="8" t="s">
        <v>355</v>
      </c>
      <c r="Y361" s="8" t="s">
        <v>112</v>
      </c>
      <c r="Z361" s="8" t="s">
        <v>1959</v>
      </c>
    </row>
    <row r="362" spans="1:26" ht="48" x14ac:dyDescent="0.3">
      <c r="A362" s="8" t="s">
        <v>2525</v>
      </c>
      <c r="B362" s="8" t="s">
        <v>9</v>
      </c>
      <c r="C362" s="10">
        <v>301381</v>
      </c>
      <c r="D362" s="8" t="s">
        <v>517</v>
      </c>
      <c r="E362" s="8" t="s">
        <v>1986</v>
      </c>
      <c r="F362" s="8" t="s">
        <v>1952</v>
      </c>
      <c r="G362" s="8" t="s">
        <v>9</v>
      </c>
      <c r="H362" s="8" t="s">
        <v>352</v>
      </c>
      <c r="I362" s="8" t="s">
        <v>1973</v>
      </c>
      <c r="J362" s="8" t="s">
        <v>2491</v>
      </c>
      <c r="K362" s="8" t="s">
        <v>384</v>
      </c>
      <c r="L362" s="8" t="s">
        <v>2492</v>
      </c>
      <c r="M362" s="10">
        <v>0</v>
      </c>
      <c r="N362" s="8" t="s">
        <v>2526</v>
      </c>
      <c r="O362" s="8" t="s">
        <v>9</v>
      </c>
      <c r="P362" s="8" t="s">
        <v>1955</v>
      </c>
      <c r="Q362" s="8" t="s">
        <v>1956</v>
      </c>
      <c r="R362" s="8" t="s">
        <v>1956</v>
      </c>
      <c r="S362" s="8" t="s">
        <v>356</v>
      </c>
      <c r="T362" s="8" t="s">
        <v>1172</v>
      </c>
      <c r="U362" s="8" t="s">
        <v>1957</v>
      </c>
      <c r="V362" s="8" t="s">
        <v>283</v>
      </c>
      <c r="W362" s="8" t="s">
        <v>1958</v>
      </c>
      <c r="X362" s="8" t="s">
        <v>355</v>
      </c>
      <c r="Y362" s="8" t="s">
        <v>112</v>
      </c>
      <c r="Z362" s="8" t="s">
        <v>1959</v>
      </c>
    </row>
    <row r="363" spans="1:26" ht="36" x14ac:dyDescent="0.3">
      <c r="A363" s="8" t="s">
        <v>2527</v>
      </c>
      <c r="B363" s="8" t="s">
        <v>9</v>
      </c>
      <c r="C363" s="10">
        <v>301381</v>
      </c>
      <c r="D363" s="8" t="s">
        <v>517</v>
      </c>
      <c r="E363" s="8" t="s">
        <v>1986</v>
      </c>
      <c r="F363" s="8" t="s">
        <v>1952</v>
      </c>
      <c r="G363" s="8" t="s">
        <v>9</v>
      </c>
      <c r="H363" s="8" t="s">
        <v>352</v>
      </c>
      <c r="I363" s="8" t="s">
        <v>1973</v>
      </c>
      <c r="J363" s="8" t="s">
        <v>2491</v>
      </c>
      <c r="K363" s="8" t="s">
        <v>384</v>
      </c>
      <c r="L363" s="8" t="s">
        <v>2494</v>
      </c>
      <c r="M363" s="10">
        <v>0</v>
      </c>
      <c r="N363" s="8" t="s">
        <v>2528</v>
      </c>
      <c r="O363" s="8" t="s">
        <v>9</v>
      </c>
      <c r="P363" s="8" t="s">
        <v>1955</v>
      </c>
      <c r="Q363" s="8" t="s">
        <v>1956</v>
      </c>
      <c r="R363" s="8" t="s">
        <v>1956</v>
      </c>
      <c r="S363" s="8" t="s">
        <v>356</v>
      </c>
      <c r="T363" s="8" t="s">
        <v>1172</v>
      </c>
      <c r="U363" s="8" t="s">
        <v>1957</v>
      </c>
      <c r="V363" s="8" t="s">
        <v>283</v>
      </c>
      <c r="W363" s="8" t="s">
        <v>1958</v>
      </c>
      <c r="X363" s="8" t="s">
        <v>355</v>
      </c>
      <c r="Y363" s="8" t="s">
        <v>112</v>
      </c>
      <c r="Z363" s="8" t="s">
        <v>1959</v>
      </c>
    </row>
    <row r="364" spans="1:26" ht="48" x14ac:dyDescent="0.3">
      <c r="A364" s="8" t="s">
        <v>2529</v>
      </c>
      <c r="B364" s="8" t="s">
        <v>9</v>
      </c>
      <c r="C364" s="10">
        <v>301381</v>
      </c>
      <c r="D364" s="8" t="s">
        <v>517</v>
      </c>
      <c r="E364" s="8" t="s">
        <v>1986</v>
      </c>
      <c r="F364" s="8" t="s">
        <v>1952</v>
      </c>
      <c r="G364" s="8" t="s">
        <v>9</v>
      </c>
      <c r="H364" s="8" t="s">
        <v>352</v>
      </c>
      <c r="I364" s="8" t="s">
        <v>1973</v>
      </c>
      <c r="J364" s="8" t="s">
        <v>2491</v>
      </c>
      <c r="K364" s="8" t="s">
        <v>384</v>
      </c>
      <c r="L364" s="8" t="s">
        <v>2496</v>
      </c>
      <c r="M364" s="10">
        <v>0</v>
      </c>
      <c r="N364" s="8" t="s">
        <v>2530</v>
      </c>
      <c r="O364" s="8" t="s">
        <v>9</v>
      </c>
      <c r="P364" s="8" t="s">
        <v>1955</v>
      </c>
      <c r="Q364" s="8" t="s">
        <v>1956</v>
      </c>
      <c r="R364" s="8" t="s">
        <v>1956</v>
      </c>
      <c r="S364" s="8" t="s">
        <v>356</v>
      </c>
      <c r="T364" s="8" t="s">
        <v>1172</v>
      </c>
      <c r="U364" s="8" t="s">
        <v>1957</v>
      </c>
      <c r="V364" s="8" t="s">
        <v>283</v>
      </c>
      <c r="W364" s="8" t="s">
        <v>1958</v>
      </c>
      <c r="X364" s="8" t="s">
        <v>355</v>
      </c>
      <c r="Y364" s="8" t="s">
        <v>112</v>
      </c>
      <c r="Z364" s="8" t="s">
        <v>1959</v>
      </c>
    </row>
    <row r="365" spans="1:26" ht="36" x14ac:dyDescent="0.3">
      <c r="A365" s="8" t="s">
        <v>2531</v>
      </c>
      <c r="B365" s="8" t="s">
        <v>9</v>
      </c>
      <c r="C365" s="10">
        <v>301381</v>
      </c>
      <c r="D365" s="8" t="s">
        <v>517</v>
      </c>
      <c r="E365" s="8" t="s">
        <v>1986</v>
      </c>
      <c r="F365" s="8" t="s">
        <v>1952</v>
      </c>
      <c r="G365" s="8" t="s">
        <v>9</v>
      </c>
      <c r="H365" s="8" t="s">
        <v>352</v>
      </c>
      <c r="I365" s="8" t="s">
        <v>1973</v>
      </c>
      <c r="J365" s="8" t="s">
        <v>2491</v>
      </c>
      <c r="K365" s="8" t="s">
        <v>384</v>
      </c>
      <c r="L365" s="8" t="s">
        <v>2498</v>
      </c>
      <c r="M365" s="10">
        <v>0</v>
      </c>
      <c r="N365" s="8" t="s">
        <v>2532</v>
      </c>
      <c r="O365" s="8" t="s">
        <v>9</v>
      </c>
      <c r="P365" s="8" t="s">
        <v>1955</v>
      </c>
      <c r="Q365" s="8" t="s">
        <v>1956</v>
      </c>
      <c r="R365" s="8" t="s">
        <v>1956</v>
      </c>
      <c r="S365" s="8" t="s">
        <v>356</v>
      </c>
      <c r="T365" s="8" t="s">
        <v>1172</v>
      </c>
      <c r="U365" s="8" t="s">
        <v>1957</v>
      </c>
      <c r="V365" s="8" t="s">
        <v>283</v>
      </c>
      <c r="W365" s="8" t="s">
        <v>1958</v>
      </c>
      <c r="X365" s="8" t="s">
        <v>355</v>
      </c>
      <c r="Y365" s="8" t="s">
        <v>112</v>
      </c>
      <c r="Z365" s="8" t="s">
        <v>1959</v>
      </c>
    </row>
    <row r="366" spans="1:26" ht="48" x14ac:dyDescent="0.3">
      <c r="A366" s="8" t="s">
        <v>2533</v>
      </c>
      <c r="B366" s="8" t="s">
        <v>9</v>
      </c>
      <c r="C366" s="10">
        <v>301381</v>
      </c>
      <c r="D366" s="8" t="s">
        <v>517</v>
      </c>
      <c r="E366" s="8" t="s">
        <v>1986</v>
      </c>
      <c r="F366" s="8" t="s">
        <v>1952</v>
      </c>
      <c r="G366" s="8" t="s">
        <v>9</v>
      </c>
      <c r="H366" s="8" t="s">
        <v>352</v>
      </c>
      <c r="I366" s="8" t="s">
        <v>1973</v>
      </c>
      <c r="J366" s="8" t="s">
        <v>2491</v>
      </c>
      <c r="K366" s="8" t="s">
        <v>384</v>
      </c>
      <c r="L366" s="8" t="s">
        <v>2500</v>
      </c>
      <c r="M366" s="10">
        <v>0</v>
      </c>
      <c r="N366" s="8" t="s">
        <v>2534</v>
      </c>
      <c r="O366" s="8" t="s">
        <v>9</v>
      </c>
      <c r="P366" s="8" t="s">
        <v>1955</v>
      </c>
      <c r="Q366" s="8" t="s">
        <v>1956</v>
      </c>
      <c r="R366" s="8" t="s">
        <v>1956</v>
      </c>
      <c r="S366" s="8" t="s">
        <v>356</v>
      </c>
      <c r="T366" s="8" t="s">
        <v>1172</v>
      </c>
      <c r="U366" s="8" t="s">
        <v>1957</v>
      </c>
      <c r="V366" s="8" t="s">
        <v>283</v>
      </c>
      <c r="W366" s="8" t="s">
        <v>1958</v>
      </c>
      <c r="X366" s="8" t="s">
        <v>355</v>
      </c>
      <c r="Y366" s="8" t="s">
        <v>112</v>
      </c>
      <c r="Z366" s="8" t="s">
        <v>1959</v>
      </c>
    </row>
    <row r="367" spans="1:26" ht="48" x14ac:dyDescent="0.3">
      <c r="A367" s="8" t="s">
        <v>2535</v>
      </c>
      <c r="B367" s="8" t="s">
        <v>9</v>
      </c>
      <c r="C367" s="10">
        <v>301381</v>
      </c>
      <c r="D367" s="8" t="s">
        <v>517</v>
      </c>
      <c r="E367" s="8" t="s">
        <v>1986</v>
      </c>
      <c r="F367" s="8" t="s">
        <v>1952</v>
      </c>
      <c r="G367" s="8" t="s">
        <v>9</v>
      </c>
      <c r="H367" s="8" t="s">
        <v>352</v>
      </c>
      <c r="I367" s="8" t="s">
        <v>1973</v>
      </c>
      <c r="J367" s="8" t="s">
        <v>2491</v>
      </c>
      <c r="K367" s="8" t="s">
        <v>384</v>
      </c>
      <c r="L367" s="8" t="s">
        <v>2502</v>
      </c>
      <c r="M367" s="10">
        <v>0</v>
      </c>
      <c r="N367" s="8" t="s">
        <v>2536</v>
      </c>
      <c r="O367" s="8" t="s">
        <v>9</v>
      </c>
      <c r="P367" s="8" t="s">
        <v>1955</v>
      </c>
      <c r="Q367" s="8" t="s">
        <v>1956</v>
      </c>
      <c r="R367" s="8" t="s">
        <v>1956</v>
      </c>
      <c r="S367" s="8" t="s">
        <v>356</v>
      </c>
      <c r="T367" s="8" t="s">
        <v>1172</v>
      </c>
      <c r="U367" s="8" t="s">
        <v>1957</v>
      </c>
      <c r="V367" s="8" t="s">
        <v>283</v>
      </c>
      <c r="W367" s="8" t="s">
        <v>1958</v>
      </c>
      <c r="X367" s="8" t="s">
        <v>355</v>
      </c>
      <c r="Y367" s="8" t="s">
        <v>112</v>
      </c>
      <c r="Z367" s="8" t="s">
        <v>1959</v>
      </c>
    </row>
    <row r="368" spans="1:26" ht="36" x14ac:dyDescent="0.3">
      <c r="A368" s="8" t="s">
        <v>2537</v>
      </c>
      <c r="B368" s="8" t="s">
        <v>9</v>
      </c>
      <c r="C368" s="10">
        <v>301381</v>
      </c>
      <c r="D368" s="8" t="s">
        <v>517</v>
      </c>
      <c r="E368" s="8" t="s">
        <v>1986</v>
      </c>
      <c r="F368" s="8" t="s">
        <v>1952</v>
      </c>
      <c r="G368" s="8" t="s">
        <v>9</v>
      </c>
      <c r="H368" s="8" t="s">
        <v>352</v>
      </c>
      <c r="I368" s="8" t="s">
        <v>1973</v>
      </c>
      <c r="J368" s="8" t="s">
        <v>2491</v>
      </c>
      <c r="K368" s="8" t="s">
        <v>384</v>
      </c>
      <c r="L368" s="8" t="s">
        <v>2504</v>
      </c>
      <c r="M368" s="10">
        <v>0</v>
      </c>
      <c r="N368" s="8" t="s">
        <v>2538</v>
      </c>
      <c r="O368" s="8" t="s">
        <v>9</v>
      </c>
      <c r="P368" s="8" t="s">
        <v>1955</v>
      </c>
      <c r="Q368" s="8" t="s">
        <v>1956</v>
      </c>
      <c r="R368" s="8" t="s">
        <v>1956</v>
      </c>
      <c r="S368" s="8" t="s">
        <v>356</v>
      </c>
      <c r="T368" s="8" t="s">
        <v>1172</v>
      </c>
      <c r="U368" s="8" t="s">
        <v>1957</v>
      </c>
      <c r="V368" s="8" t="s">
        <v>283</v>
      </c>
      <c r="W368" s="8" t="s">
        <v>1958</v>
      </c>
      <c r="X368" s="8" t="s">
        <v>355</v>
      </c>
      <c r="Y368" s="8" t="s">
        <v>112</v>
      </c>
      <c r="Z368" s="8" t="s">
        <v>1959</v>
      </c>
    </row>
    <row r="369" spans="1:26" ht="48" x14ac:dyDescent="0.3">
      <c r="A369" s="8" t="s">
        <v>2539</v>
      </c>
      <c r="B369" s="8" t="s">
        <v>9</v>
      </c>
      <c r="C369" s="10">
        <v>301381</v>
      </c>
      <c r="D369" s="8" t="s">
        <v>517</v>
      </c>
      <c r="E369" s="8" t="s">
        <v>1986</v>
      </c>
      <c r="F369" s="8" t="s">
        <v>1952</v>
      </c>
      <c r="G369" s="8" t="s">
        <v>9</v>
      </c>
      <c r="H369" s="8" t="s">
        <v>352</v>
      </c>
      <c r="I369" s="8" t="s">
        <v>1973</v>
      </c>
      <c r="J369" s="8" t="s">
        <v>2491</v>
      </c>
      <c r="K369" s="8" t="s">
        <v>384</v>
      </c>
      <c r="L369" s="8" t="s">
        <v>2506</v>
      </c>
      <c r="M369" s="10">
        <v>0</v>
      </c>
      <c r="N369" s="8" t="s">
        <v>2540</v>
      </c>
      <c r="O369" s="8" t="s">
        <v>9</v>
      </c>
      <c r="P369" s="8" t="s">
        <v>1955</v>
      </c>
      <c r="Q369" s="8" t="s">
        <v>1956</v>
      </c>
      <c r="R369" s="8" t="s">
        <v>1956</v>
      </c>
      <c r="S369" s="8" t="s">
        <v>356</v>
      </c>
      <c r="T369" s="8" t="s">
        <v>1172</v>
      </c>
      <c r="U369" s="8" t="s">
        <v>1957</v>
      </c>
      <c r="V369" s="8" t="s">
        <v>283</v>
      </c>
      <c r="W369" s="8" t="s">
        <v>1958</v>
      </c>
      <c r="X369" s="8" t="s">
        <v>355</v>
      </c>
      <c r="Y369" s="8" t="s">
        <v>112</v>
      </c>
      <c r="Z369" s="8" t="s">
        <v>1959</v>
      </c>
    </row>
    <row r="370" spans="1:26" ht="36" x14ac:dyDescent="0.3">
      <c r="A370" s="8" t="s">
        <v>2541</v>
      </c>
      <c r="B370" s="8" t="s">
        <v>9</v>
      </c>
      <c r="C370" s="10">
        <v>301381</v>
      </c>
      <c r="D370" s="8" t="s">
        <v>517</v>
      </c>
      <c r="E370" s="8" t="s">
        <v>1986</v>
      </c>
      <c r="F370" s="8" t="s">
        <v>1952</v>
      </c>
      <c r="G370" s="8" t="s">
        <v>9</v>
      </c>
      <c r="H370" s="8" t="s">
        <v>352</v>
      </c>
      <c r="I370" s="8" t="s">
        <v>1973</v>
      </c>
      <c r="J370" s="8" t="s">
        <v>2491</v>
      </c>
      <c r="K370" s="8" t="s">
        <v>384</v>
      </c>
      <c r="L370" s="8" t="s">
        <v>2508</v>
      </c>
      <c r="M370" s="10">
        <v>0</v>
      </c>
      <c r="N370" s="8" t="s">
        <v>860</v>
      </c>
      <c r="O370" s="8" t="s">
        <v>9</v>
      </c>
      <c r="P370" s="8" t="s">
        <v>1955</v>
      </c>
      <c r="Q370" s="8" t="s">
        <v>1956</v>
      </c>
      <c r="R370" s="8" t="s">
        <v>1956</v>
      </c>
      <c r="S370" s="8" t="s">
        <v>356</v>
      </c>
      <c r="T370" s="8" t="s">
        <v>1172</v>
      </c>
      <c r="U370" s="8" t="s">
        <v>1957</v>
      </c>
      <c r="V370" s="8" t="s">
        <v>283</v>
      </c>
      <c r="W370" s="8" t="s">
        <v>1958</v>
      </c>
      <c r="X370" s="8" t="s">
        <v>355</v>
      </c>
      <c r="Y370" s="8" t="s">
        <v>112</v>
      </c>
      <c r="Z370" s="8" t="s">
        <v>1959</v>
      </c>
    </row>
    <row r="371" spans="1:26" ht="24" x14ac:dyDescent="0.3">
      <c r="A371" s="8" t="s">
        <v>2542</v>
      </c>
      <c r="B371" s="8" t="s">
        <v>9</v>
      </c>
      <c r="C371" s="10">
        <v>301381</v>
      </c>
      <c r="D371" s="8" t="s">
        <v>517</v>
      </c>
      <c r="E371" s="8" t="s">
        <v>1986</v>
      </c>
      <c r="F371" s="8" t="s">
        <v>1952</v>
      </c>
      <c r="G371" s="8" t="s">
        <v>9</v>
      </c>
      <c r="H371" s="8" t="s">
        <v>352</v>
      </c>
      <c r="I371" s="8" t="s">
        <v>1973</v>
      </c>
      <c r="J371" s="8" t="s">
        <v>2491</v>
      </c>
      <c r="K371" s="8" t="s">
        <v>384</v>
      </c>
      <c r="L371" s="8" t="s">
        <v>2510</v>
      </c>
      <c r="M371" s="10">
        <v>0</v>
      </c>
      <c r="N371" s="8" t="s">
        <v>2543</v>
      </c>
      <c r="O371" s="8" t="s">
        <v>9</v>
      </c>
      <c r="P371" s="8" t="s">
        <v>1955</v>
      </c>
      <c r="Q371" s="8" t="s">
        <v>1956</v>
      </c>
      <c r="R371" s="8" t="s">
        <v>1956</v>
      </c>
      <c r="S371" s="8" t="s">
        <v>356</v>
      </c>
      <c r="T371" s="8" t="s">
        <v>1172</v>
      </c>
      <c r="U371" s="8" t="s">
        <v>1957</v>
      </c>
      <c r="V371" s="8" t="s">
        <v>283</v>
      </c>
      <c r="W371" s="8" t="s">
        <v>1958</v>
      </c>
      <c r="X371" s="8" t="s">
        <v>355</v>
      </c>
      <c r="Y371" s="8" t="s">
        <v>112</v>
      </c>
      <c r="Z371" s="8" t="s">
        <v>1959</v>
      </c>
    </row>
    <row r="372" spans="1:26" ht="36" x14ac:dyDescent="0.3">
      <c r="A372" s="8" t="s">
        <v>2544</v>
      </c>
      <c r="B372" s="8" t="s">
        <v>9</v>
      </c>
      <c r="C372" s="10">
        <v>301381</v>
      </c>
      <c r="D372" s="8" t="s">
        <v>517</v>
      </c>
      <c r="E372" s="8" t="s">
        <v>1986</v>
      </c>
      <c r="F372" s="8" t="s">
        <v>1952</v>
      </c>
      <c r="G372" s="8" t="s">
        <v>9</v>
      </c>
      <c r="H372" s="8" t="s">
        <v>352</v>
      </c>
      <c r="I372" s="8" t="s">
        <v>1973</v>
      </c>
      <c r="J372" s="8" t="s">
        <v>2491</v>
      </c>
      <c r="K372" s="8" t="s">
        <v>384</v>
      </c>
      <c r="L372" s="8" t="s">
        <v>2512</v>
      </c>
      <c r="M372" s="10">
        <v>0</v>
      </c>
      <c r="N372" s="8" t="s">
        <v>666</v>
      </c>
      <c r="O372" s="8" t="s">
        <v>9</v>
      </c>
      <c r="P372" s="8" t="s">
        <v>1955</v>
      </c>
      <c r="Q372" s="8" t="s">
        <v>1956</v>
      </c>
      <c r="R372" s="8" t="s">
        <v>1956</v>
      </c>
      <c r="S372" s="8" t="s">
        <v>356</v>
      </c>
      <c r="T372" s="8" t="s">
        <v>1172</v>
      </c>
      <c r="U372" s="8" t="s">
        <v>1957</v>
      </c>
      <c r="V372" s="8" t="s">
        <v>283</v>
      </c>
      <c r="W372" s="8" t="s">
        <v>1958</v>
      </c>
      <c r="X372" s="8" t="s">
        <v>355</v>
      </c>
      <c r="Y372" s="8" t="s">
        <v>112</v>
      </c>
      <c r="Z372" s="8" t="s">
        <v>1959</v>
      </c>
    </row>
    <row r="373" spans="1:26" ht="24" x14ac:dyDescent="0.3">
      <c r="A373" s="8" t="s">
        <v>2545</v>
      </c>
      <c r="B373" s="8" t="s">
        <v>9</v>
      </c>
      <c r="C373" s="10">
        <v>301381</v>
      </c>
      <c r="D373" s="8" t="s">
        <v>517</v>
      </c>
      <c r="E373" s="8" t="s">
        <v>1986</v>
      </c>
      <c r="F373" s="8" t="s">
        <v>1952</v>
      </c>
      <c r="G373" s="8" t="s">
        <v>9</v>
      </c>
      <c r="H373" s="8" t="s">
        <v>352</v>
      </c>
      <c r="I373" s="8" t="s">
        <v>1973</v>
      </c>
      <c r="J373" s="8" t="s">
        <v>2491</v>
      </c>
      <c r="K373" s="8" t="s">
        <v>384</v>
      </c>
      <c r="L373" s="8" t="s">
        <v>2514</v>
      </c>
      <c r="M373" s="10">
        <v>0</v>
      </c>
      <c r="N373" s="8" t="s">
        <v>2546</v>
      </c>
      <c r="O373" s="8" t="s">
        <v>9</v>
      </c>
      <c r="P373" s="8" t="s">
        <v>1955</v>
      </c>
      <c r="Q373" s="8" t="s">
        <v>1956</v>
      </c>
      <c r="R373" s="8" t="s">
        <v>1956</v>
      </c>
      <c r="S373" s="8" t="s">
        <v>356</v>
      </c>
      <c r="T373" s="8" t="s">
        <v>1172</v>
      </c>
      <c r="U373" s="8" t="s">
        <v>1957</v>
      </c>
      <c r="V373" s="8" t="s">
        <v>283</v>
      </c>
      <c r="W373" s="8" t="s">
        <v>1958</v>
      </c>
      <c r="X373" s="8" t="s">
        <v>355</v>
      </c>
      <c r="Y373" s="8" t="s">
        <v>112</v>
      </c>
      <c r="Z373" s="8" t="s">
        <v>1959</v>
      </c>
    </row>
    <row r="374" spans="1:26" ht="36" x14ac:dyDescent="0.3">
      <c r="A374" s="8" t="s">
        <v>2547</v>
      </c>
      <c r="B374" s="8" t="s">
        <v>9</v>
      </c>
      <c r="C374" s="10">
        <v>301381</v>
      </c>
      <c r="D374" s="8" t="s">
        <v>517</v>
      </c>
      <c r="E374" s="8" t="s">
        <v>1986</v>
      </c>
      <c r="F374" s="8" t="s">
        <v>1952</v>
      </c>
      <c r="G374" s="8" t="s">
        <v>9</v>
      </c>
      <c r="H374" s="8" t="s">
        <v>352</v>
      </c>
      <c r="I374" s="8" t="s">
        <v>1973</v>
      </c>
      <c r="J374" s="8" t="s">
        <v>2491</v>
      </c>
      <c r="K374" s="8" t="s">
        <v>384</v>
      </c>
      <c r="L374" s="8" t="s">
        <v>2516</v>
      </c>
      <c r="M374" s="10">
        <v>0</v>
      </c>
      <c r="N374" s="8" t="s">
        <v>2548</v>
      </c>
      <c r="O374" s="8" t="s">
        <v>9</v>
      </c>
      <c r="P374" s="8" t="s">
        <v>1955</v>
      </c>
      <c r="Q374" s="8" t="s">
        <v>1956</v>
      </c>
      <c r="R374" s="8" t="s">
        <v>1956</v>
      </c>
      <c r="S374" s="8" t="s">
        <v>356</v>
      </c>
      <c r="T374" s="8" t="s">
        <v>1172</v>
      </c>
      <c r="U374" s="8" t="s">
        <v>1957</v>
      </c>
      <c r="V374" s="8" t="s">
        <v>283</v>
      </c>
      <c r="W374" s="8" t="s">
        <v>1958</v>
      </c>
      <c r="X374" s="8" t="s">
        <v>355</v>
      </c>
      <c r="Y374" s="8" t="s">
        <v>112</v>
      </c>
      <c r="Z374" s="8" t="s">
        <v>1959</v>
      </c>
    </row>
    <row r="375" spans="1:26" ht="36" x14ac:dyDescent="0.3">
      <c r="A375" s="8" t="s">
        <v>2549</v>
      </c>
      <c r="B375" s="8" t="s">
        <v>9</v>
      </c>
      <c r="C375" s="10">
        <v>301381</v>
      </c>
      <c r="D375" s="8" t="s">
        <v>517</v>
      </c>
      <c r="E375" s="8" t="s">
        <v>1986</v>
      </c>
      <c r="F375" s="8" t="s">
        <v>1952</v>
      </c>
      <c r="G375" s="8" t="s">
        <v>9</v>
      </c>
      <c r="H375" s="8" t="s">
        <v>352</v>
      </c>
      <c r="I375" s="8" t="s">
        <v>1973</v>
      </c>
      <c r="J375" s="8" t="s">
        <v>2491</v>
      </c>
      <c r="K375" s="8" t="s">
        <v>384</v>
      </c>
      <c r="L375" s="8" t="s">
        <v>2518</v>
      </c>
      <c r="M375" s="10">
        <v>0</v>
      </c>
      <c r="N375" s="8" t="s">
        <v>2550</v>
      </c>
      <c r="O375" s="8" t="s">
        <v>9</v>
      </c>
      <c r="P375" s="8" t="s">
        <v>1955</v>
      </c>
      <c r="Q375" s="8" t="s">
        <v>1956</v>
      </c>
      <c r="R375" s="8" t="s">
        <v>1956</v>
      </c>
      <c r="S375" s="8" t="s">
        <v>356</v>
      </c>
      <c r="T375" s="8" t="s">
        <v>1172</v>
      </c>
      <c r="U375" s="8" t="s">
        <v>1957</v>
      </c>
      <c r="V375" s="8" t="s">
        <v>283</v>
      </c>
      <c r="W375" s="8" t="s">
        <v>1958</v>
      </c>
      <c r="X375" s="8" t="s">
        <v>355</v>
      </c>
      <c r="Y375" s="8" t="s">
        <v>112</v>
      </c>
      <c r="Z375" s="8" t="s">
        <v>1959</v>
      </c>
    </row>
    <row r="376" spans="1:26" ht="36" x14ac:dyDescent="0.3">
      <c r="A376" s="8" t="s">
        <v>2551</v>
      </c>
      <c r="B376" s="8" t="s">
        <v>9</v>
      </c>
      <c r="C376" s="10">
        <v>301381</v>
      </c>
      <c r="D376" s="8" t="s">
        <v>517</v>
      </c>
      <c r="E376" s="8" t="s">
        <v>1986</v>
      </c>
      <c r="F376" s="8" t="s">
        <v>1952</v>
      </c>
      <c r="G376" s="8" t="s">
        <v>9</v>
      </c>
      <c r="H376" s="8" t="s">
        <v>352</v>
      </c>
      <c r="I376" s="8" t="s">
        <v>1973</v>
      </c>
      <c r="J376" s="8" t="s">
        <v>2491</v>
      </c>
      <c r="K376" s="8" t="s">
        <v>384</v>
      </c>
      <c r="L376" s="8" t="s">
        <v>2520</v>
      </c>
      <c r="M376" s="10">
        <v>0</v>
      </c>
      <c r="N376" s="8" t="s">
        <v>2552</v>
      </c>
      <c r="O376" s="8" t="s">
        <v>9</v>
      </c>
      <c r="P376" s="8" t="s">
        <v>1955</v>
      </c>
      <c r="Q376" s="8" t="s">
        <v>1956</v>
      </c>
      <c r="R376" s="8" t="s">
        <v>1956</v>
      </c>
      <c r="S376" s="8" t="s">
        <v>356</v>
      </c>
      <c r="T376" s="8" t="s">
        <v>1172</v>
      </c>
      <c r="U376" s="8" t="s">
        <v>1957</v>
      </c>
      <c r="V376" s="8" t="s">
        <v>283</v>
      </c>
      <c r="W376" s="8" t="s">
        <v>1958</v>
      </c>
      <c r="X376" s="8" t="s">
        <v>355</v>
      </c>
      <c r="Y376" s="8" t="s">
        <v>112</v>
      </c>
      <c r="Z376" s="8" t="s">
        <v>1959</v>
      </c>
    </row>
    <row r="377" spans="1:26" ht="48" x14ac:dyDescent="0.3">
      <c r="A377" s="8" t="s">
        <v>2553</v>
      </c>
      <c r="B377" s="8" t="s">
        <v>9</v>
      </c>
      <c r="C377" s="10">
        <v>301381</v>
      </c>
      <c r="D377" s="8" t="s">
        <v>517</v>
      </c>
      <c r="E377" s="8" t="s">
        <v>1986</v>
      </c>
      <c r="F377" s="8" t="s">
        <v>1952</v>
      </c>
      <c r="G377" s="8" t="s">
        <v>9</v>
      </c>
      <c r="H377" s="8" t="s">
        <v>352</v>
      </c>
      <c r="I377" s="8" t="s">
        <v>1973</v>
      </c>
      <c r="J377" s="8" t="s">
        <v>2491</v>
      </c>
      <c r="K377" s="8" t="s">
        <v>384</v>
      </c>
      <c r="L377" s="8" t="s">
        <v>2522</v>
      </c>
      <c r="M377" s="10">
        <v>0</v>
      </c>
      <c r="N377" s="8" t="s">
        <v>2554</v>
      </c>
      <c r="O377" s="8" t="s">
        <v>9</v>
      </c>
      <c r="P377" s="8" t="s">
        <v>1955</v>
      </c>
      <c r="Q377" s="8" t="s">
        <v>1956</v>
      </c>
      <c r="R377" s="8" t="s">
        <v>1956</v>
      </c>
      <c r="S377" s="8" t="s">
        <v>356</v>
      </c>
      <c r="T377" s="8" t="s">
        <v>1172</v>
      </c>
      <c r="U377" s="8" t="s">
        <v>1957</v>
      </c>
      <c r="V377" s="8" t="s">
        <v>283</v>
      </c>
      <c r="W377" s="8" t="s">
        <v>1958</v>
      </c>
      <c r="X377" s="8" t="s">
        <v>355</v>
      </c>
      <c r="Y377" s="8" t="s">
        <v>112</v>
      </c>
      <c r="Z377" s="8" t="s">
        <v>1959</v>
      </c>
    </row>
    <row r="378" spans="1:26" ht="48" x14ac:dyDescent="0.3">
      <c r="A378" s="8" t="s">
        <v>2555</v>
      </c>
      <c r="B378" s="8" t="s">
        <v>9</v>
      </c>
      <c r="C378" s="10">
        <v>301381</v>
      </c>
      <c r="D378" s="8" t="s">
        <v>517</v>
      </c>
      <c r="E378" s="8" t="s">
        <v>1986</v>
      </c>
      <c r="F378" s="8" t="s">
        <v>1952</v>
      </c>
      <c r="G378" s="8" t="s">
        <v>9</v>
      </c>
      <c r="H378" s="8" t="s">
        <v>352</v>
      </c>
      <c r="I378" s="8" t="s">
        <v>1973</v>
      </c>
      <c r="J378" s="8" t="s">
        <v>2491</v>
      </c>
      <c r="K378" s="8" t="s">
        <v>384</v>
      </c>
      <c r="L378" s="8" t="s">
        <v>2524</v>
      </c>
      <c r="M378" s="10">
        <v>0</v>
      </c>
      <c r="N378" s="8" t="s">
        <v>2556</v>
      </c>
      <c r="O378" s="8" t="s">
        <v>9</v>
      </c>
      <c r="P378" s="8" t="s">
        <v>1955</v>
      </c>
      <c r="Q378" s="8" t="s">
        <v>1956</v>
      </c>
      <c r="R378" s="8" t="s">
        <v>1956</v>
      </c>
      <c r="S378" s="8" t="s">
        <v>356</v>
      </c>
      <c r="T378" s="8" t="s">
        <v>1172</v>
      </c>
      <c r="U378" s="8" t="s">
        <v>1957</v>
      </c>
      <c r="V378" s="8" t="s">
        <v>283</v>
      </c>
      <c r="W378" s="8" t="s">
        <v>1958</v>
      </c>
      <c r="X378" s="8" t="s">
        <v>355</v>
      </c>
      <c r="Y378" s="8" t="s">
        <v>112</v>
      </c>
      <c r="Z378" s="8" t="s">
        <v>1959</v>
      </c>
    </row>
    <row r="379" spans="1:26" ht="24" x14ac:dyDescent="0.3">
      <c r="A379" s="8" t="s">
        <v>2557</v>
      </c>
      <c r="B379" s="8" t="s">
        <v>9</v>
      </c>
      <c r="C379" s="10">
        <v>305167</v>
      </c>
      <c r="D379" s="8" t="s">
        <v>519</v>
      </c>
      <c r="E379" s="8" t="s">
        <v>1986</v>
      </c>
      <c r="F379" s="8" t="s">
        <v>1952</v>
      </c>
      <c r="G379" s="8" t="s">
        <v>9</v>
      </c>
      <c r="H379" s="8" t="s">
        <v>352</v>
      </c>
      <c r="I379" s="8" t="s">
        <v>1729</v>
      </c>
      <c r="J379" s="8" t="s">
        <v>355</v>
      </c>
      <c r="K379" s="8" t="s">
        <v>357</v>
      </c>
      <c r="L379" s="8" t="s">
        <v>2558</v>
      </c>
      <c r="M379" s="10">
        <v>0</v>
      </c>
      <c r="N379" s="8" t="s">
        <v>606</v>
      </c>
      <c r="O379" s="8" t="s">
        <v>9</v>
      </c>
      <c r="P379" s="8" t="s">
        <v>1956</v>
      </c>
      <c r="Q379" s="8" t="s">
        <v>1956</v>
      </c>
      <c r="R379" s="8" t="s">
        <v>1956</v>
      </c>
      <c r="S379" s="8" t="s">
        <v>356</v>
      </c>
      <c r="T379" s="8" t="s">
        <v>1172</v>
      </c>
      <c r="U379" s="8" t="s">
        <v>2195</v>
      </c>
      <c r="V379" s="8" t="s">
        <v>283</v>
      </c>
      <c r="W379" s="8" t="s">
        <v>1958</v>
      </c>
      <c r="X379" s="8" t="s">
        <v>355</v>
      </c>
      <c r="Y379" s="8" t="s">
        <v>112</v>
      </c>
      <c r="Z379" s="8" t="s">
        <v>1959</v>
      </c>
    </row>
    <row r="380" spans="1:26" ht="24" x14ac:dyDescent="0.3">
      <c r="A380" s="8" t="s">
        <v>2559</v>
      </c>
      <c r="B380" s="8" t="s">
        <v>9</v>
      </c>
      <c r="C380" s="10">
        <v>305167</v>
      </c>
      <c r="D380" s="8" t="s">
        <v>519</v>
      </c>
      <c r="E380" s="8" t="s">
        <v>1986</v>
      </c>
      <c r="F380" s="8" t="s">
        <v>1952</v>
      </c>
      <c r="G380" s="8" t="s">
        <v>9</v>
      </c>
      <c r="H380" s="8" t="s">
        <v>352</v>
      </c>
      <c r="I380" s="8" t="s">
        <v>1973</v>
      </c>
      <c r="J380" s="8" t="s">
        <v>355</v>
      </c>
      <c r="K380" s="8" t="s">
        <v>357</v>
      </c>
      <c r="L380" s="8" t="s">
        <v>2558</v>
      </c>
      <c r="M380" s="10">
        <v>0</v>
      </c>
      <c r="N380" s="8" t="s">
        <v>606</v>
      </c>
      <c r="O380" s="8" t="s">
        <v>9</v>
      </c>
      <c r="P380" s="8" t="s">
        <v>1956</v>
      </c>
      <c r="Q380" s="8" t="s">
        <v>1956</v>
      </c>
      <c r="R380" s="8" t="s">
        <v>1956</v>
      </c>
      <c r="S380" s="8" t="s">
        <v>356</v>
      </c>
      <c r="T380" s="8" t="s">
        <v>1172</v>
      </c>
      <c r="U380" s="8" t="s">
        <v>2195</v>
      </c>
      <c r="V380" s="8" t="s">
        <v>283</v>
      </c>
      <c r="W380" s="8" t="s">
        <v>1958</v>
      </c>
      <c r="X380" s="8" t="s">
        <v>355</v>
      </c>
      <c r="Y380" s="8" t="s">
        <v>112</v>
      </c>
      <c r="Z380" s="8" t="s">
        <v>1959</v>
      </c>
    </row>
    <row r="381" spans="1:26" ht="90" customHeight="1" x14ac:dyDescent="0.3">
      <c r="A381" s="8" t="s">
        <v>2560</v>
      </c>
      <c r="B381" s="8" t="s">
        <v>9</v>
      </c>
      <c r="C381" s="10">
        <v>305921</v>
      </c>
      <c r="D381" s="8" t="s">
        <v>523</v>
      </c>
      <c r="E381" s="8" t="s">
        <v>1951</v>
      </c>
      <c r="F381" s="8" t="s">
        <v>1952</v>
      </c>
      <c r="G381" s="8" t="s">
        <v>9</v>
      </c>
      <c r="H381" s="8" t="s">
        <v>352</v>
      </c>
      <c r="I381" s="8" t="s">
        <v>1729</v>
      </c>
      <c r="J381" s="8" t="s">
        <v>2561</v>
      </c>
      <c r="K381" s="8" t="s">
        <v>384</v>
      </c>
      <c r="L381" s="8" t="s">
        <v>2562</v>
      </c>
      <c r="M381" s="10">
        <v>0</v>
      </c>
      <c r="N381" s="8" t="s">
        <v>606</v>
      </c>
      <c r="O381" s="8" t="s">
        <v>9</v>
      </c>
      <c r="P381" s="8" t="s">
        <v>1955</v>
      </c>
      <c r="Q381" s="8" t="s">
        <v>1956</v>
      </c>
      <c r="R381" s="8" t="s">
        <v>1956</v>
      </c>
      <c r="S381" s="8" t="s">
        <v>356</v>
      </c>
      <c r="T381" s="8" t="s">
        <v>1172</v>
      </c>
      <c r="U381" s="8" t="s">
        <v>1957</v>
      </c>
      <c r="V381" s="8" t="s">
        <v>283</v>
      </c>
      <c r="W381" s="8" t="s">
        <v>1958</v>
      </c>
      <c r="X381" s="8" t="s">
        <v>355</v>
      </c>
      <c r="Y381" s="8" t="s">
        <v>112</v>
      </c>
      <c r="Z381" s="8" t="s">
        <v>1959</v>
      </c>
    </row>
    <row r="382" spans="1:26" ht="48" x14ac:dyDescent="0.3">
      <c r="A382" s="8" t="s">
        <v>2563</v>
      </c>
      <c r="B382" s="8" t="s">
        <v>9</v>
      </c>
      <c r="C382" s="10">
        <v>305921</v>
      </c>
      <c r="D382" s="8" t="s">
        <v>523</v>
      </c>
      <c r="E382" s="8" t="s">
        <v>1951</v>
      </c>
      <c r="F382" s="8" t="s">
        <v>1952</v>
      </c>
      <c r="G382" s="8" t="s">
        <v>9</v>
      </c>
      <c r="H382" s="8" t="s">
        <v>352</v>
      </c>
      <c r="I382" s="8" t="s">
        <v>1729</v>
      </c>
      <c r="J382" s="8" t="s">
        <v>2561</v>
      </c>
      <c r="K382" s="8" t="s">
        <v>384</v>
      </c>
      <c r="L382" s="8" t="s">
        <v>2564</v>
      </c>
      <c r="M382" s="10">
        <v>0</v>
      </c>
      <c r="N382" s="8" t="s">
        <v>606</v>
      </c>
      <c r="O382" s="8" t="s">
        <v>9</v>
      </c>
      <c r="P382" s="8" t="s">
        <v>1955</v>
      </c>
      <c r="Q382" s="8" t="s">
        <v>1956</v>
      </c>
      <c r="R382" s="8" t="s">
        <v>1956</v>
      </c>
      <c r="S382" s="8" t="s">
        <v>356</v>
      </c>
      <c r="T382" s="8" t="s">
        <v>1172</v>
      </c>
      <c r="U382" s="8" t="s">
        <v>1957</v>
      </c>
      <c r="V382" s="8" t="s">
        <v>283</v>
      </c>
      <c r="W382" s="8" t="s">
        <v>1958</v>
      </c>
      <c r="X382" s="8" t="s">
        <v>355</v>
      </c>
      <c r="Y382" s="8" t="s">
        <v>112</v>
      </c>
      <c r="Z382" s="8" t="s">
        <v>1959</v>
      </c>
    </row>
    <row r="383" spans="1:26" ht="90" customHeight="1" x14ac:dyDescent="0.3">
      <c r="A383" s="8" t="s">
        <v>2565</v>
      </c>
      <c r="B383" s="8" t="s">
        <v>9</v>
      </c>
      <c r="C383" s="10">
        <v>305921</v>
      </c>
      <c r="D383" s="8" t="s">
        <v>523</v>
      </c>
      <c r="E383" s="8" t="s">
        <v>1951</v>
      </c>
      <c r="F383" s="8" t="s">
        <v>1952</v>
      </c>
      <c r="G383" s="8" t="s">
        <v>9</v>
      </c>
      <c r="H383" s="8" t="s">
        <v>352</v>
      </c>
      <c r="I383" s="8" t="s">
        <v>1973</v>
      </c>
      <c r="J383" s="8" t="s">
        <v>2566</v>
      </c>
      <c r="K383" s="8" t="s">
        <v>384</v>
      </c>
      <c r="L383" s="8" t="s">
        <v>2562</v>
      </c>
      <c r="M383" s="10">
        <v>0</v>
      </c>
      <c r="N383" s="8" t="s">
        <v>842</v>
      </c>
      <c r="O383" s="8" t="s">
        <v>9</v>
      </c>
      <c r="P383" s="8" t="s">
        <v>1955</v>
      </c>
      <c r="Q383" s="8" t="s">
        <v>1956</v>
      </c>
      <c r="R383" s="8" t="s">
        <v>1956</v>
      </c>
      <c r="S383" s="8" t="s">
        <v>356</v>
      </c>
      <c r="T383" s="8" t="s">
        <v>1172</v>
      </c>
      <c r="U383" s="8" t="s">
        <v>1957</v>
      </c>
      <c r="V383" s="8" t="s">
        <v>283</v>
      </c>
      <c r="W383" s="8" t="s">
        <v>1958</v>
      </c>
      <c r="X383" s="8" t="s">
        <v>355</v>
      </c>
      <c r="Y383" s="8" t="s">
        <v>112</v>
      </c>
      <c r="Z383" s="8" t="s">
        <v>1959</v>
      </c>
    </row>
    <row r="384" spans="1:26" ht="48" x14ac:dyDescent="0.3">
      <c r="A384" s="8" t="s">
        <v>2567</v>
      </c>
      <c r="B384" s="8" t="s">
        <v>9</v>
      </c>
      <c r="C384" s="10">
        <v>305921</v>
      </c>
      <c r="D384" s="8" t="s">
        <v>523</v>
      </c>
      <c r="E384" s="8" t="s">
        <v>1951</v>
      </c>
      <c r="F384" s="8" t="s">
        <v>1952</v>
      </c>
      <c r="G384" s="8" t="s">
        <v>9</v>
      </c>
      <c r="H384" s="8" t="s">
        <v>352</v>
      </c>
      <c r="I384" s="8" t="s">
        <v>1973</v>
      </c>
      <c r="J384" s="8" t="s">
        <v>2566</v>
      </c>
      <c r="K384" s="8" t="s">
        <v>384</v>
      </c>
      <c r="L384" s="8" t="s">
        <v>2564</v>
      </c>
      <c r="M384" s="10">
        <v>0</v>
      </c>
      <c r="N384" s="8" t="s">
        <v>857</v>
      </c>
      <c r="O384" s="8" t="s">
        <v>9</v>
      </c>
      <c r="P384" s="8" t="s">
        <v>1955</v>
      </c>
      <c r="Q384" s="8" t="s">
        <v>1956</v>
      </c>
      <c r="R384" s="8" t="s">
        <v>1956</v>
      </c>
      <c r="S384" s="8" t="s">
        <v>356</v>
      </c>
      <c r="T384" s="8" t="s">
        <v>1172</v>
      </c>
      <c r="U384" s="8" t="s">
        <v>1957</v>
      </c>
      <c r="V384" s="8" t="s">
        <v>283</v>
      </c>
      <c r="W384" s="8" t="s">
        <v>1958</v>
      </c>
      <c r="X384" s="8" t="s">
        <v>355</v>
      </c>
      <c r="Y384" s="8" t="s">
        <v>112</v>
      </c>
      <c r="Z384" s="8" t="s">
        <v>1959</v>
      </c>
    </row>
    <row r="385" spans="1:26" ht="36" x14ac:dyDescent="0.3">
      <c r="A385" s="8" t="s">
        <v>2568</v>
      </c>
      <c r="B385" s="8" t="s">
        <v>9</v>
      </c>
      <c r="C385" s="10">
        <v>319320</v>
      </c>
      <c r="D385" s="8" t="s">
        <v>525</v>
      </c>
      <c r="E385" s="8" t="s">
        <v>1986</v>
      </c>
      <c r="F385" s="8" t="s">
        <v>1952</v>
      </c>
      <c r="G385" s="8" t="s">
        <v>9</v>
      </c>
      <c r="H385" s="8" t="s">
        <v>352</v>
      </c>
      <c r="I385" s="8" t="s">
        <v>1729</v>
      </c>
      <c r="J385" s="8" t="s">
        <v>2569</v>
      </c>
      <c r="K385" s="8" t="s">
        <v>384</v>
      </c>
      <c r="L385" s="8" t="s">
        <v>831</v>
      </c>
      <c r="M385" s="10">
        <v>0</v>
      </c>
      <c r="N385" s="8" t="s">
        <v>606</v>
      </c>
      <c r="O385" s="8" t="s">
        <v>9</v>
      </c>
      <c r="P385" s="8" t="s">
        <v>1955</v>
      </c>
      <c r="Q385" s="8" t="s">
        <v>1956</v>
      </c>
      <c r="R385" s="8" t="s">
        <v>1956</v>
      </c>
      <c r="S385" s="8" t="s">
        <v>356</v>
      </c>
      <c r="T385" s="8" t="s">
        <v>1172</v>
      </c>
      <c r="U385" s="8" t="s">
        <v>1957</v>
      </c>
      <c r="V385" s="8" t="s">
        <v>283</v>
      </c>
      <c r="W385" s="8" t="s">
        <v>1958</v>
      </c>
      <c r="X385" s="8" t="s">
        <v>355</v>
      </c>
      <c r="Y385" s="8" t="s">
        <v>112</v>
      </c>
      <c r="Z385" s="8" t="s">
        <v>1970</v>
      </c>
    </row>
    <row r="386" spans="1:26" ht="36" x14ac:dyDescent="0.3">
      <c r="A386" s="8" t="s">
        <v>2570</v>
      </c>
      <c r="B386" s="8" t="s">
        <v>9</v>
      </c>
      <c r="C386" s="10">
        <v>319320</v>
      </c>
      <c r="D386" s="8" t="s">
        <v>525</v>
      </c>
      <c r="E386" s="8" t="s">
        <v>1986</v>
      </c>
      <c r="F386" s="8" t="s">
        <v>1952</v>
      </c>
      <c r="G386" s="8" t="s">
        <v>9</v>
      </c>
      <c r="H386" s="8" t="s">
        <v>352</v>
      </c>
      <c r="I386" s="8" t="s">
        <v>1973</v>
      </c>
      <c r="J386" s="8" t="s">
        <v>2569</v>
      </c>
      <c r="K386" s="8" t="s">
        <v>384</v>
      </c>
      <c r="L386" s="8" t="s">
        <v>831</v>
      </c>
      <c r="M386" s="10">
        <v>0</v>
      </c>
      <c r="N386" s="8" t="s">
        <v>673</v>
      </c>
      <c r="O386" s="8" t="s">
        <v>9</v>
      </c>
      <c r="P386" s="8" t="s">
        <v>1955</v>
      </c>
      <c r="Q386" s="8" t="s">
        <v>1956</v>
      </c>
      <c r="R386" s="8" t="s">
        <v>1956</v>
      </c>
      <c r="S386" s="8" t="s">
        <v>356</v>
      </c>
      <c r="T386" s="8" t="s">
        <v>1172</v>
      </c>
      <c r="U386" s="8" t="s">
        <v>1957</v>
      </c>
      <c r="V386" s="8" t="s">
        <v>283</v>
      </c>
      <c r="W386" s="8" t="s">
        <v>1958</v>
      </c>
      <c r="X386" s="8" t="s">
        <v>355</v>
      </c>
      <c r="Y386" s="8" t="s">
        <v>112</v>
      </c>
      <c r="Z386" s="8" t="s">
        <v>1970</v>
      </c>
    </row>
    <row r="387" spans="1:26" ht="24" x14ac:dyDescent="0.3">
      <c r="A387" s="8" t="s">
        <v>2571</v>
      </c>
      <c r="B387" s="8" t="s">
        <v>9</v>
      </c>
      <c r="C387" s="10">
        <v>320316</v>
      </c>
      <c r="D387" s="8" t="s">
        <v>527</v>
      </c>
      <c r="E387" s="8" t="s">
        <v>1986</v>
      </c>
      <c r="F387" s="8" t="s">
        <v>1952</v>
      </c>
      <c r="G387" s="8" t="s">
        <v>9</v>
      </c>
      <c r="H387" s="8" t="s">
        <v>352</v>
      </c>
      <c r="I387" s="8" t="s">
        <v>1729</v>
      </c>
      <c r="J387" s="8" t="s">
        <v>2572</v>
      </c>
      <c r="K387" s="8" t="s">
        <v>384</v>
      </c>
      <c r="L387" s="8" t="s">
        <v>596</v>
      </c>
      <c r="M387" s="10">
        <v>0</v>
      </c>
      <c r="N387" s="8" t="s">
        <v>608</v>
      </c>
      <c r="O387" s="8" t="s">
        <v>9</v>
      </c>
      <c r="P387" s="8" t="s">
        <v>1955</v>
      </c>
      <c r="Q387" s="8" t="s">
        <v>1956</v>
      </c>
      <c r="R387" s="8" t="s">
        <v>1956</v>
      </c>
      <c r="S387" s="8" t="s">
        <v>356</v>
      </c>
      <c r="T387" s="8" t="s">
        <v>1172</v>
      </c>
      <c r="U387" s="8" t="s">
        <v>1957</v>
      </c>
      <c r="V387" s="8" t="s">
        <v>283</v>
      </c>
      <c r="W387" s="8" t="s">
        <v>1958</v>
      </c>
      <c r="X387" s="8" t="s">
        <v>355</v>
      </c>
      <c r="Y387" s="8" t="s">
        <v>112</v>
      </c>
      <c r="Z387" s="8" t="s">
        <v>1970</v>
      </c>
    </row>
    <row r="388" spans="1:26" ht="24" x14ac:dyDescent="0.3">
      <c r="A388" s="8" t="s">
        <v>2573</v>
      </c>
      <c r="B388" s="8" t="s">
        <v>9</v>
      </c>
      <c r="C388" s="10">
        <v>320316</v>
      </c>
      <c r="D388" s="8" t="s">
        <v>527</v>
      </c>
      <c r="E388" s="8" t="s">
        <v>1986</v>
      </c>
      <c r="F388" s="8" t="s">
        <v>1952</v>
      </c>
      <c r="G388" s="8" t="s">
        <v>9</v>
      </c>
      <c r="H388" s="8" t="s">
        <v>352</v>
      </c>
      <c r="I388" s="8" t="s">
        <v>1973</v>
      </c>
      <c r="J388" s="8" t="s">
        <v>2572</v>
      </c>
      <c r="K388" s="8" t="s">
        <v>384</v>
      </c>
      <c r="L388" s="8" t="s">
        <v>596</v>
      </c>
      <c r="M388" s="10">
        <v>0</v>
      </c>
      <c r="N388" s="8" t="s">
        <v>608</v>
      </c>
      <c r="O388" s="8" t="s">
        <v>9</v>
      </c>
      <c r="P388" s="8" t="s">
        <v>1955</v>
      </c>
      <c r="Q388" s="8" t="s">
        <v>1956</v>
      </c>
      <c r="R388" s="8" t="s">
        <v>1956</v>
      </c>
      <c r="S388" s="8" t="s">
        <v>356</v>
      </c>
      <c r="T388" s="8" t="s">
        <v>1172</v>
      </c>
      <c r="U388" s="8" t="s">
        <v>1957</v>
      </c>
      <c r="V388" s="8" t="s">
        <v>283</v>
      </c>
      <c r="W388" s="8" t="s">
        <v>1958</v>
      </c>
      <c r="X388" s="8" t="s">
        <v>355</v>
      </c>
      <c r="Y388" s="8" t="s">
        <v>112</v>
      </c>
      <c r="Z388" s="8" t="s">
        <v>1970</v>
      </c>
    </row>
    <row r="389" spans="1:26" ht="24" x14ac:dyDescent="0.3">
      <c r="A389" s="8" t="s">
        <v>2574</v>
      </c>
      <c r="B389" s="8" t="s">
        <v>9</v>
      </c>
      <c r="C389" s="10">
        <v>320512</v>
      </c>
      <c r="D389" s="8" t="s">
        <v>529</v>
      </c>
      <c r="E389" s="8" t="s">
        <v>1986</v>
      </c>
      <c r="F389" s="8" t="s">
        <v>1952</v>
      </c>
      <c r="G389" s="8" t="s">
        <v>9</v>
      </c>
      <c r="H389" s="8" t="s">
        <v>352</v>
      </c>
      <c r="I389" s="8" t="s">
        <v>1729</v>
      </c>
      <c r="J389" s="8" t="s">
        <v>2575</v>
      </c>
      <c r="K389" s="8" t="s">
        <v>384</v>
      </c>
      <c r="L389" s="8" t="s">
        <v>596</v>
      </c>
      <c r="M389" s="10">
        <v>0</v>
      </c>
      <c r="N389" s="8" t="s">
        <v>669</v>
      </c>
      <c r="O389" s="8" t="s">
        <v>9</v>
      </c>
      <c r="P389" s="8" t="s">
        <v>1955</v>
      </c>
      <c r="Q389" s="8" t="s">
        <v>1956</v>
      </c>
      <c r="R389" s="8" t="s">
        <v>1956</v>
      </c>
      <c r="S389" s="8" t="s">
        <v>356</v>
      </c>
      <c r="T389" s="8" t="s">
        <v>1172</v>
      </c>
      <c r="U389" s="8" t="s">
        <v>1957</v>
      </c>
      <c r="V389" s="8" t="s">
        <v>283</v>
      </c>
      <c r="W389" s="8" t="s">
        <v>1958</v>
      </c>
      <c r="X389" s="8" t="s">
        <v>355</v>
      </c>
      <c r="Y389" s="8" t="s">
        <v>112</v>
      </c>
      <c r="Z389" s="8" t="s">
        <v>1970</v>
      </c>
    </row>
    <row r="390" spans="1:26" ht="24" x14ac:dyDescent="0.3">
      <c r="A390" s="8" t="s">
        <v>2576</v>
      </c>
      <c r="B390" s="8" t="s">
        <v>9</v>
      </c>
      <c r="C390" s="10">
        <v>320512</v>
      </c>
      <c r="D390" s="8" t="s">
        <v>529</v>
      </c>
      <c r="E390" s="8" t="s">
        <v>1986</v>
      </c>
      <c r="F390" s="8" t="s">
        <v>1952</v>
      </c>
      <c r="G390" s="8" t="s">
        <v>9</v>
      </c>
      <c r="H390" s="8" t="s">
        <v>352</v>
      </c>
      <c r="I390" s="8" t="s">
        <v>1729</v>
      </c>
      <c r="J390" s="8" t="s">
        <v>2575</v>
      </c>
      <c r="K390" s="8" t="s">
        <v>384</v>
      </c>
      <c r="L390" s="8" t="s">
        <v>2577</v>
      </c>
      <c r="M390" s="10">
        <v>851928</v>
      </c>
      <c r="N390" s="8" t="s">
        <v>977</v>
      </c>
      <c r="O390" s="8" t="s">
        <v>9</v>
      </c>
      <c r="P390" s="8" t="s">
        <v>1955</v>
      </c>
      <c r="Q390" s="8" t="s">
        <v>1956</v>
      </c>
      <c r="R390" s="8" t="s">
        <v>1956</v>
      </c>
      <c r="S390" s="8" t="s">
        <v>356</v>
      </c>
      <c r="T390" s="8" t="s">
        <v>1172</v>
      </c>
      <c r="U390" s="8" t="s">
        <v>1957</v>
      </c>
      <c r="V390" s="8" t="s">
        <v>283</v>
      </c>
      <c r="W390" s="8" t="s">
        <v>1958</v>
      </c>
      <c r="X390" s="8" t="s">
        <v>355</v>
      </c>
      <c r="Y390" s="8" t="s">
        <v>112</v>
      </c>
      <c r="Z390" s="8" t="s">
        <v>1970</v>
      </c>
    </row>
    <row r="391" spans="1:26" ht="24" x14ac:dyDescent="0.3">
      <c r="A391" s="8" t="s">
        <v>2578</v>
      </c>
      <c r="B391" s="8" t="s">
        <v>9</v>
      </c>
      <c r="C391" s="10">
        <v>320512</v>
      </c>
      <c r="D391" s="8" t="s">
        <v>529</v>
      </c>
      <c r="E391" s="8" t="s">
        <v>1986</v>
      </c>
      <c r="F391" s="8" t="s">
        <v>1952</v>
      </c>
      <c r="G391" s="8" t="s">
        <v>9</v>
      </c>
      <c r="H391" s="8" t="s">
        <v>352</v>
      </c>
      <c r="I391" s="8" t="s">
        <v>1973</v>
      </c>
      <c r="J391" s="8" t="s">
        <v>2575</v>
      </c>
      <c r="K391" s="8" t="s">
        <v>384</v>
      </c>
      <c r="L391" s="8" t="s">
        <v>596</v>
      </c>
      <c r="M391" s="10">
        <v>0</v>
      </c>
      <c r="N391" s="8" t="s">
        <v>669</v>
      </c>
      <c r="O391" s="8" t="s">
        <v>9</v>
      </c>
      <c r="P391" s="8" t="s">
        <v>1955</v>
      </c>
      <c r="Q391" s="8" t="s">
        <v>1956</v>
      </c>
      <c r="R391" s="8" t="s">
        <v>1956</v>
      </c>
      <c r="S391" s="8" t="s">
        <v>356</v>
      </c>
      <c r="T391" s="8" t="s">
        <v>1172</v>
      </c>
      <c r="U391" s="8" t="s">
        <v>1957</v>
      </c>
      <c r="V391" s="8" t="s">
        <v>283</v>
      </c>
      <c r="W391" s="8" t="s">
        <v>1958</v>
      </c>
      <c r="X391" s="8" t="s">
        <v>355</v>
      </c>
      <c r="Y391" s="8" t="s">
        <v>112</v>
      </c>
      <c r="Z391" s="8" t="s">
        <v>1970</v>
      </c>
    </row>
    <row r="392" spans="1:26" ht="24" x14ac:dyDescent="0.3">
      <c r="A392" s="8" t="s">
        <v>2579</v>
      </c>
      <c r="B392" s="8" t="s">
        <v>9</v>
      </c>
      <c r="C392" s="10">
        <v>320512</v>
      </c>
      <c r="D392" s="8" t="s">
        <v>529</v>
      </c>
      <c r="E392" s="8" t="s">
        <v>1986</v>
      </c>
      <c r="F392" s="8" t="s">
        <v>1952</v>
      </c>
      <c r="G392" s="8" t="s">
        <v>9</v>
      </c>
      <c r="H392" s="8" t="s">
        <v>352</v>
      </c>
      <c r="I392" s="8" t="s">
        <v>1973</v>
      </c>
      <c r="J392" s="8" t="s">
        <v>2575</v>
      </c>
      <c r="K392" s="8" t="s">
        <v>384</v>
      </c>
      <c r="L392" s="8" t="s">
        <v>2577</v>
      </c>
      <c r="M392" s="10">
        <v>0</v>
      </c>
      <c r="N392" s="8" t="s">
        <v>606</v>
      </c>
      <c r="O392" s="8" t="s">
        <v>9</v>
      </c>
      <c r="P392" s="8" t="s">
        <v>1955</v>
      </c>
      <c r="Q392" s="8" t="s">
        <v>1956</v>
      </c>
      <c r="R392" s="8" t="s">
        <v>1956</v>
      </c>
      <c r="S392" s="8" t="s">
        <v>356</v>
      </c>
      <c r="T392" s="8" t="s">
        <v>1172</v>
      </c>
      <c r="U392" s="8" t="s">
        <v>1957</v>
      </c>
      <c r="V392" s="8" t="s">
        <v>283</v>
      </c>
      <c r="W392" s="8" t="s">
        <v>1958</v>
      </c>
      <c r="X392" s="8" t="s">
        <v>355</v>
      </c>
      <c r="Y392" s="8" t="s">
        <v>112</v>
      </c>
      <c r="Z392" s="8" t="s">
        <v>1970</v>
      </c>
    </row>
    <row r="393" spans="1:26" ht="24" x14ac:dyDescent="0.3">
      <c r="A393" s="8" t="s">
        <v>2580</v>
      </c>
      <c r="B393" s="8" t="s">
        <v>9</v>
      </c>
      <c r="C393" s="10">
        <v>320683</v>
      </c>
      <c r="D393" s="8" t="s">
        <v>531</v>
      </c>
      <c r="E393" s="8" t="s">
        <v>1951</v>
      </c>
      <c r="F393" s="8" t="s">
        <v>1952</v>
      </c>
      <c r="G393" s="8" t="s">
        <v>9</v>
      </c>
      <c r="H393" s="8" t="s">
        <v>352</v>
      </c>
      <c r="I393" s="8" t="s">
        <v>1729</v>
      </c>
      <c r="J393" s="8" t="s">
        <v>2581</v>
      </c>
      <c r="K393" s="8" t="s">
        <v>384</v>
      </c>
      <c r="L393" s="8" t="s">
        <v>2582</v>
      </c>
      <c r="M393" s="10">
        <v>852095</v>
      </c>
      <c r="N393" s="8" t="s">
        <v>608</v>
      </c>
      <c r="O393" s="8" t="s">
        <v>9</v>
      </c>
      <c r="P393" s="8" t="s">
        <v>1955</v>
      </c>
      <c r="Q393" s="8" t="s">
        <v>1956</v>
      </c>
      <c r="R393" s="8" t="s">
        <v>1956</v>
      </c>
      <c r="S393" s="8" t="s">
        <v>356</v>
      </c>
      <c r="T393" s="8" t="s">
        <v>1172</v>
      </c>
      <c r="U393" s="8" t="s">
        <v>1957</v>
      </c>
      <c r="V393" s="8" t="s">
        <v>283</v>
      </c>
      <c r="W393" s="8" t="s">
        <v>1958</v>
      </c>
      <c r="X393" s="8" t="s">
        <v>355</v>
      </c>
      <c r="Y393" s="8" t="s">
        <v>112</v>
      </c>
      <c r="Z393" s="8" t="s">
        <v>1959</v>
      </c>
    </row>
    <row r="394" spans="1:26" ht="36" x14ac:dyDescent="0.3">
      <c r="A394" s="8" t="s">
        <v>2583</v>
      </c>
      <c r="B394" s="8" t="s">
        <v>9</v>
      </c>
      <c r="C394" s="10">
        <v>326323</v>
      </c>
      <c r="D394" s="8" t="s">
        <v>533</v>
      </c>
      <c r="E394" s="8" t="s">
        <v>2194</v>
      </c>
      <c r="F394" s="8" t="s">
        <v>1952</v>
      </c>
      <c r="G394" s="8" t="s">
        <v>9</v>
      </c>
      <c r="H394" s="8" t="s">
        <v>352</v>
      </c>
      <c r="I394" s="8" t="s">
        <v>355</v>
      </c>
      <c r="J394" s="8" t="s">
        <v>355</v>
      </c>
      <c r="K394" s="8" t="s">
        <v>355</v>
      </c>
      <c r="L394" s="8" t="s">
        <v>355</v>
      </c>
      <c r="M394" s="10" t="s">
        <v>355</v>
      </c>
      <c r="N394" s="8" t="s">
        <v>355</v>
      </c>
      <c r="O394" s="8" t="s">
        <v>9</v>
      </c>
      <c r="P394" s="8" t="s">
        <v>1956</v>
      </c>
      <c r="Q394" s="8" t="s">
        <v>1956</v>
      </c>
      <c r="R394" s="8" t="s">
        <v>1956</v>
      </c>
      <c r="S394" s="8" t="s">
        <v>356</v>
      </c>
      <c r="T394" s="8" t="s">
        <v>1956</v>
      </c>
      <c r="U394" s="8" t="s">
        <v>2195</v>
      </c>
      <c r="V394" s="8" t="s">
        <v>283</v>
      </c>
      <c r="W394" s="8" t="s">
        <v>1958</v>
      </c>
      <c r="X394" s="8" t="s">
        <v>355</v>
      </c>
      <c r="Y394" s="8" t="s">
        <v>112</v>
      </c>
      <c r="Z394" s="8" t="s">
        <v>2003</v>
      </c>
    </row>
    <row r="395" spans="1:26" ht="36" x14ac:dyDescent="0.3">
      <c r="A395" s="8" t="s">
        <v>2584</v>
      </c>
      <c r="B395" s="8" t="s">
        <v>9</v>
      </c>
      <c r="C395" s="10">
        <v>327828</v>
      </c>
      <c r="D395" s="8" t="s">
        <v>535</v>
      </c>
      <c r="E395" s="8" t="s">
        <v>2001</v>
      </c>
      <c r="F395" s="8" t="s">
        <v>1952</v>
      </c>
      <c r="G395" s="8" t="s">
        <v>9</v>
      </c>
      <c r="H395" s="8" t="s">
        <v>352</v>
      </c>
      <c r="I395" s="8" t="s">
        <v>355</v>
      </c>
      <c r="J395" s="8" t="s">
        <v>355</v>
      </c>
      <c r="K395" s="8" t="s">
        <v>355</v>
      </c>
      <c r="L395" s="8" t="s">
        <v>355</v>
      </c>
      <c r="M395" s="10" t="s">
        <v>355</v>
      </c>
      <c r="N395" s="8" t="s">
        <v>355</v>
      </c>
      <c r="O395" s="8" t="s">
        <v>9</v>
      </c>
      <c r="P395" s="8" t="s">
        <v>1956</v>
      </c>
      <c r="Q395" s="8" t="s">
        <v>1956</v>
      </c>
      <c r="R395" s="8" t="s">
        <v>1956</v>
      </c>
      <c r="S395" s="8" t="s">
        <v>356</v>
      </c>
      <c r="T395" s="8" t="s">
        <v>1956</v>
      </c>
      <c r="U395" s="8" t="s">
        <v>2195</v>
      </c>
      <c r="V395" s="8" t="s">
        <v>283</v>
      </c>
      <c r="W395" s="8" t="s">
        <v>1958</v>
      </c>
      <c r="X395" s="8" t="s">
        <v>355</v>
      </c>
      <c r="Y395" s="8" t="s">
        <v>112</v>
      </c>
      <c r="Z395" s="8" t="s">
        <v>2003</v>
      </c>
    </row>
    <row r="396" spans="1:26" ht="24" x14ac:dyDescent="0.3">
      <c r="A396" s="8" t="s">
        <v>2585</v>
      </c>
      <c r="B396" s="8" t="s">
        <v>9</v>
      </c>
      <c r="C396" s="10">
        <v>328889</v>
      </c>
      <c r="D396" s="8" t="s">
        <v>537</v>
      </c>
      <c r="E396" s="8" t="s">
        <v>1951</v>
      </c>
      <c r="F396" s="8" t="s">
        <v>1952</v>
      </c>
      <c r="G396" s="8" t="s">
        <v>9</v>
      </c>
      <c r="H396" s="8" t="s">
        <v>352</v>
      </c>
      <c r="I396" s="8" t="s">
        <v>1729</v>
      </c>
      <c r="J396" s="8" t="s">
        <v>355</v>
      </c>
      <c r="K396" s="8" t="s">
        <v>357</v>
      </c>
      <c r="L396" s="8" t="s">
        <v>358</v>
      </c>
      <c r="M396" s="10">
        <v>744337</v>
      </c>
      <c r="N396" s="8" t="s">
        <v>2586</v>
      </c>
      <c r="O396" s="8" t="s">
        <v>9</v>
      </c>
      <c r="P396" s="8" t="s">
        <v>1956</v>
      </c>
      <c r="Q396" s="8" t="s">
        <v>1956</v>
      </c>
      <c r="R396" s="8" t="s">
        <v>1956</v>
      </c>
      <c r="S396" s="8" t="s">
        <v>356</v>
      </c>
      <c r="T396" s="8" t="s">
        <v>1172</v>
      </c>
      <c r="U396" s="8" t="s">
        <v>1957</v>
      </c>
      <c r="V396" s="8" t="s">
        <v>283</v>
      </c>
      <c r="W396" s="8" t="s">
        <v>1958</v>
      </c>
      <c r="X396" s="8" t="s">
        <v>355</v>
      </c>
      <c r="Y396" s="8" t="s">
        <v>112</v>
      </c>
      <c r="Z396" s="8" t="s">
        <v>2039</v>
      </c>
    </row>
    <row r="397" spans="1:26" ht="24" x14ac:dyDescent="0.3">
      <c r="A397" s="8" t="s">
        <v>2587</v>
      </c>
      <c r="B397" s="8" t="s">
        <v>9</v>
      </c>
      <c r="C397" s="10">
        <v>330918</v>
      </c>
      <c r="D397" s="8" t="s">
        <v>539</v>
      </c>
      <c r="E397" s="8" t="s">
        <v>1986</v>
      </c>
      <c r="F397" s="8" t="s">
        <v>1952</v>
      </c>
      <c r="G397" s="8" t="s">
        <v>9</v>
      </c>
      <c r="H397" s="8" t="s">
        <v>352</v>
      </c>
      <c r="I397" s="8" t="s">
        <v>1729</v>
      </c>
      <c r="J397" s="8" t="s">
        <v>2588</v>
      </c>
      <c r="K397" s="8" t="s">
        <v>384</v>
      </c>
      <c r="L397" s="8" t="s">
        <v>2589</v>
      </c>
      <c r="M397" s="10">
        <v>0</v>
      </c>
      <c r="N397" s="8" t="s">
        <v>679</v>
      </c>
      <c r="O397" s="8" t="s">
        <v>9</v>
      </c>
      <c r="P397" s="8" t="s">
        <v>1955</v>
      </c>
      <c r="Q397" s="8" t="s">
        <v>1956</v>
      </c>
      <c r="R397" s="8" t="s">
        <v>1956</v>
      </c>
      <c r="S397" s="8" t="s">
        <v>356</v>
      </c>
      <c r="T397" s="8" t="s">
        <v>1172</v>
      </c>
      <c r="U397" s="8" t="s">
        <v>1957</v>
      </c>
      <c r="V397" s="8" t="s">
        <v>283</v>
      </c>
      <c r="W397" s="8" t="s">
        <v>1958</v>
      </c>
      <c r="X397" s="8" t="s">
        <v>355</v>
      </c>
      <c r="Y397" s="8" t="s">
        <v>112</v>
      </c>
      <c r="Z397" s="8" t="s">
        <v>1959</v>
      </c>
    </row>
    <row r="398" spans="1:26" ht="24" x14ac:dyDescent="0.3">
      <c r="A398" s="8" t="s">
        <v>2590</v>
      </c>
      <c r="B398" s="8" t="s">
        <v>9</v>
      </c>
      <c r="C398" s="10">
        <v>330918</v>
      </c>
      <c r="D398" s="8" t="s">
        <v>539</v>
      </c>
      <c r="E398" s="8" t="s">
        <v>1986</v>
      </c>
      <c r="F398" s="8" t="s">
        <v>1952</v>
      </c>
      <c r="G398" s="8" t="s">
        <v>9</v>
      </c>
      <c r="H398" s="8" t="s">
        <v>352</v>
      </c>
      <c r="I398" s="8" t="s">
        <v>1729</v>
      </c>
      <c r="J398" s="8" t="s">
        <v>2588</v>
      </c>
      <c r="K398" s="8" t="s">
        <v>384</v>
      </c>
      <c r="L398" s="8" t="s">
        <v>2591</v>
      </c>
      <c r="M398" s="10">
        <v>0</v>
      </c>
      <c r="N398" s="8" t="s">
        <v>606</v>
      </c>
      <c r="O398" s="8" t="s">
        <v>9</v>
      </c>
      <c r="P398" s="8" t="s">
        <v>1955</v>
      </c>
      <c r="Q398" s="8" t="s">
        <v>1956</v>
      </c>
      <c r="R398" s="8" t="s">
        <v>1956</v>
      </c>
      <c r="S398" s="8" t="s">
        <v>356</v>
      </c>
      <c r="T398" s="8" t="s">
        <v>1172</v>
      </c>
      <c r="U398" s="8" t="s">
        <v>1957</v>
      </c>
      <c r="V398" s="8" t="s">
        <v>283</v>
      </c>
      <c r="W398" s="8" t="s">
        <v>1958</v>
      </c>
      <c r="X398" s="8" t="s">
        <v>355</v>
      </c>
      <c r="Y398" s="8" t="s">
        <v>112</v>
      </c>
      <c r="Z398" s="8" t="s">
        <v>1959</v>
      </c>
    </row>
    <row r="399" spans="1:26" ht="24" x14ac:dyDescent="0.3">
      <c r="A399" s="8" t="s">
        <v>2592</v>
      </c>
      <c r="B399" s="8" t="s">
        <v>9</v>
      </c>
      <c r="C399" s="10">
        <v>330918</v>
      </c>
      <c r="D399" s="8" t="s">
        <v>539</v>
      </c>
      <c r="E399" s="8" t="s">
        <v>1986</v>
      </c>
      <c r="F399" s="8" t="s">
        <v>1952</v>
      </c>
      <c r="G399" s="8" t="s">
        <v>9</v>
      </c>
      <c r="H399" s="8" t="s">
        <v>352</v>
      </c>
      <c r="I399" s="8" t="s">
        <v>1973</v>
      </c>
      <c r="J399" s="8" t="s">
        <v>2588</v>
      </c>
      <c r="K399" s="8" t="s">
        <v>384</v>
      </c>
      <c r="L399" s="8" t="s">
        <v>2589</v>
      </c>
      <c r="M399" s="10">
        <v>0</v>
      </c>
      <c r="N399" s="8" t="s">
        <v>608</v>
      </c>
      <c r="O399" s="8" t="s">
        <v>9</v>
      </c>
      <c r="P399" s="8" t="s">
        <v>1955</v>
      </c>
      <c r="Q399" s="8" t="s">
        <v>1956</v>
      </c>
      <c r="R399" s="8" t="s">
        <v>1956</v>
      </c>
      <c r="S399" s="8" t="s">
        <v>356</v>
      </c>
      <c r="T399" s="8" t="s">
        <v>1172</v>
      </c>
      <c r="U399" s="8" t="s">
        <v>1957</v>
      </c>
      <c r="V399" s="8" t="s">
        <v>283</v>
      </c>
      <c r="W399" s="8" t="s">
        <v>1958</v>
      </c>
      <c r="X399" s="8" t="s">
        <v>355</v>
      </c>
      <c r="Y399" s="8" t="s">
        <v>112</v>
      </c>
      <c r="Z399" s="8" t="s">
        <v>1959</v>
      </c>
    </row>
    <row r="400" spans="1:26" ht="24" x14ac:dyDescent="0.3">
      <c r="A400" s="8" t="s">
        <v>2593</v>
      </c>
      <c r="B400" s="8" t="s">
        <v>9</v>
      </c>
      <c r="C400" s="10">
        <v>330918</v>
      </c>
      <c r="D400" s="8" t="s">
        <v>539</v>
      </c>
      <c r="E400" s="8" t="s">
        <v>1986</v>
      </c>
      <c r="F400" s="8" t="s">
        <v>1952</v>
      </c>
      <c r="G400" s="8" t="s">
        <v>9</v>
      </c>
      <c r="H400" s="8" t="s">
        <v>352</v>
      </c>
      <c r="I400" s="8" t="s">
        <v>1973</v>
      </c>
      <c r="J400" s="8" t="s">
        <v>2588</v>
      </c>
      <c r="K400" s="8" t="s">
        <v>384</v>
      </c>
      <c r="L400" s="8" t="s">
        <v>2591</v>
      </c>
      <c r="M400" s="10">
        <v>0</v>
      </c>
      <c r="N400" s="8" t="s">
        <v>2014</v>
      </c>
      <c r="O400" s="8" t="s">
        <v>9</v>
      </c>
      <c r="P400" s="8" t="s">
        <v>1955</v>
      </c>
      <c r="Q400" s="8" t="s">
        <v>1956</v>
      </c>
      <c r="R400" s="8" t="s">
        <v>1956</v>
      </c>
      <c r="S400" s="8" t="s">
        <v>356</v>
      </c>
      <c r="T400" s="8" t="s">
        <v>1172</v>
      </c>
      <c r="U400" s="8" t="s">
        <v>1957</v>
      </c>
      <c r="V400" s="8" t="s">
        <v>283</v>
      </c>
      <c r="W400" s="8" t="s">
        <v>1958</v>
      </c>
      <c r="X400" s="8" t="s">
        <v>355</v>
      </c>
      <c r="Y400" s="8" t="s">
        <v>112</v>
      </c>
      <c r="Z400" s="8" t="s">
        <v>1959</v>
      </c>
    </row>
    <row r="401" spans="1:26" ht="36" x14ac:dyDescent="0.3">
      <c r="A401" s="8" t="s">
        <v>2594</v>
      </c>
      <c r="B401" s="8" t="s">
        <v>9</v>
      </c>
      <c r="C401" s="10">
        <v>332625</v>
      </c>
      <c r="D401" s="8" t="s">
        <v>543</v>
      </c>
      <c r="E401" s="8" t="s">
        <v>2001</v>
      </c>
      <c r="F401" s="8" t="s">
        <v>1952</v>
      </c>
      <c r="G401" s="8" t="s">
        <v>9</v>
      </c>
      <c r="H401" s="8" t="s">
        <v>352</v>
      </c>
      <c r="I401" s="8" t="s">
        <v>355</v>
      </c>
      <c r="J401" s="8" t="s">
        <v>355</v>
      </c>
      <c r="K401" s="8" t="s">
        <v>355</v>
      </c>
      <c r="L401" s="8" t="s">
        <v>355</v>
      </c>
      <c r="M401" s="10" t="s">
        <v>355</v>
      </c>
      <c r="N401" s="8" t="s">
        <v>355</v>
      </c>
      <c r="O401" s="8" t="s">
        <v>9</v>
      </c>
      <c r="P401" s="8" t="s">
        <v>1956</v>
      </c>
      <c r="Q401" s="8" t="s">
        <v>1956</v>
      </c>
      <c r="R401" s="8" t="s">
        <v>1956</v>
      </c>
      <c r="S401" s="8" t="s">
        <v>356</v>
      </c>
      <c r="T401" s="8" t="s">
        <v>1956</v>
      </c>
      <c r="U401" s="8" t="s">
        <v>2195</v>
      </c>
      <c r="V401" s="8" t="s">
        <v>283</v>
      </c>
      <c r="W401" s="8" t="s">
        <v>1958</v>
      </c>
      <c r="X401" s="8" t="s">
        <v>355</v>
      </c>
      <c r="Y401" s="8" t="s">
        <v>112</v>
      </c>
      <c r="Z401" s="8" t="s">
        <v>2003</v>
      </c>
    </row>
    <row r="402" spans="1:26" ht="24" x14ac:dyDescent="0.3">
      <c r="A402" s="8" t="s">
        <v>2595</v>
      </c>
      <c r="B402" s="8" t="s">
        <v>9</v>
      </c>
      <c r="C402" s="10">
        <v>332626</v>
      </c>
      <c r="D402" s="8" t="s">
        <v>187</v>
      </c>
      <c r="E402" s="8" t="s">
        <v>1951</v>
      </c>
      <c r="F402" s="8" t="s">
        <v>1966</v>
      </c>
      <c r="G402" s="8" t="s">
        <v>9</v>
      </c>
      <c r="H402" s="8" t="s">
        <v>352</v>
      </c>
      <c r="I402" s="8" t="s">
        <v>1729</v>
      </c>
      <c r="J402" s="8" t="s">
        <v>2596</v>
      </c>
      <c r="K402" s="8" t="s">
        <v>384</v>
      </c>
      <c r="L402" s="8" t="s">
        <v>971</v>
      </c>
      <c r="M402" s="10">
        <v>0</v>
      </c>
      <c r="N402" s="8" t="s">
        <v>608</v>
      </c>
      <c r="O402" s="8" t="s">
        <v>9</v>
      </c>
      <c r="P402" s="8" t="s">
        <v>1955</v>
      </c>
      <c r="Q402" s="8" t="s">
        <v>1956</v>
      </c>
      <c r="R402" s="8" t="s">
        <v>1956</v>
      </c>
      <c r="S402" s="8" t="s">
        <v>356</v>
      </c>
      <c r="T402" s="8" t="s">
        <v>1172</v>
      </c>
      <c r="U402" s="8" t="s">
        <v>1968</v>
      </c>
      <c r="V402" s="8" t="s">
        <v>1172</v>
      </c>
      <c r="W402" s="8" t="s">
        <v>1969</v>
      </c>
      <c r="X402" s="8" t="s">
        <v>1893</v>
      </c>
      <c r="Y402" s="8" t="s">
        <v>112</v>
      </c>
      <c r="Z402" s="8" t="s">
        <v>1959</v>
      </c>
    </row>
    <row r="403" spans="1:26" ht="24" x14ac:dyDescent="0.3">
      <c r="A403" s="8" t="s">
        <v>2597</v>
      </c>
      <c r="B403" s="8" t="s">
        <v>9</v>
      </c>
      <c r="C403" s="10">
        <v>332626</v>
      </c>
      <c r="D403" s="8" t="s">
        <v>187</v>
      </c>
      <c r="E403" s="8" t="s">
        <v>1951</v>
      </c>
      <c r="F403" s="8" t="s">
        <v>1966</v>
      </c>
      <c r="G403" s="8" t="s">
        <v>9</v>
      </c>
      <c r="H403" s="8" t="s">
        <v>352</v>
      </c>
      <c r="I403" s="8" t="s">
        <v>1973</v>
      </c>
      <c r="J403" s="8" t="s">
        <v>2598</v>
      </c>
      <c r="K403" s="8" t="s">
        <v>384</v>
      </c>
      <c r="L403" s="8" t="s">
        <v>971</v>
      </c>
      <c r="M403" s="10">
        <v>0</v>
      </c>
      <c r="N403" s="8" t="s">
        <v>842</v>
      </c>
      <c r="O403" s="8" t="s">
        <v>9</v>
      </c>
      <c r="P403" s="8" t="s">
        <v>1955</v>
      </c>
      <c r="Q403" s="8" t="s">
        <v>1956</v>
      </c>
      <c r="R403" s="8" t="s">
        <v>1956</v>
      </c>
      <c r="S403" s="8" t="s">
        <v>356</v>
      </c>
      <c r="T403" s="8" t="s">
        <v>1172</v>
      </c>
      <c r="U403" s="8" t="s">
        <v>1968</v>
      </c>
      <c r="V403" s="8" t="s">
        <v>1172</v>
      </c>
      <c r="W403" s="8" t="s">
        <v>1969</v>
      </c>
      <c r="X403" s="8" t="s">
        <v>1893</v>
      </c>
      <c r="Y403" s="8" t="s">
        <v>112</v>
      </c>
      <c r="Z403" s="8" t="s">
        <v>1959</v>
      </c>
    </row>
    <row r="404" spans="1:26" ht="24" x14ac:dyDescent="0.3">
      <c r="A404" s="8" t="s">
        <v>2599</v>
      </c>
      <c r="B404" s="8" t="s">
        <v>9</v>
      </c>
      <c r="C404" s="10">
        <v>332626</v>
      </c>
      <c r="D404" s="8" t="s">
        <v>187</v>
      </c>
      <c r="E404" s="8" t="s">
        <v>1951</v>
      </c>
      <c r="F404" s="8" t="s">
        <v>1966</v>
      </c>
      <c r="G404" s="8" t="s">
        <v>9</v>
      </c>
      <c r="H404" s="8" t="s">
        <v>352</v>
      </c>
      <c r="I404" s="8" t="s">
        <v>1977</v>
      </c>
      <c r="J404" s="8" t="s">
        <v>2600</v>
      </c>
      <c r="K404" s="8" t="s">
        <v>384</v>
      </c>
      <c r="L404" s="8" t="s">
        <v>971</v>
      </c>
      <c r="M404" s="10">
        <v>0</v>
      </c>
      <c r="N404" s="8" t="s">
        <v>669</v>
      </c>
      <c r="O404" s="8" t="s">
        <v>9</v>
      </c>
      <c r="P404" s="8" t="s">
        <v>1955</v>
      </c>
      <c r="Q404" s="8" t="s">
        <v>1956</v>
      </c>
      <c r="R404" s="8" t="s">
        <v>1956</v>
      </c>
      <c r="S404" s="8" t="s">
        <v>356</v>
      </c>
      <c r="T404" s="8" t="s">
        <v>1172</v>
      </c>
      <c r="U404" s="8" t="s">
        <v>1968</v>
      </c>
      <c r="V404" s="8" t="s">
        <v>1172</v>
      </c>
      <c r="W404" s="8" t="s">
        <v>1969</v>
      </c>
      <c r="X404" s="8" t="s">
        <v>1893</v>
      </c>
      <c r="Y404" s="8" t="s">
        <v>112</v>
      </c>
      <c r="Z404" s="8" t="s">
        <v>1959</v>
      </c>
    </row>
    <row r="405" spans="1:26" ht="24" x14ac:dyDescent="0.3">
      <c r="A405" s="8" t="s">
        <v>2601</v>
      </c>
      <c r="B405" s="8" t="s">
        <v>9</v>
      </c>
      <c r="C405" s="10">
        <v>312955</v>
      </c>
      <c r="D405" s="8" t="s">
        <v>546</v>
      </c>
      <c r="E405" s="8" t="s">
        <v>1986</v>
      </c>
      <c r="F405" s="8" t="s">
        <v>1952</v>
      </c>
      <c r="G405" s="8" t="s">
        <v>9</v>
      </c>
      <c r="H405" s="8" t="s">
        <v>352</v>
      </c>
      <c r="I405" s="8" t="s">
        <v>1729</v>
      </c>
      <c r="J405" s="8" t="s">
        <v>2602</v>
      </c>
      <c r="K405" s="8" t="s">
        <v>384</v>
      </c>
      <c r="L405" s="8" t="s">
        <v>714</v>
      </c>
      <c r="M405" s="10">
        <v>0</v>
      </c>
      <c r="N405" s="8" t="s">
        <v>606</v>
      </c>
      <c r="O405" s="8" t="s">
        <v>9</v>
      </c>
      <c r="P405" s="8" t="s">
        <v>1955</v>
      </c>
      <c r="Q405" s="8" t="s">
        <v>1956</v>
      </c>
      <c r="R405" s="8" t="s">
        <v>1956</v>
      </c>
      <c r="S405" s="8" t="s">
        <v>356</v>
      </c>
      <c r="T405" s="8" t="s">
        <v>1172</v>
      </c>
      <c r="U405" s="8" t="s">
        <v>1957</v>
      </c>
      <c r="V405" s="8" t="s">
        <v>283</v>
      </c>
      <c r="W405" s="8" t="s">
        <v>1958</v>
      </c>
      <c r="X405" s="8" t="s">
        <v>355</v>
      </c>
      <c r="Y405" s="8" t="s">
        <v>112</v>
      </c>
      <c r="Z405" s="8" t="s">
        <v>2109</v>
      </c>
    </row>
    <row r="406" spans="1:26" ht="24" x14ac:dyDescent="0.3">
      <c r="A406" s="8" t="s">
        <v>2603</v>
      </c>
      <c r="B406" s="8" t="s">
        <v>9</v>
      </c>
      <c r="C406" s="10">
        <v>312955</v>
      </c>
      <c r="D406" s="8" t="s">
        <v>546</v>
      </c>
      <c r="E406" s="8" t="s">
        <v>1986</v>
      </c>
      <c r="F406" s="8" t="s">
        <v>1952</v>
      </c>
      <c r="G406" s="8" t="s">
        <v>9</v>
      </c>
      <c r="H406" s="8" t="s">
        <v>352</v>
      </c>
      <c r="I406" s="8" t="s">
        <v>1973</v>
      </c>
      <c r="J406" s="8" t="s">
        <v>2602</v>
      </c>
      <c r="K406" s="8" t="s">
        <v>384</v>
      </c>
      <c r="L406" s="8" t="s">
        <v>714</v>
      </c>
      <c r="M406" s="10">
        <v>0</v>
      </c>
      <c r="N406" s="8" t="s">
        <v>608</v>
      </c>
      <c r="O406" s="8" t="s">
        <v>9</v>
      </c>
      <c r="P406" s="8" t="s">
        <v>1955</v>
      </c>
      <c r="Q406" s="8" t="s">
        <v>1956</v>
      </c>
      <c r="R406" s="8" t="s">
        <v>1956</v>
      </c>
      <c r="S406" s="8" t="s">
        <v>356</v>
      </c>
      <c r="T406" s="8" t="s">
        <v>1172</v>
      </c>
      <c r="U406" s="8" t="s">
        <v>1957</v>
      </c>
      <c r="V406" s="8" t="s">
        <v>283</v>
      </c>
      <c r="W406" s="8" t="s">
        <v>1958</v>
      </c>
      <c r="X406" s="8" t="s">
        <v>355</v>
      </c>
      <c r="Y406" s="8" t="s">
        <v>112</v>
      </c>
      <c r="Z406" s="8" t="s">
        <v>2109</v>
      </c>
    </row>
    <row r="407" spans="1:26" ht="60" x14ac:dyDescent="0.3">
      <c r="A407" s="8" t="s">
        <v>2604</v>
      </c>
      <c r="B407" s="8" t="s">
        <v>9</v>
      </c>
      <c r="C407" s="10">
        <v>290127</v>
      </c>
      <c r="D407" s="8" t="s">
        <v>189</v>
      </c>
      <c r="E407" s="8" t="s">
        <v>1951</v>
      </c>
      <c r="F407" s="8" t="s">
        <v>1966</v>
      </c>
      <c r="G407" s="8" t="s">
        <v>9</v>
      </c>
      <c r="H407" s="8" t="s">
        <v>352</v>
      </c>
      <c r="I407" s="8" t="s">
        <v>1729</v>
      </c>
      <c r="J407" s="8" t="s">
        <v>2605</v>
      </c>
      <c r="K407" s="8" t="s">
        <v>384</v>
      </c>
      <c r="L407" s="8" t="s">
        <v>975</v>
      </c>
      <c r="M407" s="10">
        <v>0</v>
      </c>
      <c r="N407" s="8" t="s">
        <v>608</v>
      </c>
      <c r="O407" s="8" t="s">
        <v>9</v>
      </c>
      <c r="P407" s="8" t="s">
        <v>1955</v>
      </c>
      <c r="Q407" s="8" t="s">
        <v>1956</v>
      </c>
      <c r="R407" s="8" t="s">
        <v>1956</v>
      </c>
      <c r="S407" s="8" t="s">
        <v>356</v>
      </c>
      <c r="T407" s="8" t="s">
        <v>1172</v>
      </c>
      <c r="U407" s="8" t="s">
        <v>1968</v>
      </c>
      <c r="V407" s="8" t="s">
        <v>1172</v>
      </c>
      <c r="W407" s="8" t="s">
        <v>1969</v>
      </c>
      <c r="X407" s="8" t="s">
        <v>1898</v>
      </c>
      <c r="Y407" s="8" t="s">
        <v>112</v>
      </c>
      <c r="Z407" s="8" t="s">
        <v>1959</v>
      </c>
    </row>
    <row r="408" spans="1:26" ht="24" x14ac:dyDescent="0.3">
      <c r="A408" s="8" t="s">
        <v>2606</v>
      </c>
      <c r="B408" s="8" t="s">
        <v>9</v>
      </c>
      <c r="C408" s="10">
        <v>294299</v>
      </c>
      <c r="D408" s="8" t="s">
        <v>549</v>
      </c>
      <c r="E408" s="8" t="s">
        <v>1951</v>
      </c>
      <c r="F408" s="8" t="s">
        <v>1952</v>
      </c>
      <c r="G408" s="8" t="s">
        <v>9</v>
      </c>
      <c r="H408" s="8" t="s">
        <v>352</v>
      </c>
      <c r="I408" s="8" t="s">
        <v>2607</v>
      </c>
      <c r="J408" s="8" t="s">
        <v>2608</v>
      </c>
      <c r="K408" s="8" t="s">
        <v>384</v>
      </c>
      <c r="L408" s="8" t="s">
        <v>2202</v>
      </c>
      <c r="M408" s="10">
        <v>0</v>
      </c>
      <c r="N408" s="8" t="s">
        <v>606</v>
      </c>
      <c r="O408" s="8" t="s">
        <v>9</v>
      </c>
      <c r="P408" s="8" t="s">
        <v>1956</v>
      </c>
      <c r="Q408" s="8" t="s">
        <v>1956</v>
      </c>
      <c r="R408" s="8" t="s">
        <v>1956</v>
      </c>
      <c r="S408" s="8" t="s">
        <v>356</v>
      </c>
      <c r="T408" s="8" t="s">
        <v>1172</v>
      </c>
      <c r="U408" s="8" t="s">
        <v>1957</v>
      </c>
      <c r="V408" s="8" t="s">
        <v>283</v>
      </c>
      <c r="W408" s="8" t="s">
        <v>1958</v>
      </c>
      <c r="X408" s="8" t="s">
        <v>355</v>
      </c>
      <c r="Y408" s="8" t="s">
        <v>112</v>
      </c>
      <c r="Z408" s="8" t="s">
        <v>1988</v>
      </c>
    </row>
    <row r="409" spans="1:26" ht="24" x14ac:dyDescent="0.3">
      <c r="A409" s="8" t="s">
        <v>2609</v>
      </c>
      <c r="B409" s="8" t="s">
        <v>9</v>
      </c>
      <c r="C409" s="10">
        <v>294299</v>
      </c>
      <c r="D409" s="8" t="s">
        <v>549</v>
      </c>
      <c r="E409" s="8" t="s">
        <v>1951</v>
      </c>
      <c r="F409" s="8" t="s">
        <v>1952</v>
      </c>
      <c r="G409" s="8" t="s">
        <v>9</v>
      </c>
      <c r="H409" s="8" t="s">
        <v>352</v>
      </c>
      <c r="I409" s="8" t="s">
        <v>2610</v>
      </c>
      <c r="J409" s="8" t="s">
        <v>2611</v>
      </c>
      <c r="K409" s="8" t="s">
        <v>384</v>
      </c>
      <c r="L409" s="8" t="s">
        <v>2202</v>
      </c>
      <c r="M409" s="10">
        <v>0</v>
      </c>
      <c r="N409" s="8" t="s">
        <v>606</v>
      </c>
      <c r="O409" s="8" t="s">
        <v>9</v>
      </c>
      <c r="P409" s="8" t="s">
        <v>1956</v>
      </c>
      <c r="Q409" s="8" t="s">
        <v>1956</v>
      </c>
      <c r="R409" s="8" t="s">
        <v>1956</v>
      </c>
      <c r="S409" s="8" t="s">
        <v>356</v>
      </c>
      <c r="T409" s="8" t="s">
        <v>1172</v>
      </c>
      <c r="U409" s="8" t="s">
        <v>1957</v>
      </c>
      <c r="V409" s="8" t="s">
        <v>283</v>
      </c>
      <c r="W409" s="8" t="s">
        <v>1958</v>
      </c>
      <c r="X409" s="8" t="s">
        <v>355</v>
      </c>
      <c r="Y409" s="8" t="s">
        <v>112</v>
      </c>
      <c r="Z409" s="8" t="s">
        <v>1988</v>
      </c>
    </row>
    <row r="410" spans="1:26" ht="24" x14ac:dyDescent="0.3">
      <c r="A410" s="8" t="s">
        <v>2612</v>
      </c>
      <c r="B410" s="8" t="s">
        <v>9</v>
      </c>
      <c r="C410" s="10">
        <v>292517</v>
      </c>
      <c r="D410" s="8" t="s">
        <v>551</v>
      </c>
      <c r="E410" s="8" t="s">
        <v>1986</v>
      </c>
      <c r="F410" s="8" t="s">
        <v>1952</v>
      </c>
      <c r="G410" s="8" t="s">
        <v>9</v>
      </c>
      <c r="H410" s="8" t="s">
        <v>352</v>
      </c>
      <c r="I410" s="8" t="s">
        <v>1729</v>
      </c>
      <c r="J410" s="8" t="s">
        <v>2613</v>
      </c>
      <c r="K410" s="8" t="s">
        <v>384</v>
      </c>
      <c r="L410" s="8" t="s">
        <v>714</v>
      </c>
      <c r="M410" s="10">
        <v>0</v>
      </c>
      <c r="N410" s="8" t="s">
        <v>606</v>
      </c>
      <c r="O410" s="8" t="s">
        <v>9</v>
      </c>
      <c r="P410" s="8" t="s">
        <v>1955</v>
      </c>
      <c r="Q410" s="8" t="s">
        <v>1956</v>
      </c>
      <c r="R410" s="8" t="s">
        <v>1956</v>
      </c>
      <c r="S410" s="8" t="s">
        <v>356</v>
      </c>
      <c r="T410" s="8" t="s">
        <v>1172</v>
      </c>
      <c r="U410" s="8" t="s">
        <v>1957</v>
      </c>
      <c r="V410" s="8" t="s">
        <v>283</v>
      </c>
      <c r="W410" s="8" t="s">
        <v>1958</v>
      </c>
      <c r="X410" s="8" t="s">
        <v>355</v>
      </c>
      <c r="Y410" s="8" t="s">
        <v>112</v>
      </c>
      <c r="Z410" s="8" t="s">
        <v>2109</v>
      </c>
    </row>
    <row r="411" spans="1:26" ht="24" x14ac:dyDescent="0.3">
      <c r="A411" s="8" t="s">
        <v>2614</v>
      </c>
      <c r="B411" s="8" t="s">
        <v>9</v>
      </c>
      <c r="C411" s="10">
        <v>292517</v>
      </c>
      <c r="D411" s="8" t="s">
        <v>551</v>
      </c>
      <c r="E411" s="8" t="s">
        <v>1986</v>
      </c>
      <c r="F411" s="8" t="s">
        <v>1952</v>
      </c>
      <c r="G411" s="8" t="s">
        <v>9</v>
      </c>
      <c r="H411" s="8" t="s">
        <v>352</v>
      </c>
      <c r="I411" s="8" t="s">
        <v>1973</v>
      </c>
      <c r="J411" s="8" t="s">
        <v>2613</v>
      </c>
      <c r="K411" s="8" t="s">
        <v>384</v>
      </c>
      <c r="L411" s="8" t="s">
        <v>714</v>
      </c>
      <c r="M411" s="10">
        <v>0</v>
      </c>
      <c r="N411" s="8" t="s">
        <v>608</v>
      </c>
      <c r="O411" s="8" t="s">
        <v>9</v>
      </c>
      <c r="P411" s="8" t="s">
        <v>1955</v>
      </c>
      <c r="Q411" s="8" t="s">
        <v>1956</v>
      </c>
      <c r="R411" s="8" t="s">
        <v>1956</v>
      </c>
      <c r="S411" s="8" t="s">
        <v>356</v>
      </c>
      <c r="T411" s="8" t="s">
        <v>1172</v>
      </c>
      <c r="U411" s="8" t="s">
        <v>1957</v>
      </c>
      <c r="V411" s="8" t="s">
        <v>283</v>
      </c>
      <c r="W411" s="8" t="s">
        <v>1958</v>
      </c>
      <c r="X411" s="8" t="s">
        <v>355</v>
      </c>
      <c r="Y411" s="8" t="s">
        <v>112</v>
      </c>
      <c r="Z411" s="8" t="s">
        <v>2109</v>
      </c>
    </row>
    <row r="412" spans="1:26" ht="24" x14ac:dyDescent="0.3">
      <c r="A412" s="8" t="s">
        <v>2615</v>
      </c>
      <c r="B412" s="8" t="s">
        <v>9</v>
      </c>
      <c r="C412" s="10">
        <v>292722</v>
      </c>
      <c r="D412" s="8" t="s">
        <v>191</v>
      </c>
      <c r="E412" s="8" t="s">
        <v>1986</v>
      </c>
      <c r="F412" s="8" t="s">
        <v>1966</v>
      </c>
      <c r="G412" s="8" t="s">
        <v>9</v>
      </c>
      <c r="H412" s="8" t="s">
        <v>352</v>
      </c>
      <c r="I412" s="8" t="s">
        <v>1729</v>
      </c>
      <c r="J412" s="8" t="s">
        <v>2616</v>
      </c>
      <c r="K412" s="8" t="s">
        <v>384</v>
      </c>
      <c r="L412" s="8" t="s">
        <v>714</v>
      </c>
      <c r="M412" s="10">
        <v>0</v>
      </c>
      <c r="N412" s="8" t="s">
        <v>977</v>
      </c>
      <c r="O412" s="8" t="s">
        <v>9</v>
      </c>
      <c r="P412" s="8" t="s">
        <v>1955</v>
      </c>
      <c r="Q412" s="8" t="s">
        <v>1956</v>
      </c>
      <c r="R412" s="8" t="s">
        <v>1956</v>
      </c>
      <c r="S412" s="8" t="s">
        <v>356</v>
      </c>
      <c r="T412" s="8" t="s">
        <v>1172</v>
      </c>
      <c r="U412" s="8" t="s">
        <v>1968</v>
      </c>
      <c r="V412" s="8" t="s">
        <v>1172</v>
      </c>
      <c r="W412" s="8" t="s">
        <v>1969</v>
      </c>
      <c r="X412" s="8" t="s">
        <v>1903</v>
      </c>
      <c r="Y412" s="8" t="s">
        <v>112</v>
      </c>
      <c r="Z412" s="8" t="s">
        <v>2109</v>
      </c>
    </row>
    <row r="413" spans="1:26" ht="24" x14ac:dyDescent="0.3">
      <c r="A413" s="8" t="s">
        <v>2617</v>
      </c>
      <c r="B413" s="8" t="s">
        <v>9</v>
      </c>
      <c r="C413" s="10">
        <v>292722</v>
      </c>
      <c r="D413" s="8" t="s">
        <v>191</v>
      </c>
      <c r="E413" s="8" t="s">
        <v>1986</v>
      </c>
      <c r="F413" s="8" t="s">
        <v>1966</v>
      </c>
      <c r="G413" s="8" t="s">
        <v>9</v>
      </c>
      <c r="H413" s="8" t="s">
        <v>352</v>
      </c>
      <c r="I413" s="8" t="s">
        <v>1973</v>
      </c>
      <c r="J413" s="8" t="s">
        <v>2616</v>
      </c>
      <c r="K413" s="8" t="s">
        <v>384</v>
      </c>
      <c r="L413" s="8" t="s">
        <v>714</v>
      </c>
      <c r="M413" s="10">
        <v>0</v>
      </c>
      <c r="N413" s="8" t="s">
        <v>608</v>
      </c>
      <c r="O413" s="8" t="s">
        <v>9</v>
      </c>
      <c r="P413" s="8" t="s">
        <v>1955</v>
      </c>
      <c r="Q413" s="8" t="s">
        <v>1956</v>
      </c>
      <c r="R413" s="8" t="s">
        <v>1956</v>
      </c>
      <c r="S413" s="8" t="s">
        <v>356</v>
      </c>
      <c r="T413" s="8" t="s">
        <v>1172</v>
      </c>
      <c r="U413" s="8" t="s">
        <v>1968</v>
      </c>
      <c r="V413" s="8" t="s">
        <v>1172</v>
      </c>
      <c r="W413" s="8" t="s">
        <v>1969</v>
      </c>
      <c r="X413" s="8" t="s">
        <v>1903</v>
      </c>
      <c r="Y413" s="8" t="s">
        <v>112</v>
      </c>
      <c r="Z413" s="8" t="s">
        <v>2109</v>
      </c>
    </row>
    <row r="414" spans="1:26" ht="72" x14ac:dyDescent="0.3">
      <c r="A414" s="8" t="s">
        <v>2618</v>
      </c>
      <c r="B414" s="8" t="s">
        <v>9</v>
      </c>
      <c r="C414" s="10">
        <v>296136</v>
      </c>
      <c r="D414" s="8" t="s">
        <v>554</v>
      </c>
      <c r="E414" s="8" t="s">
        <v>1986</v>
      </c>
      <c r="F414" s="8" t="s">
        <v>1952</v>
      </c>
      <c r="G414" s="8" t="s">
        <v>9</v>
      </c>
      <c r="H414" s="8" t="s">
        <v>352</v>
      </c>
      <c r="I414" s="8" t="s">
        <v>1729</v>
      </c>
      <c r="J414" s="8" t="s">
        <v>2619</v>
      </c>
      <c r="K414" s="8" t="s">
        <v>384</v>
      </c>
      <c r="L414" s="8" t="s">
        <v>2620</v>
      </c>
      <c r="M414" s="10">
        <v>0</v>
      </c>
      <c r="N414" s="8" t="s">
        <v>606</v>
      </c>
      <c r="O414" s="8" t="s">
        <v>9</v>
      </c>
      <c r="P414" s="8" t="s">
        <v>1955</v>
      </c>
      <c r="Q414" s="8" t="s">
        <v>1956</v>
      </c>
      <c r="R414" s="8" t="s">
        <v>1956</v>
      </c>
      <c r="S414" s="8" t="s">
        <v>356</v>
      </c>
      <c r="T414" s="8" t="s">
        <v>1172</v>
      </c>
      <c r="U414" s="8" t="s">
        <v>1957</v>
      </c>
      <c r="V414" s="8" t="s">
        <v>283</v>
      </c>
      <c r="W414" s="8" t="s">
        <v>1958</v>
      </c>
      <c r="X414" s="8" t="s">
        <v>355</v>
      </c>
      <c r="Y414" s="8" t="s">
        <v>112</v>
      </c>
      <c r="Z414" s="8" t="s">
        <v>1959</v>
      </c>
    </row>
    <row r="415" spans="1:26" ht="72" x14ac:dyDescent="0.3">
      <c r="A415" s="8" t="s">
        <v>2621</v>
      </c>
      <c r="B415" s="8" t="s">
        <v>9</v>
      </c>
      <c r="C415" s="10">
        <v>296136</v>
      </c>
      <c r="D415" s="8" t="s">
        <v>554</v>
      </c>
      <c r="E415" s="8" t="s">
        <v>1986</v>
      </c>
      <c r="F415" s="8" t="s">
        <v>1952</v>
      </c>
      <c r="G415" s="8" t="s">
        <v>9</v>
      </c>
      <c r="H415" s="8" t="s">
        <v>352</v>
      </c>
      <c r="I415" s="8" t="s">
        <v>1973</v>
      </c>
      <c r="J415" s="8" t="s">
        <v>2619</v>
      </c>
      <c r="K415" s="8" t="s">
        <v>384</v>
      </c>
      <c r="L415" s="8" t="s">
        <v>2620</v>
      </c>
      <c r="M415" s="10">
        <v>0</v>
      </c>
      <c r="N415" s="8" t="s">
        <v>745</v>
      </c>
      <c r="O415" s="8" t="s">
        <v>9</v>
      </c>
      <c r="P415" s="8" t="s">
        <v>1955</v>
      </c>
      <c r="Q415" s="8" t="s">
        <v>1956</v>
      </c>
      <c r="R415" s="8" t="s">
        <v>1956</v>
      </c>
      <c r="S415" s="8" t="s">
        <v>356</v>
      </c>
      <c r="T415" s="8" t="s">
        <v>1172</v>
      </c>
      <c r="U415" s="8" t="s">
        <v>1957</v>
      </c>
      <c r="V415" s="8" t="s">
        <v>283</v>
      </c>
      <c r="W415" s="8" t="s">
        <v>1958</v>
      </c>
      <c r="X415" s="8" t="s">
        <v>355</v>
      </c>
      <c r="Y415" s="8" t="s">
        <v>112</v>
      </c>
      <c r="Z415" s="8" t="s">
        <v>1959</v>
      </c>
    </row>
    <row r="416" spans="1:26" ht="24" x14ac:dyDescent="0.3">
      <c r="A416" s="8" t="s">
        <v>2622</v>
      </c>
      <c r="B416" s="8" t="s">
        <v>9</v>
      </c>
      <c r="C416" s="10">
        <v>303242</v>
      </c>
      <c r="D416" s="8" t="s">
        <v>556</v>
      </c>
      <c r="E416" s="8" t="s">
        <v>1951</v>
      </c>
      <c r="F416" s="8" t="s">
        <v>1952</v>
      </c>
      <c r="G416" s="8" t="s">
        <v>9</v>
      </c>
      <c r="H416" s="8" t="s">
        <v>352</v>
      </c>
      <c r="I416" s="8" t="s">
        <v>1729</v>
      </c>
      <c r="J416" s="8" t="s">
        <v>355</v>
      </c>
      <c r="K416" s="8" t="s">
        <v>357</v>
      </c>
      <c r="L416" s="8" t="s">
        <v>852</v>
      </c>
      <c r="M416" s="10">
        <v>0</v>
      </c>
      <c r="N416" s="8" t="s">
        <v>606</v>
      </c>
      <c r="O416" s="8" t="s">
        <v>9</v>
      </c>
      <c r="P416" s="8" t="s">
        <v>1956</v>
      </c>
      <c r="Q416" s="8" t="s">
        <v>1956</v>
      </c>
      <c r="R416" s="8" t="s">
        <v>1956</v>
      </c>
      <c r="S416" s="8" t="s">
        <v>356</v>
      </c>
      <c r="T416" s="8" t="s">
        <v>1172</v>
      </c>
      <c r="U416" s="8" t="s">
        <v>1957</v>
      </c>
      <c r="V416" s="8" t="s">
        <v>283</v>
      </c>
      <c r="W416" s="8" t="s">
        <v>1958</v>
      </c>
      <c r="X416" s="8" t="s">
        <v>355</v>
      </c>
      <c r="Y416" s="8" t="s">
        <v>112</v>
      </c>
      <c r="Z416" s="8" t="s">
        <v>2487</v>
      </c>
    </row>
    <row r="417" spans="1:26" ht="24" x14ac:dyDescent="0.3">
      <c r="A417" s="8" t="s">
        <v>2623</v>
      </c>
      <c r="B417" s="8" t="s">
        <v>9</v>
      </c>
      <c r="C417" s="10">
        <v>303264</v>
      </c>
      <c r="D417" s="8" t="s">
        <v>193</v>
      </c>
      <c r="E417" s="8" t="s">
        <v>1951</v>
      </c>
      <c r="F417" s="8" t="s">
        <v>1966</v>
      </c>
      <c r="G417" s="8" t="s">
        <v>9</v>
      </c>
      <c r="H417" s="8" t="s">
        <v>352</v>
      </c>
      <c r="I417" s="8" t="s">
        <v>1729</v>
      </c>
      <c r="J417" s="8" t="s">
        <v>355</v>
      </c>
      <c r="K417" s="8" t="s">
        <v>357</v>
      </c>
      <c r="L417" s="8" t="s">
        <v>852</v>
      </c>
      <c r="M417" s="10">
        <v>824438</v>
      </c>
      <c r="N417" s="8" t="s">
        <v>981</v>
      </c>
      <c r="O417" s="8" t="s">
        <v>9</v>
      </c>
      <c r="P417" s="8" t="s">
        <v>1956</v>
      </c>
      <c r="Q417" s="8" t="s">
        <v>1956</v>
      </c>
      <c r="R417" s="8" t="s">
        <v>1956</v>
      </c>
      <c r="S417" s="8" t="s">
        <v>356</v>
      </c>
      <c r="T417" s="8" t="s">
        <v>1172</v>
      </c>
      <c r="U417" s="8" t="s">
        <v>1968</v>
      </c>
      <c r="V417" s="8" t="s">
        <v>1172</v>
      </c>
      <c r="W417" s="8" t="s">
        <v>1969</v>
      </c>
      <c r="X417" s="8" t="s">
        <v>1907</v>
      </c>
      <c r="Y417" s="8" t="s">
        <v>112</v>
      </c>
      <c r="Z417" s="8" t="s">
        <v>2487</v>
      </c>
    </row>
    <row r="418" spans="1:26" ht="24" x14ac:dyDescent="0.3">
      <c r="A418" s="8" t="s">
        <v>2624</v>
      </c>
      <c r="B418" s="8" t="s">
        <v>9</v>
      </c>
      <c r="C418" s="10">
        <v>303718</v>
      </c>
      <c r="D418" s="8" t="s">
        <v>561</v>
      </c>
      <c r="E418" s="8" t="s">
        <v>1951</v>
      </c>
      <c r="F418" s="8" t="s">
        <v>1952</v>
      </c>
      <c r="G418" s="8" t="s">
        <v>9</v>
      </c>
      <c r="H418" s="8" t="s">
        <v>352</v>
      </c>
      <c r="I418" s="8" t="s">
        <v>1729</v>
      </c>
      <c r="J418" s="8" t="s">
        <v>355</v>
      </c>
      <c r="K418" s="8" t="s">
        <v>357</v>
      </c>
      <c r="L418" s="8" t="s">
        <v>2625</v>
      </c>
      <c r="M418" s="10">
        <v>826768</v>
      </c>
      <c r="N418" s="8" t="s">
        <v>2626</v>
      </c>
      <c r="O418" s="8" t="s">
        <v>9</v>
      </c>
      <c r="P418" s="8" t="s">
        <v>1956</v>
      </c>
      <c r="Q418" s="8" t="s">
        <v>1956</v>
      </c>
      <c r="R418" s="8" t="s">
        <v>1172</v>
      </c>
      <c r="S418" s="8" t="s">
        <v>356</v>
      </c>
      <c r="T418" s="8" t="s">
        <v>1172</v>
      </c>
      <c r="U418" s="8" t="s">
        <v>2195</v>
      </c>
      <c r="V418" s="8" t="s">
        <v>283</v>
      </c>
      <c r="W418" s="8" t="s">
        <v>1958</v>
      </c>
      <c r="X418" s="8" t="s">
        <v>355</v>
      </c>
      <c r="Y418" s="8" t="s">
        <v>112</v>
      </c>
      <c r="Z418" s="8" t="s">
        <v>1959</v>
      </c>
    </row>
    <row r="419" spans="1:26" ht="24" x14ac:dyDescent="0.3">
      <c r="A419" s="8" t="s">
        <v>2627</v>
      </c>
      <c r="B419" s="8" t="s">
        <v>9</v>
      </c>
      <c r="C419" s="10">
        <v>303718</v>
      </c>
      <c r="D419" s="8" t="s">
        <v>561</v>
      </c>
      <c r="E419" s="8" t="s">
        <v>1951</v>
      </c>
      <c r="F419" s="8" t="s">
        <v>1952</v>
      </c>
      <c r="G419" s="8" t="s">
        <v>9</v>
      </c>
      <c r="H419" s="8" t="s">
        <v>352</v>
      </c>
      <c r="I419" s="8" t="s">
        <v>1973</v>
      </c>
      <c r="J419" s="8" t="s">
        <v>2628</v>
      </c>
      <c r="K419" s="8" t="s">
        <v>357</v>
      </c>
      <c r="L419" s="8" t="s">
        <v>2625</v>
      </c>
      <c r="M419" s="10">
        <v>824438</v>
      </c>
      <c r="N419" s="8" t="s">
        <v>981</v>
      </c>
      <c r="O419" s="8" t="s">
        <v>9</v>
      </c>
      <c r="P419" s="8" t="s">
        <v>1956</v>
      </c>
      <c r="Q419" s="8" t="s">
        <v>1956</v>
      </c>
      <c r="R419" s="8" t="s">
        <v>1172</v>
      </c>
      <c r="S419" s="8" t="s">
        <v>356</v>
      </c>
      <c r="T419" s="8" t="s">
        <v>1172</v>
      </c>
      <c r="U419" s="8" t="s">
        <v>2195</v>
      </c>
      <c r="V419" s="8" t="s">
        <v>283</v>
      </c>
      <c r="W419" s="8" t="s">
        <v>1958</v>
      </c>
      <c r="X419" s="8" t="s">
        <v>355</v>
      </c>
      <c r="Y419" s="8" t="s">
        <v>112</v>
      </c>
      <c r="Z419" s="8" t="s">
        <v>1959</v>
      </c>
    </row>
    <row r="420" spans="1:26" ht="24" x14ac:dyDescent="0.3">
      <c r="A420" s="8" t="s">
        <v>2629</v>
      </c>
      <c r="B420" s="8" t="s">
        <v>9</v>
      </c>
      <c r="C420" s="10">
        <v>303718</v>
      </c>
      <c r="D420" s="8" t="s">
        <v>561</v>
      </c>
      <c r="E420" s="8" t="s">
        <v>1951</v>
      </c>
      <c r="F420" s="8" t="s">
        <v>1952</v>
      </c>
      <c r="G420" s="8" t="s">
        <v>9</v>
      </c>
      <c r="H420" s="8" t="s">
        <v>352</v>
      </c>
      <c r="I420" s="8" t="s">
        <v>1977</v>
      </c>
      <c r="J420" s="8" t="s">
        <v>2630</v>
      </c>
      <c r="K420" s="8" t="s">
        <v>357</v>
      </c>
      <c r="L420" s="8" t="s">
        <v>2625</v>
      </c>
      <c r="M420" s="10">
        <v>826767</v>
      </c>
      <c r="N420" s="8" t="s">
        <v>2631</v>
      </c>
      <c r="O420" s="8" t="s">
        <v>9</v>
      </c>
      <c r="P420" s="8" t="s">
        <v>1956</v>
      </c>
      <c r="Q420" s="8" t="s">
        <v>1956</v>
      </c>
      <c r="R420" s="8" t="s">
        <v>1172</v>
      </c>
      <c r="S420" s="8" t="s">
        <v>356</v>
      </c>
      <c r="T420" s="8" t="s">
        <v>1172</v>
      </c>
      <c r="U420" s="8" t="s">
        <v>2195</v>
      </c>
      <c r="V420" s="8" t="s">
        <v>283</v>
      </c>
      <c r="W420" s="8" t="s">
        <v>1958</v>
      </c>
      <c r="X420" s="8" t="s">
        <v>355</v>
      </c>
      <c r="Y420" s="8" t="s">
        <v>112</v>
      </c>
      <c r="Z420" s="8" t="s">
        <v>1959</v>
      </c>
    </row>
    <row r="421" spans="1:26" ht="24" x14ac:dyDescent="0.3">
      <c r="A421" s="8" t="s">
        <v>2632</v>
      </c>
      <c r="B421" s="8" t="s">
        <v>9</v>
      </c>
      <c r="C421" s="10">
        <v>305162</v>
      </c>
      <c r="D421" s="8" t="s">
        <v>195</v>
      </c>
      <c r="E421" s="8" t="s">
        <v>1951</v>
      </c>
      <c r="F421" s="8" t="s">
        <v>1966</v>
      </c>
      <c r="G421" s="8" t="s">
        <v>9</v>
      </c>
      <c r="H421" s="8" t="s">
        <v>352</v>
      </c>
      <c r="I421" s="8" t="s">
        <v>1729</v>
      </c>
      <c r="J421" s="8" t="s">
        <v>355</v>
      </c>
      <c r="K421" s="8" t="s">
        <v>357</v>
      </c>
      <c r="L421" s="8" t="s">
        <v>852</v>
      </c>
      <c r="M421" s="10">
        <v>826967</v>
      </c>
      <c r="N421" s="8" t="s">
        <v>984</v>
      </c>
      <c r="O421" s="8" t="s">
        <v>9</v>
      </c>
      <c r="P421" s="8" t="s">
        <v>1956</v>
      </c>
      <c r="Q421" s="8" t="s">
        <v>1956</v>
      </c>
      <c r="R421" s="8" t="s">
        <v>1172</v>
      </c>
      <c r="S421" s="8" t="s">
        <v>356</v>
      </c>
      <c r="T421" s="8" t="s">
        <v>1172</v>
      </c>
      <c r="U421" s="8" t="s">
        <v>1968</v>
      </c>
      <c r="V421" s="8" t="s">
        <v>1172</v>
      </c>
      <c r="W421" s="8" t="s">
        <v>1969</v>
      </c>
      <c r="X421" s="8" t="s">
        <v>1913</v>
      </c>
      <c r="Y421" s="8" t="s">
        <v>112</v>
      </c>
      <c r="Z421" s="8" t="s">
        <v>2487</v>
      </c>
    </row>
    <row r="422" spans="1:26" ht="24" x14ac:dyDescent="0.3">
      <c r="A422" s="8" t="s">
        <v>2633</v>
      </c>
      <c r="B422" s="8" t="s">
        <v>9</v>
      </c>
      <c r="C422" s="10">
        <v>305162</v>
      </c>
      <c r="D422" s="8" t="s">
        <v>195</v>
      </c>
      <c r="E422" s="8" t="s">
        <v>1951</v>
      </c>
      <c r="F422" s="8" t="s">
        <v>1966</v>
      </c>
      <c r="G422" s="8" t="s">
        <v>9</v>
      </c>
      <c r="H422" s="8" t="s">
        <v>352</v>
      </c>
      <c r="I422" s="8" t="s">
        <v>1973</v>
      </c>
      <c r="J422" s="8" t="s">
        <v>2630</v>
      </c>
      <c r="K422" s="8" t="s">
        <v>357</v>
      </c>
      <c r="L422" s="8" t="s">
        <v>852</v>
      </c>
      <c r="M422" s="10">
        <v>826968</v>
      </c>
      <c r="N422" s="8" t="s">
        <v>987</v>
      </c>
      <c r="O422" s="8" t="s">
        <v>9</v>
      </c>
      <c r="P422" s="8" t="s">
        <v>1956</v>
      </c>
      <c r="Q422" s="8" t="s">
        <v>1956</v>
      </c>
      <c r="R422" s="8" t="s">
        <v>1172</v>
      </c>
      <c r="S422" s="8" t="s">
        <v>356</v>
      </c>
      <c r="T422" s="8" t="s">
        <v>1172</v>
      </c>
      <c r="U422" s="8" t="s">
        <v>1968</v>
      </c>
      <c r="V422" s="8" t="s">
        <v>1172</v>
      </c>
      <c r="W422" s="8" t="s">
        <v>1969</v>
      </c>
      <c r="X422" s="8" t="s">
        <v>1913</v>
      </c>
      <c r="Y422" s="8" t="s">
        <v>112</v>
      </c>
      <c r="Z422" s="8" t="s">
        <v>2487</v>
      </c>
    </row>
    <row r="423" spans="1:26" ht="24" x14ac:dyDescent="0.3">
      <c r="A423" s="8" t="s">
        <v>2634</v>
      </c>
      <c r="B423" s="8" t="s">
        <v>9</v>
      </c>
      <c r="C423" s="10">
        <v>305162</v>
      </c>
      <c r="D423" s="8" t="s">
        <v>195</v>
      </c>
      <c r="E423" s="8" t="s">
        <v>1951</v>
      </c>
      <c r="F423" s="8" t="s">
        <v>1966</v>
      </c>
      <c r="G423" s="8" t="s">
        <v>9</v>
      </c>
      <c r="H423" s="8" t="s">
        <v>352</v>
      </c>
      <c r="I423" s="8" t="s">
        <v>1977</v>
      </c>
      <c r="J423" s="8" t="s">
        <v>2635</v>
      </c>
      <c r="K423" s="8" t="s">
        <v>357</v>
      </c>
      <c r="L423" s="8" t="s">
        <v>852</v>
      </c>
      <c r="M423" s="10">
        <v>823474</v>
      </c>
      <c r="N423" s="8" t="s">
        <v>989</v>
      </c>
      <c r="O423" s="8" t="s">
        <v>9</v>
      </c>
      <c r="P423" s="8" t="s">
        <v>1956</v>
      </c>
      <c r="Q423" s="8" t="s">
        <v>1956</v>
      </c>
      <c r="R423" s="8" t="s">
        <v>1172</v>
      </c>
      <c r="S423" s="8" t="s">
        <v>356</v>
      </c>
      <c r="T423" s="8" t="s">
        <v>1172</v>
      </c>
      <c r="U423" s="8" t="s">
        <v>1968</v>
      </c>
      <c r="V423" s="8" t="s">
        <v>1172</v>
      </c>
      <c r="W423" s="8" t="s">
        <v>1969</v>
      </c>
      <c r="X423" s="8" t="s">
        <v>1913</v>
      </c>
      <c r="Y423" s="8" t="s">
        <v>112</v>
      </c>
      <c r="Z423" s="8" t="s">
        <v>2487</v>
      </c>
    </row>
    <row r="424" spans="1:26" ht="24" x14ac:dyDescent="0.3">
      <c r="A424" s="8" t="s">
        <v>2636</v>
      </c>
      <c r="B424" s="8" t="s">
        <v>9</v>
      </c>
      <c r="C424" s="10">
        <v>289610</v>
      </c>
      <c r="D424" s="8" t="s">
        <v>566</v>
      </c>
      <c r="E424" s="8" t="s">
        <v>1986</v>
      </c>
      <c r="F424" s="8" t="s">
        <v>1952</v>
      </c>
      <c r="G424" s="8" t="s">
        <v>9</v>
      </c>
      <c r="H424" s="8" t="s">
        <v>352</v>
      </c>
      <c r="I424" s="8" t="s">
        <v>1729</v>
      </c>
      <c r="J424" s="8" t="s">
        <v>355</v>
      </c>
      <c r="K424" s="8" t="s">
        <v>357</v>
      </c>
      <c r="L424" s="8" t="s">
        <v>358</v>
      </c>
      <c r="M424" s="10">
        <v>0</v>
      </c>
      <c r="N424" s="8" t="s">
        <v>606</v>
      </c>
      <c r="O424" s="8" t="s">
        <v>9</v>
      </c>
      <c r="P424" s="8" t="s">
        <v>2038</v>
      </c>
      <c r="Q424" s="8" t="s">
        <v>1956</v>
      </c>
      <c r="R424" s="8" t="s">
        <v>1956</v>
      </c>
      <c r="S424" s="8" t="s">
        <v>356</v>
      </c>
      <c r="T424" s="8" t="s">
        <v>1172</v>
      </c>
      <c r="U424" s="8" t="s">
        <v>1957</v>
      </c>
      <c r="V424" s="8" t="s">
        <v>283</v>
      </c>
      <c r="W424" s="8" t="s">
        <v>1958</v>
      </c>
      <c r="X424" s="8" t="s">
        <v>355</v>
      </c>
      <c r="Y424" s="8" t="s">
        <v>112</v>
      </c>
      <c r="Z424" s="8" t="s">
        <v>2039</v>
      </c>
    </row>
    <row r="425" spans="1:26" ht="24" x14ac:dyDescent="0.3">
      <c r="A425" s="8" t="s">
        <v>2637</v>
      </c>
      <c r="B425" s="8" t="s">
        <v>9</v>
      </c>
      <c r="C425" s="10">
        <v>289610</v>
      </c>
      <c r="D425" s="8" t="s">
        <v>566</v>
      </c>
      <c r="E425" s="8" t="s">
        <v>1986</v>
      </c>
      <c r="F425" s="8" t="s">
        <v>1952</v>
      </c>
      <c r="G425" s="8" t="s">
        <v>9</v>
      </c>
      <c r="H425" s="8" t="s">
        <v>352</v>
      </c>
      <c r="I425" s="8" t="s">
        <v>1973</v>
      </c>
      <c r="J425" s="8" t="s">
        <v>355</v>
      </c>
      <c r="K425" s="8" t="s">
        <v>357</v>
      </c>
      <c r="L425" s="8" t="s">
        <v>358</v>
      </c>
      <c r="M425" s="10">
        <v>801713</v>
      </c>
      <c r="N425" s="8" t="s">
        <v>2638</v>
      </c>
      <c r="O425" s="8" t="s">
        <v>9</v>
      </c>
      <c r="P425" s="8" t="s">
        <v>2038</v>
      </c>
      <c r="Q425" s="8" t="s">
        <v>1956</v>
      </c>
      <c r="R425" s="8" t="s">
        <v>1956</v>
      </c>
      <c r="S425" s="8" t="s">
        <v>356</v>
      </c>
      <c r="T425" s="8" t="s">
        <v>1172</v>
      </c>
      <c r="U425" s="8" t="s">
        <v>1957</v>
      </c>
      <c r="V425" s="8" t="s">
        <v>283</v>
      </c>
      <c r="W425" s="8" t="s">
        <v>1958</v>
      </c>
      <c r="X425" s="8" t="s">
        <v>355</v>
      </c>
      <c r="Y425" s="8" t="s">
        <v>112</v>
      </c>
      <c r="Z425" s="8" t="s">
        <v>2039</v>
      </c>
    </row>
    <row r="426" spans="1:26" ht="19.95" customHeight="1" x14ac:dyDescent="0.3">
      <c r="A426" s="8" t="s">
        <v>2639</v>
      </c>
      <c r="B426" s="8" t="s">
        <v>9</v>
      </c>
      <c r="C426" s="10">
        <v>289953</v>
      </c>
      <c r="D426" s="8" t="s">
        <v>197</v>
      </c>
      <c r="E426" s="8" t="s">
        <v>1986</v>
      </c>
      <c r="F426" s="8" t="s">
        <v>1966</v>
      </c>
      <c r="G426" s="8" t="s">
        <v>9</v>
      </c>
      <c r="H426" s="8" t="s">
        <v>352</v>
      </c>
      <c r="I426" s="8" t="s">
        <v>1729</v>
      </c>
      <c r="J426" s="8" t="s">
        <v>2640</v>
      </c>
      <c r="K426" s="8" t="s">
        <v>384</v>
      </c>
      <c r="L426" s="8" t="s">
        <v>991</v>
      </c>
      <c r="M426" s="10">
        <v>0</v>
      </c>
      <c r="N426" s="8" t="s">
        <v>606</v>
      </c>
      <c r="O426" s="8" t="s">
        <v>9</v>
      </c>
      <c r="P426" s="8" t="s">
        <v>1955</v>
      </c>
      <c r="Q426" s="8" t="s">
        <v>1956</v>
      </c>
      <c r="R426" s="8" t="s">
        <v>1956</v>
      </c>
      <c r="S426" s="8" t="s">
        <v>356</v>
      </c>
      <c r="T426" s="8" t="s">
        <v>1172</v>
      </c>
      <c r="U426" s="8" t="s">
        <v>1968</v>
      </c>
      <c r="V426" s="8" t="s">
        <v>1172</v>
      </c>
      <c r="W426" s="8" t="s">
        <v>1969</v>
      </c>
      <c r="X426" s="8" t="s">
        <v>1918</v>
      </c>
      <c r="Y426" s="8" t="s">
        <v>112</v>
      </c>
      <c r="Z426" s="8" t="s">
        <v>1959</v>
      </c>
    </row>
    <row r="427" spans="1:26" ht="24" x14ac:dyDescent="0.3">
      <c r="A427" s="8" t="s">
        <v>2641</v>
      </c>
      <c r="B427" s="8" t="s">
        <v>9</v>
      </c>
      <c r="C427" s="10">
        <v>289953</v>
      </c>
      <c r="D427" s="8" t="s">
        <v>197</v>
      </c>
      <c r="E427" s="8" t="s">
        <v>1986</v>
      </c>
      <c r="F427" s="8" t="s">
        <v>1966</v>
      </c>
      <c r="G427" s="8" t="s">
        <v>9</v>
      </c>
      <c r="H427" s="8" t="s">
        <v>352</v>
      </c>
      <c r="I427" s="8" t="s">
        <v>1729</v>
      </c>
      <c r="J427" s="8" t="s">
        <v>2640</v>
      </c>
      <c r="K427" s="8" t="s">
        <v>384</v>
      </c>
      <c r="L427" s="8" t="s">
        <v>993</v>
      </c>
      <c r="M427" s="10">
        <v>0</v>
      </c>
      <c r="N427" s="8" t="s">
        <v>606</v>
      </c>
      <c r="O427" s="8" t="s">
        <v>9</v>
      </c>
      <c r="P427" s="8" t="s">
        <v>1955</v>
      </c>
      <c r="Q427" s="8" t="s">
        <v>1956</v>
      </c>
      <c r="R427" s="8" t="s">
        <v>1956</v>
      </c>
      <c r="S427" s="8" t="s">
        <v>356</v>
      </c>
      <c r="T427" s="8" t="s">
        <v>1172</v>
      </c>
      <c r="U427" s="8" t="s">
        <v>1968</v>
      </c>
      <c r="V427" s="8" t="s">
        <v>1172</v>
      </c>
      <c r="W427" s="8" t="s">
        <v>1969</v>
      </c>
      <c r="X427" s="8" t="s">
        <v>1918</v>
      </c>
      <c r="Y427" s="8" t="s">
        <v>112</v>
      </c>
      <c r="Z427" s="8" t="s">
        <v>1959</v>
      </c>
    </row>
    <row r="428" spans="1:26" ht="19.95" customHeight="1" x14ac:dyDescent="0.3">
      <c r="A428" s="8" t="s">
        <v>2642</v>
      </c>
      <c r="B428" s="8" t="s">
        <v>9</v>
      </c>
      <c r="C428" s="10">
        <v>289953</v>
      </c>
      <c r="D428" s="8" t="s">
        <v>197</v>
      </c>
      <c r="E428" s="8" t="s">
        <v>1986</v>
      </c>
      <c r="F428" s="8" t="s">
        <v>1966</v>
      </c>
      <c r="G428" s="8" t="s">
        <v>9</v>
      </c>
      <c r="H428" s="8" t="s">
        <v>352</v>
      </c>
      <c r="I428" s="8" t="s">
        <v>1973</v>
      </c>
      <c r="J428" s="8" t="s">
        <v>2640</v>
      </c>
      <c r="K428" s="8" t="s">
        <v>384</v>
      </c>
      <c r="L428" s="8" t="s">
        <v>991</v>
      </c>
      <c r="M428" s="10">
        <v>0</v>
      </c>
      <c r="N428" s="8" t="s">
        <v>608</v>
      </c>
      <c r="O428" s="8" t="s">
        <v>9</v>
      </c>
      <c r="P428" s="8" t="s">
        <v>1955</v>
      </c>
      <c r="Q428" s="8" t="s">
        <v>1956</v>
      </c>
      <c r="R428" s="8" t="s">
        <v>1956</v>
      </c>
      <c r="S428" s="8" t="s">
        <v>356</v>
      </c>
      <c r="T428" s="8" t="s">
        <v>1172</v>
      </c>
      <c r="U428" s="8" t="s">
        <v>1968</v>
      </c>
      <c r="V428" s="8" t="s">
        <v>1172</v>
      </c>
      <c r="W428" s="8" t="s">
        <v>1969</v>
      </c>
      <c r="X428" s="8" t="s">
        <v>1918</v>
      </c>
      <c r="Y428" s="8" t="s">
        <v>112</v>
      </c>
      <c r="Z428" s="8" t="s">
        <v>1959</v>
      </c>
    </row>
    <row r="429" spans="1:26" ht="24" x14ac:dyDescent="0.3">
      <c r="A429" s="8" t="s">
        <v>2643</v>
      </c>
      <c r="B429" s="8" t="s">
        <v>9</v>
      </c>
      <c r="C429" s="10">
        <v>289953</v>
      </c>
      <c r="D429" s="8" t="s">
        <v>197</v>
      </c>
      <c r="E429" s="8" t="s">
        <v>1986</v>
      </c>
      <c r="F429" s="8" t="s">
        <v>1966</v>
      </c>
      <c r="G429" s="8" t="s">
        <v>9</v>
      </c>
      <c r="H429" s="8" t="s">
        <v>352</v>
      </c>
      <c r="I429" s="8" t="s">
        <v>1973</v>
      </c>
      <c r="J429" s="8" t="s">
        <v>2640</v>
      </c>
      <c r="K429" s="8" t="s">
        <v>384</v>
      </c>
      <c r="L429" s="8" t="s">
        <v>993</v>
      </c>
      <c r="M429" s="10">
        <v>0</v>
      </c>
      <c r="N429" s="8" t="s">
        <v>745</v>
      </c>
      <c r="O429" s="8" t="s">
        <v>9</v>
      </c>
      <c r="P429" s="8" t="s">
        <v>1955</v>
      </c>
      <c r="Q429" s="8" t="s">
        <v>1956</v>
      </c>
      <c r="R429" s="8" t="s">
        <v>1956</v>
      </c>
      <c r="S429" s="8" t="s">
        <v>356</v>
      </c>
      <c r="T429" s="8" t="s">
        <v>1172</v>
      </c>
      <c r="U429" s="8" t="s">
        <v>1968</v>
      </c>
      <c r="V429" s="8" t="s">
        <v>1172</v>
      </c>
      <c r="W429" s="8" t="s">
        <v>1969</v>
      </c>
      <c r="X429" s="8" t="s">
        <v>1918</v>
      </c>
      <c r="Y429" s="8" t="s">
        <v>112</v>
      </c>
      <c r="Z429" s="8" t="s">
        <v>1959</v>
      </c>
    </row>
    <row r="430" spans="1:26" ht="48" x14ac:dyDescent="0.3">
      <c r="A430" s="8" t="s">
        <v>2644</v>
      </c>
      <c r="B430" s="8" t="s">
        <v>9</v>
      </c>
      <c r="C430" s="10">
        <v>319331</v>
      </c>
      <c r="D430" s="8" t="s">
        <v>199</v>
      </c>
      <c r="E430" s="8" t="s">
        <v>1951</v>
      </c>
      <c r="F430" s="8" t="s">
        <v>1966</v>
      </c>
      <c r="G430" s="8" t="s">
        <v>9</v>
      </c>
      <c r="H430" s="8" t="s">
        <v>352</v>
      </c>
      <c r="I430" s="8" t="s">
        <v>1729</v>
      </c>
      <c r="J430" s="8" t="s">
        <v>2645</v>
      </c>
      <c r="K430" s="8" t="s">
        <v>384</v>
      </c>
      <c r="L430" s="8" t="s">
        <v>856</v>
      </c>
      <c r="M430" s="10">
        <v>0</v>
      </c>
      <c r="N430" s="8" t="s">
        <v>997</v>
      </c>
      <c r="O430" s="8" t="s">
        <v>9</v>
      </c>
      <c r="P430" s="8" t="s">
        <v>1955</v>
      </c>
      <c r="Q430" s="8" t="s">
        <v>1956</v>
      </c>
      <c r="R430" s="8" t="s">
        <v>1956</v>
      </c>
      <c r="S430" s="8" t="s">
        <v>356</v>
      </c>
      <c r="T430" s="8" t="s">
        <v>1172</v>
      </c>
      <c r="U430" s="8" t="s">
        <v>1968</v>
      </c>
      <c r="V430" s="8" t="s">
        <v>1172</v>
      </c>
      <c r="W430" s="8" t="s">
        <v>1969</v>
      </c>
      <c r="X430" s="8" t="s">
        <v>1923</v>
      </c>
      <c r="Y430" s="8" t="s">
        <v>112</v>
      </c>
      <c r="Z430" s="8" t="s">
        <v>1988</v>
      </c>
    </row>
    <row r="431" spans="1:26" ht="48" x14ac:dyDescent="0.3">
      <c r="A431" s="8" t="s">
        <v>2646</v>
      </c>
      <c r="B431" s="8" t="s">
        <v>9</v>
      </c>
      <c r="C431" s="10">
        <v>319331</v>
      </c>
      <c r="D431" s="8" t="s">
        <v>199</v>
      </c>
      <c r="E431" s="8" t="s">
        <v>1951</v>
      </c>
      <c r="F431" s="8" t="s">
        <v>1966</v>
      </c>
      <c r="G431" s="8" t="s">
        <v>9</v>
      </c>
      <c r="H431" s="8" t="s">
        <v>352</v>
      </c>
      <c r="I431" s="8" t="s">
        <v>1729</v>
      </c>
      <c r="J431" s="8" t="s">
        <v>2645</v>
      </c>
      <c r="K431" s="8" t="s">
        <v>384</v>
      </c>
      <c r="L431" s="8" t="s">
        <v>1005</v>
      </c>
      <c r="M431" s="10">
        <v>0</v>
      </c>
      <c r="N431" s="8" t="s">
        <v>697</v>
      </c>
      <c r="O431" s="8" t="s">
        <v>9</v>
      </c>
      <c r="P431" s="8" t="s">
        <v>1955</v>
      </c>
      <c r="Q431" s="8" t="s">
        <v>1956</v>
      </c>
      <c r="R431" s="8" t="s">
        <v>1956</v>
      </c>
      <c r="S431" s="8" t="s">
        <v>356</v>
      </c>
      <c r="T431" s="8" t="s">
        <v>1172</v>
      </c>
      <c r="U431" s="8" t="s">
        <v>1968</v>
      </c>
      <c r="V431" s="8" t="s">
        <v>1172</v>
      </c>
      <c r="W431" s="8" t="s">
        <v>1969</v>
      </c>
      <c r="X431" s="8" t="s">
        <v>1923</v>
      </c>
      <c r="Y431" s="8" t="s">
        <v>112</v>
      </c>
      <c r="Z431" s="8" t="s">
        <v>1988</v>
      </c>
    </row>
    <row r="432" spans="1:26" ht="48" x14ac:dyDescent="0.3">
      <c r="A432" s="8" t="s">
        <v>2647</v>
      </c>
      <c r="B432" s="8" t="s">
        <v>9</v>
      </c>
      <c r="C432" s="10">
        <v>319331</v>
      </c>
      <c r="D432" s="8" t="s">
        <v>199</v>
      </c>
      <c r="E432" s="8" t="s">
        <v>1951</v>
      </c>
      <c r="F432" s="8" t="s">
        <v>1966</v>
      </c>
      <c r="G432" s="8" t="s">
        <v>9</v>
      </c>
      <c r="H432" s="8" t="s">
        <v>352</v>
      </c>
      <c r="I432" s="8" t="s">
        <v>1729</v>
      </c>
      <c r="J432" s="8" t="s">
        <v>2645</v>
      </c>
      <c r="K432" s="8" t="s">
        <v>384</v>
      </c>
      <c r="L432" s="8" t="s">
        <v>999</v>
      </c>
      <c r="M432" s="10">
        <v>0</v>
      </c>
      <c r="N432" s="8" t="s">
        <v>1000</v>
      </c>
      <c r="O432" s="8" t="s">
        <v>9</v>
      </c>
      <c r="P432" s="8" t="s">
        <v>1955</v>
      </c>
      <c r="Q432" s="8" t="s">
        <v>1956</v>
      </c>
      <c r="R432" s="8" t="s">
        <v>1956</v>
      </c>
      <c r="S432" s="8" t="s">
        <v>356</v>
      </c>
      <c r="T432" s="8" t="s">
        <v>1172</v>
      </c>
      <c r="U432" s="8" t="s">
        <v>1968</v>
      </c>
      <c r="V432" s="8" t="s">
        <v>1172</v>
      </c>
      <c r="W432" s="8" t="s">
        <v>1969</v>
      </c>
      <c r="X432" s="8" t="s">
        <v>1923</v>
      </c>
      <c r="Y432" s="8" t="s">
        <v>112</v>
      </c>
      <c r="Z432" s="8" t="s">
        <v>1988</v>
      </c>
    </row>
    <row r="433" spans="1:26" ht="48" x14ac:dyDescent="0.3">
      <c r="A433" s="8" t="s">
        <v>2648</v>
      </c>
      <c r="B433" s="8" t="s">
        <v>9</v>
      </c>
      <c r="C433" s="10">
        <v>319331</v>
      </c>
      <c r="D433" s="8" t="s">
        <v>199</v>
      </c>
      <c r="E433" s="8" t="s">
        <v>1951</v>
      </c>
      <c r="F433" s="8" t="s">
        <v>1966</v>
      </c>
      <c r="G433" s="8" t="s">
        <v>9</v>
      </c>
      <c r="H433" s="8" t="s">
        <v>352</v>
      </c>
      <c r="I433" s="8" t="s">
        <v>1729</v>
      </c>
      <c r="J433" s="8" t="s">
        <v>2645</v>
      </c>
      <c r="K433" s="8" t="s">
        <v>384</v>
      </c>
      <c r="L433" s="8" t="s">
        <v>1002</v>
      </c>
      <c r="M433" s="10">
        <v>0</v>
      </c>
      <c r="N433" s="8" t="s">
        <v>1003</v>
      </c>
      <c r="O433" s="8" t="s">
        <v>9</v>
      </c>
      <c r="P433" s="8" t="s">
        <v>1955</v>
      </c>
      <c r="Q433" s="8" t="s">
        <v>1956</v>
      </c>
      <c r="R433" s="8" t="s">
        <v>1956</v>
      </c>
      <c r="S433" s="8" t="s">
        <v>356</v>
      </c>
      <c r="T433" s="8" t="s">
        <v>1172</v>
      </c>
      <c r="U433" s="8" t="s">
        <v>1968</v>
      </c>
      <c r="V433" s="8" t="s">
        <v>1172</v>
      </c>
      <c r="W433" s="8" t="s">
        <v>1969</v>
      </c>
      <c r="X433" s="8" t="s">
        <v>1923</v>
      </c>
      <c r="Y433" s="8" t="s">
        <v>112</v>
      </c>
      <c r="Z433" s="8" t="s">
        <v>1988</v>
      </c>
    </row>
    <row r="434" spans="1:26" ht="48" x14ac:dyDescent="0.3">
      <c r="A434" s="8" t="s">
        <v>2649</v>
      </c>
      <c r="B434" s="8" t="s">
        <v>9</v>
      </c>
      <c r="C434" s="10">
        <v>282267</v>
      </c>
      <c r="D434" s="8" t="s">
        <v>570</v>
      </c>
      <c r="E434" s="8" t="s">
        <v>1951</v>
      </c>
      <c r="F434" s="8" t="s">
        <v>1952</v>
      </c>
      <c r="G434" s="8" t="s">
        <v>9</v>
      </c>
      <c r="H434" s="8" t="s">
        <v>352</v>
      </c>
      <c r="I434" s="8" t="s">
        <v>1729</v>
      </c>
      <c r="J434" s="8" t="s">
        <v>2650</v>
      </c>
      <c r="K434" s="8" t="s">
        <v>384</v>
      </c>
      <c r="L434" s="8" t="s">
        <v>2186</v>
      </c>
      <c r="M434" s="10">
        <v>0</v>
      </c>
      <c r="N434" s="8" t="s">
        <v>590</v>
      </c>
      <c r="O434" s="8" t="s">
        <v>9</v>
      </c>
      <c r="P434" s="8" t="s">
        <v>1955</v>
      </c>
      <c r="Q434" s="8" t="s">
        <v>1956</v>
      </c>
      <c r="R434" s="8" t="s">
        <v>1956</v>
      </c>
      <c r="S434" s="8" t="s">
        <v>356</v>
      </c>
      <c r="T434" s="8" t="s">
        <v>1172</v>
      </c>
      <c r="U434" s="8" t="s">
        <v>1957</v>
      </c>
      <c r="V434" s="8" t="s">
        <v>283</v>
      </c>
      <c r="W434" s="8" t="s">
        <v>1958</v>
      </c>
      <c r="X434" s="8" t="s">
        <v>355</v>
      </c>
      <c r="Y434" s="8" t="s">
        <v>112</v>
      </c>
      <c r="Z434" s="8" t="s">
        <v>1970</v>
      </c>
    </row>
    <row r="435" spans="1:26" ht="48" x14ac:dyDescent="0.3">
      <c r="A435" s="8" t="s">
        <v>2651</v>
      </c>
      <c r="B435" s="8" t="s">
        <v>9</v>
      </c>
      <c r="C435" s="10">
        <v>282267</v>
      </c>
      <c r="D435" s="8" t="s">
        <v>570</v>
      </c>
      <c r="E435" s="8" t="s">
        <v>1951</v>
      </c>
      <c r="F435" s="8" t="s">
        <v>1952</v>
      </c>
      <c r="G435" s="8" t="s">
        <v>9</v>
      </c>
      <c r="H435" s="8" t="s">
        <v>352</v>
      </c>
      <c r="I435" s="8" t="s">
        <v>1973</v>
      </c>
      <c r="J435" s="8" t="s">
        <v>2652</v>
      </c>
      <c r="K435" s="8" t="s">
        <v>384</v>
      </c>
      <c r="L435" s="8" t="s">
        <v>2186</v>
      </c>
      <c r="M435" s="10">
        <v>0</v>
      </c>
      <c r="N435" s="8" t="s">
        <v>603</v>
      </c>
      <c r="O435" s="8" t="s">
        <v>9</v>
      </c>
      <c r="P435" s="8" t="s">
        <v>1955</v>
      </c>
      <c r="Q435" s="8" t="s">
        <v>1956</v>
      </c>
      <c r="R435" s="8" t="s">
        <v>1956</v>
      </c>
      <c r="S435" s="8" t="s">
        <v>356</v>
      </c>
      <c r="T435" s="8" t="s">
        <v>1172</v>
      </c>
      <c r="U435" s="8" t="s">
        <v>1957</v>
      </c>
      <c r="V435" s="8" t="s">
        <v>283</v>
      </c>
      <c r="W435" s="8" t="s">
        <v>1958</v>
      </c>
      <c r="X435" s="8" t="s">
        <v>355</v>
      </c>
      <c r="Y435" s="8" t="s">
        <v>112</v>
      </c>
      <c r="Z435" s="8" t="s">
        <v>1970</v>
      </c>
    </row>
  </sheetData>
  <mergeCells count="2">
    <mergeCell ref="A1:Z1"/>
    <mergeCell ref="A2:Z2"/>
  </mergeCells>
  <conditionalFormatting sqref="Y5:Y635">
    <cfRule type="cellIs" dxfId="21" priority="1" stopIfTrue="1" operator="equal">
      <formula>"Pass"</formula>
    </cfRule>
    <cfRule type="cellIs" dxfId="20" priority="2" stopIfTrue="1" operator="equal">
      <formula>"Fail"</formula>
    </cfRule>
    <cfRule type="cellIs" dxfId="19" priority="3" stopIfTrue="1" operator="equal">
      <formula>"Blocked"</formula>
    </cfRule>
    <cfRule type="cellIs" dxfId="18" priority="4" stopIfTrue="1" operator="equal">
      <formula>"In Progress"</formula>
    </cfRule>
    <cfRule type="cellIs" dxfId="17" priority="5" stopIfTrue="1" operator="equal">
      <formula>"Not Started"</formula>
    </cfRule>
    <cfRule type="cellIs" dxfId="16" priority="6" stopIfTrue="1" operator="equal">
      <formula>"N/A"</formula>
    </cfRule>
    <cfRule type="cellIs" dxfId="15" priority="7" stopIfTrue="1" operator="equal">
      <formula>"Ready"</formula>
    </cfRule>
    <cfRule type="cellIs" dxfId="14" priority="8" stopIfTrue="1" operator="equal">
      <formula>"Not Ready"</formula>
    </cfRule>
  </conditionalFormatting>
  <dataValidations count="5">
    <dataValidation type="list" allowBlank="1" showInputMessage="1" showErrorMessage="1" errorTitle="Invalid selection" error="Select a value from the dropdown list." sqref="G5:G635" xr:uid="{7546046F-9F17-4380-8003-D27665D86FDA}">
      <formula1>"Critical,High,Medium,Low,To Be Confirmed"</formula1>
    </dataValidation>
    <dataValidation type="list" allowBlank="1" showInputMessage="1" showErrorMessage="1" errorTitle="Invalid selection" error="Select a value from the dropdown list." sqref="O5:O635" xr:uid="{96EB13F2-3DC9-4776-B0C3-DC8452731855}">
      <formula1>"Yes,No,To Be Confirmed"</formula1>
    </dataValidation>
    <dataValidation type="list" allowBlank="1" showInputMessage="1" showErrorMessage="1" errorTitle="Invalid selection" error="Select a value from the dropdown list." sqref="U5:U635" xr:uid="{A8411D8C-1799-4B04-B819-CDE7BB80B5C1}">
      <formula1>"High,Medium,Low"</formula1>
    </dataValidation>
    <dataValidation type="list" allowBlank="1" showInputMessage="1" showErrorMessage="1" errorTitle="Invalid selection" error="Select a value from the dropdown list." sqref="V5:V635" xr:uid="{234BD39E-E655-4EB0-8AEE-F95FD11C384D}">
      <formula1>"Yes,No"</formula1>
    </dataValidation>
    <dataValidation type="list" allowBlank="1" showInputMessage="1" showErrorMessage="1" errorTitle="Invalid selection" error="Select a value from the dropdown list." sqref="Y5:Y635" xr:uid="{431DEAA3-6721-46B5-916F-33DEB93A0018}">
      <formula1>"Not Started,In Progress,Pass,Fail,Blocked,N/A"</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127FE-782A-407A-A6DD-E59141907071}">
  <dimension ref="A1:AC77"/>
  <sheetViews>
    <sheetView showGridLines="0" zoomScale="65" zoomScaleNormal="65" workbookViewId="0">
      <pane xSplit="5" ySplit="4" topLeftCell="F5" activePane="bottomRight" state="frozenSplit"/>
      <selection pane="bottomLeft" activeCell="A5" sqref="A5"/>
      <selection pane="topRight" activeCell="F1" sqref="F1"/>
      <selection pane="bottomRight"/>
    </sheetView>
  </sheetViews>
  <sheetFormatPr defaultRowHeight="14.4" x14ac:dyDescent="0.3"/>
  <cols>
    <col min="1" max="1" width="16.77734375" style="11" customWidth="1"/>
    <col min="2" max="2" width="38.77734375" customWidth="1"/>
    <col min="3" max="4" width="18.77734375" customWidth="1"/>
    <col min="5" max="5" width="14.77734375" style="11" customWidth="1"/>
    <col min="6" max="6" width="34.77734375" customWidth="1"/>
    <col min="7" max="7" width="30.77734375" customWidth="1"/>
    <col min="8" max="9" width="18.77734375" customWidth="1"/>
    <col min="10" max="10" width="28.77734375" customWidth="1"/>
    <col min="11" max="11" width="42.77734375" customWidth="1"/>
    <col min="12" max="12" width="30.77734375" customWidth="1"/>
    <col min="13" max="13" width="52.77734375" customWidth="1"/>
    <col min="14" max="20" width="44.77734375" customWidth="1"/>
    <col min="21" max="21" width="16.77734375" customWidth="1"/>
    <col min="22" max="22" width="18.77734375" customWidth="1"/>
    <col min="23" max="23" width="16.77734375" style="11" customWidth="1"/>
    <col min="24" max="24" width="30.77734375" customWidth="1"/>
    <col min="25" max="25" width="18.77734375" customWidth="1"/>
    <col min="26" max="26" width="14.77734375" style="17" customWidth="1"/>
    <col min="27" max="27" width="16.77734375" customWidth="1"/>
    <col min="28" max="28" width="18.77734375" customWidth="1"/>
    <col min="29" max="29" width="44.77734375" customWidth="1"/>
  </cols>
  <sheetData>
    <row r="1" spans="1:29" ht="30" customHeight="1" x14ac:dyDescent="0.3">
      <c r="A1" s="1" t="s">
        <v>1523</v>
      </c>
      <c r="B1" s="1"/>
      <c r="C1" s="1"/>
      <c r="D1" s="1"/>
      <c r="E1" s="1"/>
      <c r="F1" s="1"/>
      <c r="G1" s="1"/>
      <c r="H1" s="1"/>
      <c r="I1" s="1"/>
      <c r="J1" s="1"/>
      <c r="K1" s="1"/>
      <c r="L1" s="1"/>
      <c r="M1" s="1"/>
      <c r="N1" s="1"/>
      <c r="O1" s="1"/>
      <c r="P1" s="1"/>
      <c r="Q1" s="1"/>
      <c r="R1" s="1"/>
      <c r="S1" s="1"/>
      <c r="T1" s="1"/>
      <c r="U1" s="1"/>
      <c r="V1" s="1"/>
      <c r="W1" s="1"/>
      <c r="X1" s="1"/>
      <c r="Y1" s="1"/>
      <c r="Z1" s="1"/>
      <c r="AA1" s="1"/>
      <c r="AB1" s="1"/>
      <c r="AC1" s="1"/>
    </row>
    <row r="2" spans="1:29" ht="28.05" customHeight="1" x14ac:dyDescent="0.3">
      <c r="A2" s="2" t="s">
        <v>1524</v>
      </c>
      <c r="B2" s="2"/>
      <c r="C2" s="2"/>
      <c r="D2" s="2"/>
      <c r="E2" s="2"/>
      <c r="F2" s="2"/>
      <c r="G2" s="2"/>
      <c r="H2" s="2"/>
      <c r="I2" s="2"/>
      <c r="J2" s="2"/>
      <c r="K2" s="2"/>
      <c r="L2" s="2"/>
      <c r="M2" s="2"/>
      <c r="N2" s="2"/>
      <c r="O2" s="2"/>
      <c r="P2" s="2"/>
      <c r="Q2" s="2"/>
      <c r="R2" s="2"/>
      <c r="S2" s="2"/>
      <c r="T2" s="2"/>
      <c r="U2" s="2"/>
      <c r="V2" s="2"/>
      <c r="W2" s="2"/>
      <c r="X2" s="2"/>
      <c r="Y2" s="2"/>
      <c r="Z2" s="2"/>
      <c r="AA2" s="2"/>
      <c r="AB2" s="2"/>
      <c r="AC2" s="2"/>
    </row>
    <row r="4" spans="1:29" ht="42" customHeight="1" x14ac:dyDescent="0.3">
      <c r="A4" s="9" t="s">
        <v>203</v>
      </c>
      <c r="B4" s="7" t="s">
        <v>220</v>
      </c>
      <c r="C4" s="7" t="s">
        <v>1525</v>
      </c>
      <c r="D4" s="7" t="s">
        <v>94</v>
      </c>
      <c r="E4" s="9" t="s">
        <v>92</v>
      </c>
      <c r="F4" s="7" t="s">
        <v>93</v>
      </c>
      <c r="G4" s="7" t="s">
        <v>1024</v>
      </c>
      <c r="H4" s="7" t="s">
        <v>332</v>
      </c>
      <c r="I4" s="7" t="s">
        <v>210</v>
      </c>
      <c r="J4" s="7" t="s">
        <v>573</v>
      </c>
      <c r="K4" s="7" t="s">
        <v>1526</v>
      </c>
      <c r="L4" s="7" t="s">
        <v>1527</v>
      </c>
      <c r="M4" s="7" t="s">
        <v>1528</v>
      </c>
      <c r="N4" s="7" t="s">
        <v>1529</v>
      </c>
      <c r="O4" s="7" t="s">
        <v>1530</v>
      </c>
      <c r="P4" s="7" t="s">
        <v>1531</v>
      </c>
      <c r="Q4" s="7" t="s">
        <v>1532</v>
      </c>
      <c r="R4" s="7" t="s">
        <v>1533</v>
      </c>
      <c r="S4" s="7" t="s">
        <v>1534</v>
      </c>
      <c r="T4" s="7" t="s">
        <v>207</v>
      </c>
      <c r="U4" s="7" t="s">
        <v>25</v>
      </c>
      <c r="V4" s="7" t="s">
        <v>1535</v>
      </c>
      <c r="W4" s="9" t="s">
        <v>204</v>
      </c>
      <c r="X4" s="7" t="s">
        <v>212</v>
      </c>
      <c r="Y4" s="7" t="s">
        <v>1536</v>
      </c>
      <c r="Z4" s="15" t="s">
        <v>1537</v>
      </c>
      <c r="AA4" s="7" t="s">
        <v>1538</v>
      </c>
      <c r="AB4" s="7" t="s">
        <v>1539</v>
      </c>
      <c r="AC4" s="7" t="s">
        <v>7</v>
      </c>
    </row>
    <row r="5" spans="1:29" ht="24" x14ac:dyDescent="0.3">
      <c r="A5" s="10" t="s">
        <v>1540</v>
      </c>
      <c r="B5" s="8" t="s">
        <v>1541</v>
      </c>
      <c r="C5" s="8" t="s">
        <v>1542</v>
      </c>
      <c r="D5" s="8" t="s">
        <v>9</v>
      </c>
      <c r="E5" s="10" t="s">
        <v>9</v>
      </c>
      <c r="F5" s="8" t="s">
        <v>1543</v>
      </c>
      <c r="G5" s="8" t="s">
        <v>9</v>
      </c>
      <c r="H5" s="8" t="s">
        <v>1544</v>
      </c>
      <c r="I5" s="8" t="s">
        <v>9</v>
      </c>
      <c r="J5" s="8" t="s">
        <v>9</v>
      </c>
      <c r="K5" s="8" t="s">
        <v>1545</v>
      </c>
      <c r="L5" s="8" t="s">
        <v>9</v>
      </c>
      <c r="M5" s="8" t="s">
        <v>1546</v>
      </c>
      <c r="N5" s="8" t="s">
        <v>1547</v>
      </c>
      <c r="O5" s="8" t="s">
        <v>1548</v>
      </c>
      <c r="P5" s="8" t="s">
        <v>1549</v>
      </c>
      <c r="Q5" s="8" t="s">
        <v>1550</v>
      </c>
      <c r="R5" s="8" t="s">
        <v>1551</v>
      </c>
      <c r="S5" s="8" t="s">
        <v>1552</v>
      </c>
      <c r="T5" s="8"/>
      <c r="U5" s="8" t="s">
        <v>112</v>
      </c>
      <c r="V5" s="8"/>
      <c r="W5" s="10"/>
      <c r="X5" s="8"/>
      <c r="Y5" s="8"/>
      <c r="Z5" s="16"/>
      <c r="AA5" s="8" t="s">
        <v>112</v>
      </c>
      <c r="AB5" s="8"/>
      <c r="AC5" s="8" t="s">
        <v>1553</v>
      </c>
    </row>
    <row r="6" spans="1:29" ht="24" x14ac:dyDescent="0.3">
      <c r="A6" s="10" t="s">
        <v>1554</v>
      </c>
      <c r="B6" s="8" t="s">
        <v>1555</v>
      </c>
      <c r="C6" s="8" t="s">
        <v>1542</v>
      </c>
      <c r="D6" s="8" t="s">
        <v>9</v>
      </c>
      <c r="E6" s="10" t="s">
        <v>9</v>
      </c>
      <c r="F6" s="8" t="s">
        <v>1543</v>
      </c>
      <c r="G6" s="8" t="s">
        <v>9</v>
      </c>
      <c r="H6" s="8" t="s">
        <v>1544</v>
      </c>
      <c r="I6" s="8" t="s">
        <v>9</v>
      </c>
      <c r="J6" s="8" t="s">
        <v>9</v>
      </c>
      <c r="K6" s="8" t="s">
        <v>1545</v>
      </c>
      <c r="L6" s="8" t="s">
        <v>9</v>
      </c>
      <c r="M6" s="8" t="s">
        <v>1556</v>
      </c>
      <c r="N6" s="8" t="s">
        <v>1557</v>
      </c>
      <c r="O6" s="8" t="s">
        <v>1548</v>
      </c>
      <c r="P6" s="8" t="s">
        <v>1549</v>
      </c>
      <c r="Q6" s="8" t="s">
        <v>1550</v>
      </c>
      <c r="R6" s="8" t="s">
        <v>1551</v>
      </c>
      <c r="S6" s="8" t="s">
        <v>1552</v>
      </c>
      <c r="T6" s="8"/>
      <c r="U6" s="8" t="s">
        <v>112</v>
      </c>
      <c r="V6" s="8"/>
      <c r="W6" s="10"/>
      <c r="X6" s="8"/>
      <c r="Y6" s="8"/>
      <c r="Z6" s="16"/>
      <c r="AA6" s="8" t="s">
        <v>112</v>
      </c>
      <c r="AB6" s="8"/>
      <c r="AC6" s="8" t="s">
        <v>1553</v>
      </c>
    </row>
    <row r="7" spans="1:29" ht="24" x14ac:dyDescent="0.3">
      <c r="A7" s="10" t="s">
        <v>1558</v>
      </c>
      <c r="B7" s="8" t="s">
        <v>1559</v>
      </c>
      <c r="C7" s="8" t="s">
        <v>1542</v>
      </c>
      <c r="D7" s="8" t="s">
        <v>9</v>
      </c>
      <c r="E7" s="10" t="s">
        <v>9</v>
      </c>
      <c r="F7" s="8" t="s">
        <v>1543</v>
      </c>
      <c r="G7" s="8" t="s">
        <v>9</v>
      </c>
      <c r="H7" s="8" t="s">
        <v>1544</v>
      </c>
      <c r="I7" s="8" t="s">
        <v>9</v>
      </c>
      <c r="J7" s="8" t="s">
        <v>9</v>
      </c>
      <c r="K7" s="8" t="s">
        <v>1545</v>
      </c>
      <c r="L7" s="8" t="s">
        <v>9</v>
      </c>
      <c r="M7" s="8" t="s">
        <v>1560</v>
      </c>
      <c r="N7" s="8" t="s">
        <v>1561</v>
      </c>
      <c r="O7" s="8" t="s">
        <v>1548</v>
      </c>
      <c r="P7" s="8" t="s">
        <v>1549</v>
      </c>
      <c r="Q7" s="8" t="s">
        <v>1550</v>
      </c>
      <c r="R7" s="8" t="s">
        <v>1551</v>
      </c>
      <c r="S7" s="8" t="s">
        <v>1552</v>
      </c>
      <c r="T7" s="8"/>
      <c r="U7" s="8" t="s">
        <v>112</v>
      </c>
      <c r="V7" s="8"/>
      <c r="W7" s="10"/>
      <c r="X7" s="8"/>
      <c r="Y7" s="8"/>
      <c r="Z7" s="16"/>
      <c r="AA7" s="8" t="s">
        <v>112</v>
      </c>
      <c r="AB7" s="8"/>
      <c r="AC7" s="8" t="s">
        <v>1553</v>
      </c>
    </row>
    <row r="8" spans="1:29" ht="24" x14ac:dyDescent="0.3">
      <c r="A8" s="10" t="s">
        <v>1562</v>
      </c>
      <c r="B8" s="8" t="s">
        <v>1563</v>
      </c>
      <c r="C8" s="8" t="s">
        <v>1564</v>
      </c>
      <c r="D8" s="8" t="s">
        <v>9</v>
      </c>
      <c r="E8" s="10" t="s">
        <v>9</v>
      </c>
      <c r="F8" s="8" t="s">
        <v>1543</v>
      </c>
      <c r="G8" s="8" t="s">
        <v>9</v>
      </c>
      <c r="H8" s="8" t="s">
        <v>1544</v>
      </c>
      <c r="I8" s="8" t="s">
        <v>9</v>
      </c>
      <c r="J8" s="8" t="s">
        <v>9</v>
      </c>
      <c r="K8" s="8" t="s">
        <v>1545</v>
      </c>
      <c r="L8" s="8" t="s">
        <v>9</v>
      </c>
      <c r="M8" s="8" t="s">
        <v>1565</v>
      </c>
      <c r="N8" s="8" t="s">
        <v>1566</v>
      </c>
      <c r="O8" s="8" t="s">
        <v>1548</v>
      </c>
      <c r="P8" s="8" t="s">
        <v>1549</v>
      </c>
      <c r="Q8" s="8" t="s">
        <v>1550</v>
      </c>
      <c r="R8" s="8" t="s">
        <v>1566</v>
      </c>
      <c r="S8" s="8" t="s">
        <v>1552</v>
      </c>
      <c r="T8" s="8"/>
      <c r="U8" s="8" t="s">
        <v>112</v>
      </c>
      <c r="V8" s="8"/>
      <c r="W8" s="10"/>
      <c r="X8" s="8"/>
      <c r="Y8" s="8"/>
      <c r="Z8" s="16"/>
      <c r="AA8" s="8" t="s">
        <v>112</v>
      </c>
      <c r="AB8" s="8"/>
      <c r="AC8" s="8" t="s">
        <v>1553</v>
      </c>
    </row>
    <row r="9" spans="1:29" ht="24" x14ac:dyDescent="0.3">
      <c r="A9" s="10" t="s">
        <v>1567</v>
      </c>
      <c r="B9" s="8" t="s">
        <v>1568</v>
      </c>
      <c r="C9" s="8" t="s">
        <v>1569</v>
      </c>
      <c r="D9" s="8" t="s">
        <v>9</v>
      </c>
      <c r="E9" s="10" t="s">
        <v>9</v>
      </c>
      <c r="F9" s="8" t="s">
        <v>1543</v>
      </c>
      <c r="G9" s="8" t="s">
        <v>9</v>
      </c>
      <c r="H9" s="8" t="s">
        <v>1544</v>
      </c>
      <c r="I9" s="8" t="s">
        <v>9</v>
      </c>
      <c r="J9" s="8" t="s">
        <v>9</v>
      </c>
      <c r="K9" s="8" t="s">
        <v>1545</v>
      </c>
      <c r="L9" s="8" t="s">
        <v>9</v>
      </c>
      <c r="M9" s="8" t="s">
        <v>1570</v>
      </c>
      <c r="N9" s="8" t="s">
        <v>1571</v>
      </c>
      <c r="O9" s="8" t="s">
        <v>1572</v>
      </c>
      <c r="P9" s="8" t="s">
        <v>1549</v>
      </c>
      <c r="Q9" s="8" t="s">
        <v>1550</v>
      </c>
      <c r="R9" s="8" t="s">
        <v>1551</v>
      </c>
      <c r="S9" s="8" t="s">
        <v>1552</v>
      </c>
      <c r="T9" s="8"/>
      <c r="U9" s="8" t="s">
        <v>112</v>
      </c>
      <c r="V9" s="8"/>
      <c r="W9" s="10"/>
      <c r="X9" s="8"/>
      <c r="Y9" s="8"/>
      <c r="Z9" s="16"/>
      <c r="AA9" s="8" t="s">
        <v>112</v>
      </c>
      <c r="AB9" s="8"/>
      <c r="AC9" s="8" t="s">
        <v>1553</v>
      </c>
    </row>
    <row r="10" spans="1:29" ht="24" x14ac:dyDescent="0.3">
      <c r="A10" s="10" t="s">
        <v>1573</v>
      </c>
      <c r="B10" s="8" t="s">
        <v>1574</v>
      </c>
      <c r="C10" s="8" t="s">
        <v>1569</v>
      </c>
      <c r="D10" s="8" t="s">
        <v>9</v>
      </c>
      <c r="E10" s="10" t="s">
        <v>9</v>
      </c>
      <c r="F10" s="8" t="s">
        <v>1543</v>
      </c>
      <c r="G10" s="8" t="s">
        <v>9</v>
      </c>
      <c r="H10" s="8" t="s">
        <v>1544</v>
      </c>
      <c r="I10" s="8" t="s">
        <v>9</v>
      </c>
      <c r="J10" s="8" t="s">
        <v>9</v>
      </c>
      <c r="K10" s="8" t="s">
        <v>1545</v>
      </c>
      <c r="L10" s="8" t="s">
        <v>9</v>
      </c>
      <c r="M10" s="8" t="s">
        <v>1575</v>
      </c>
      <c r="N10" s="8" t="s">
        <v>1571</v>
      </c>
      <c r="O10" s="8" t="s">
        <v>1576</v>
      </c>
      <c r="P10" s="8" t="s">
        <v>1549</v>
      </c>
      <c r="Q10" s="8" t="s">
        <v>1550</v>
      </c>
      <c r="R10" s="8" t="s">
        <v>1551</v>
      </c>
      <c r="S10" s="8" t="s">
        <v>1552</v>
      </c>
      <c r="T10" s="8"/>
      <c r="U10" s="8" t="s">
        <v>112</v>
      </c>
      <c r="V10" s="8"/>
      <c r="W10" s="10"/>
      <c r="X10" s="8"/>
      <c r="Y10" s="8"/>
      <c r="Z10" s="16"/>
      <c r="AA10" s="8" t="s">
        <v>112</v>
      </c>
      <c r="AB10" s="8"/>
      <c r="AC10" s="8" t="s">
        <v>1553</v>
      </c>
    </row>
    <row r="11" spans="1:29" ht="24" x14ac:dyDescent="0.3">
      <c r="A11" s="10" t="s">
        <v>1577</v>
      </c>
      <c r="B11" s="8" t="s">
        <v>1578</v>
      </c>
      <c r="C11" s="8" t="s">
        <v>1569</v>
      </c>
      <c r="D11" s="8" t="s">
        <v>9</v>
      </c>
      <c r="E11" s="10" t="s">
        <v>9</v>
      </c>
      <c r="F11" s="8" t="s">
        <v>1543</v>
      </c>
      <c r="G11" s="8" t="s">
        <v>9</v>
      </c>
      <c r="H11" s="8" t="s">
        <v>1544</v>
      </c>
      <c r="I11" s="8" t="s">
        <v>9</v>
      </c>
      <c r="J11" s="8" t="s">
        <v>9</v>
      </c>
      <c r="K11" s="8" t="s">
        <v>1545</v>
      </c>
      <c r="L11" s="8" t="s">
        <v>9</v>
      </c>
      <c r="M11" s="8" t="s">
        <v>1579</v>
      </c>
      <c r="N11" s="8" t="s">
        <v>1571</v>
      </c>
      <c r="O11" s="8" t="s">
        <v>1580</v>
      </c>
      <c r="P11" s="8" t="s">
        <v>1549</v>
      </c>
      <c r="Q11" s="8" t="s">
        <v>1550</v>
      </c>
      <c r="R11" s="8" t="s">
        <v>1551</v>
      </c>
      <c r="S11" s="8" t="s">
        <v>1552</v>
      </c>
      <c r="T11" s="8"/>
      <c r="U11" s="8" t="s">
        <v>112</v>
      </c>
      <c r="V11" s="8"/>
      <c r="W11" s="10"/>
      <c r="X11" s="8"/>
      <c r="Y11" s="8"/>
      <c r="Z11" s="16"/>
      <c r="AA11" s="8" t="s">
        <v>112</v>
      </c>
      <c r="AB11" s="8"/>
      <c r="AC11" s="8" t="s">
        <v>1553</v>
      </c>
    </row>
    <row r="12" spans="1:29" ht="24" x14ac:dyDescent="0.3">
      <c r="A12" s="10" t="s">
        <v>1581</v>
      </c>
      <c r="B12" s="8" t="s">
        <v>1582</v>
      </c>
      <c r="C12" s="8" t="s">
        <v>1583</v>
      </c>
      <c r="D12" s="8" t="s">
        <v>9</v>
      </c>
      <c r="E12" s="10" t="s">
        <v>9</v>
      </c>
      <c r="F12" s="8" t="s">
        <v>1543</v>
      </c>
      <c r="G12" s="8" t="s">
        <v>9</v>
      </c>
      <c r="H12" s="8" t="s">
        <v>1544</v>
      </c>
      <c r="I12" s="8" t="s">
        <v>9</v>
      </c>
      <c r="J12" s="8" t="s">
        <v>9</v>
      </c>
      <c r="K12" s="8" t="s">
        <v>1545</v>
      </c>
      <c r="L12" s="8" t="s">
        <v>9</v>
      </c>
      <c r="M12" s="8" t="s">
        <v>1584</v>
      </c>
      <c r="N12" s="8" t="s">
        <v>1585</v>
      </c>
      <c r="O12" s="8" t="s">
        <v>1585</v>
      </c>
      <c r="P12" s="8" t="s">
        <v>1549</v>
      </c>
      <c r="Q12" s="8" t="s">
        <v>1550</v>
      </c>
      <c r="R12" s="8" t="s">
        <v>1551</v>
      </c>
      <c r="S12" s="8" t="s">
        <v>1552</v>
      </c>
      <c r="T12" s="8"/>
      <c r="U12" s="8" t="s">
        <v>112</v>
      </c>
      <c r="V12" s="8"/>
      <c r="W12" s="10"/>
      <c r="X12" s="8"/>
      <c r="Y12" s="8"/>
      <c r="Z12" s="16"/>
      <c r="AA12" s="8" t="s">
        <v>112</v>
      </c>
      <c r="AB12" s="8"/>
      <c r="AC12" s="8" t="s">
        <v>1553</v>
      </c>
    </row>
    <row r="13" spans="1:29" ht="24" x14ac:dyDescent="0.3">
      <c r="A13" s="10" t="s">
        <v>1586</v>
      </c>
      <c r="B13" s="8" t="s">
        <v>1587</v>
      </c>
      <c r="C13" s="8" t="s">
        <v>1588</v>
      </c>
      <c r="D13" s="8" t="s">
        <v>9</v>
      </c>
      <c r="E13" s="10" t="s">
        <v>9</v>
      </c>
      <c r="F13" s="8" t="s">
        <v>1543</v>
      </c>
      <c r="G13" s="8" t="s">
        <v>9</v>
      </c>
      <c r="H13" s="8" t="s">
        <v>1544</v>
      </c>
      <c r="I13" s="8" t="s">
        <v>9</v>
      </c>
      <c r="J13" s="8" t="s">
        <v>9</v>
      </c>
      <c r="K13" s="8" t="s">
        <v>1545</v>
      </c>
      <c r="L13" s="8" t="s">
        <v>9</v>
      </c>
      <c r="M13" s="8" t="s">
        <v>1589</v>
      </c>
      <c r="N13" s="8" t="s">
        <v>1571</v>
      </c>
      <c r="O13" s="8" t="s">
        <v>1548</v>
      </c>
      <c r="P13" s="8" t="s">
        <v>1549</v>
      </c>
      <c r="Q13" s="8" t="s">
        <v>1590</v>
      </c>
      <c r="R13" s="8" t="s">
        <v>1551</v>
      </c>
      <c r="S13" s="8" t="s">
        <v>1552</v>
      </c>
      <c r="T13" s="8"/>
      <c r="U13" s="8" t="s">
        <v>112</v>
      </c>
      <c r="V13" s="8"/>
      <c r="W13" s="10"/>
      <c r="X13" s="8"/>
      <c r="Y13" s="8"/>
      <c r="Z13" s="16"/>
      <c r="AA13" s="8" t="s">
        <v>112</v>
      </c>
      <c r="AB13" s="8"/>
      <c r="AC13" s="8" t="s">
        <v>1553</v>
      </c>
    </row>
    <row r="14" spans="1:29" ht="24" x14ac:dyDescent="0.3">
      <c r="A14" s="10" t="s">
        <v>1591</v>
      </c>
      <c r="B14" s="8" t="s">
        <v>1592</v>
      </c>
      <c r="C14" s="8" t="s">
        <v>1588</v>
      </c>
      <c r="D14" s="8" t="s">
        <v>9</v>
      </c>
      <c r="E14" s="10" t="s">
        <v>9</v>
      </c>
      <c r="F14" s="8" t="s">
        <v>1543</v>
      </c>
      <c r="G14" s="8" t="s">
        <v>9</v>
      </c>
      <c r="H14" s="8" t="s">
        <v>1544</v>
      </c>
      <c r="I14" s="8" t="s">
        <v>9</v>
      </c>
      <c r="J14" s="8" t="s">
        <v>9</v>
      </c>
      <c r="K14" s="8" t="s">
        <v>1545</v>
      </c>
      <c r="L14" s="8" t="s">
        <v>9</v>
      </c>
      <c r="M14" s="8" t="s">
        <v>1593</v>
      </c>
      <c r="N14" s="8" t="s">
        <v>1571</v>
      </c>
      <c r="O14" s="8" t="s">
        <v>1548</v>
      </c>
      <c r="P14" s="8" t="s">
        <v>1549</v>
      </c>
      <c r="Q14" s="8" t="s">
        <v>1594</v>
      </c>
      <c r="R14" s="8" t="s">
        <v>1551</v>
      </c>
      <c r="S14" s="8" t="s">
        <v>1552</v>
      </c>
      <c r="T14" s="8"/>
      <c r="U14" s="8" t="s">
        <v>112</v>
      </c>
      <c r="V14" s="8"/>
      <c r="W14" s="10"/>
      <c r="X14" s="8"/>
      <c r="Y14" s="8"/>
      <c r="Z14" s="16"/>
      <c r="AA14" s="8" t="s">
        <v>112</v>
      </c>
      <c r="AB14" s="8"/>
      <c r="AC14" s="8" t="s">
        <v>1553</v>
      </c>
    </row>
    <row r="15" spans="1:29" ht="24" x14ac:dyDescent="0.3">
      <c r="A15" s="10" t="s">
        <v>1595</v>
      </c>
      <c r="B15" s="8" t="s">
        <v>1596</v>
      </c>
      <c r="C15" s="8" t="s">
        <v>1597</v>
      </c>
      <c r="D15" s="8" t="s">
        <v>9</v>
      </c>
      <c r="E15" s="10" t="s">
        <v>9</v>
      </c>
      <c r="F15" s="8" t="s">
        <v>1543</v>
      </c>
      <c r="G15" s="8" t="s">
        <v>9</v>
      </c>
      <c r="H15" s="8" t="s">
        <v>1544</v>
      </c>
      <c r="I15" s="8" t="s">
        <v>9</v>
      </c>
      <c r="J15" s="8" t="s">
        <v>9</v>
      </c>
      <c r="K15" s="8" t="s">
        <v>1545</v>
      </c>
      <c r="L15" s="8" t="s">
        <v>9</v>
      </c>
      <c r="M15" s="8" t="s">
        <v>1598</v>
      </c>
      <c r="N15" s="8" t="s">
        <v>1571</v>
      </c>
      <c r="O15" s="8" t="s">
        <v>1548</v>
      </c>
      <c r="P15" s="8" t="s">
        <v>1599</v>
      </c>
      <c r="Q15" s="8" t="s">
        <v>1550</v>
      </c>
      <c r="R15" s="8" t="s">
        <v>1551</v>
      </c>
      <c r="S15" s="8" t="s">
        <v>1552</v>
      </c>
      <c r="T15" s="8"/>
      <c r="U15" s="8" t="s">
        <v>112</v>
      </c>
      <c r="V15" s="8"/>
      <c r="W15" s="10"/>
      <c r="X15" s="8"/>
      <c r="Y15" s="8"/>
      <c r="Z15" s="16"/>
      <c r="AA15" s="8" t="s">
        <v>112</v>
      </c>
      <c r="AB15" s="8"/>
      <c r="AC15" s="8" t="s">
        <v>1553</v>
      </c>
    </row>
    <row r="16" spans="1:29" ht="24" x14ac:dyDescent="0.3">
      <c r="A16" s="10" t="s">
        <v>1600</v>
      </c>
      <c r="B16" s="8" t="s">
        <v>1601</v>
      </c>
      <c r="C16" s="8" t="s">
        <v>1597</v>
      </c>
      <c r="D16" s="8" t="s">
        <v>9</v>
      </c>
      <c r="E16" s="10" t="s">
        <v>9</v>
      </c>
      <c r="F16" s="8" t="s">
        <v>1543</v>
      </c>
      <c r="G16" s="8" t="s">
        <v>9</v>
      </c>
      <c r="H16" s="8" t="s">
        <v>1544</v>
      </c>
      <c r="I16" s="8" t="s">
        <v>9</v>
      </c>
      <c r="J16" s="8" t="s">
        <v>9</v>
      </c>
      <c r="K16" s="8" t="s">
        <v>1545</v>
      </c>
      <c r="L16" s="8" t="s">
        <v>9</v>
      </c>
      <c r="M16" s="8" t="s">
        <v>1602</v>
      </c>
      <c r="N16" s="8" t="s">
        <v>1571</v>
      </c>
      <c r="O16" s="8" t="s">
        <v>1548</v>
      </c>
      <c r="P16" s="8" t="s">
        <v>1603</v>
      </c>
      <c r="Q16" s="8" t="s">
        <v>1550</v>
      </c>
      <c r="R16" s="8" t="s">
        <v>1551</v>
      </c>
      <c r="S16" s="8" t="s">
        <v>1552</v>
      </c>
      <c r="T16" s="8"/>
      <c r="U16" s="8" t="s">
        <v>112</v>
      </c>
      <c r="V16" s="8"/>
      <c r="W16" s="10"/>
      <c r="X16" s="8"/>
      <c r="Y16" s="8"/>
      <c r="Z16" s="16"/>
      <c r="AA16" s="8" t="s">
        <v>112</v>
      </c>
      <c r="AB16" s="8"/>
      <c r="AC16" s="8" t="s">
        <v>1553</v>
      </c>
    </row>
    <row r="17" spans="1:29" ht="24" x14ac:dyDescent="0.3">
      <c r="A17" s="10" t="s">
        <v>1604</v>
      </c>
      <c r="B17" s="8" t="s">
        <v>1605</v>
      </c>
      <c r="C17" s="8" t="s">
        <v>1606</v>
      </c>
      <c r="D17" s="8" t="s">
        <v>9</v>
      </c>
      <c r="E17" s="10" t="s">
        <v>9</v>
      </c>
      <c r="F17" s="8" t="s">
        <v>1543</v>
      </c>
      <c r="G17" s="8" t="s">
        <v>9</v>
      </c>
      <c r="H17" s="8" t="s">
        <v>1544</v>
      </c>
      <c r="I17" s="8" t="s">
        <v>9</v>
      </c>
      <c r="J17" s="8" t="s">
        <v>9</v>
      </c>
      <c r="K17" s="8" t="s">
        <v>1545</v>
      </c>
      <c r="L17" s="8" t="s">
        <v>9</v>
      </c>
      <c r="M17" s="8" t="s">
        <v>1607</v>
      </c>
      <c r="N17" s="8" t="s">
        <v>1571</v>
      </c>
      <c r="O17" s="8" t="s">
        <v>1548</v>
      </c>
      <c r="P17" s="8" t="s">
        <v>1549</v>
      </c>
      <c r="Q17" s="8" t="s">
        <v>1550</v>
      </c>
      <c r="R17" s="8" t="s">
        <v>1608</v>
      </c>
      <c r="S17" s="8" t="s">
        <v>1552</v>
      </c>
      <c r="T17" s="8"/>
      <c r="U17" s="8" t="s">
        <v>112</v>
      </c>
      <c r="V17" s="8"/>
      <c r="W17" s="10"/>
      <c r="X17" s="8"/>
      <c r="Y17" s="8"/>
      <c r="Z17" s="16"/>
      <c r="AA17" s="8" t="s">
        <v>112</v>
      </c>
      <c r="AB17" s="8"/>
      <c r="AC17" s="8" t="s">
        <v>1553</v>
      </c>
    </row>
    <row r="18" spans="1:29" ht="24" x14ac:dyDescent="0.3">
      <c r="A18" s="10" t="s">
        <v>1609</v>
      </c>
      <c r="B18" s="8" t="s">
        <v>1610</v>
      </c>
      <c r="C18" s="8" t="s">
        <v>1606</v>
      </c>
      <c r="D18" s="8" t="s">
        <v>9</v>
      </c>
      <c r="E18" s="10" t="s">
        <v>9</v>
      </c>
      <c r="F18" s="8" t="s">
        <v>1543</v>
      </c>
      <c r="G18" s="8" t="s">
        <v>9</v>
      </c>
      <c r="H18" s="8" t="s">
        <v>1544</v>
      </c>
      <c r="I18" s="8" t="s">
        <v>9</v>
      </c>
      <c r="J18" s="8" t="s">
        <v>9</v>
      </c>
      <c r="K18" s="8" t="s">
        <v>1545</v>
      </c>
      <c r="L18" s="8" t="s">
        <v>9</v>
      </c>
      <c r="M18" s="8" t="s">
        <v>1611</v>
      </c>
      <c r="N18" s="8" t="s">
        <v>1571</v>
      </c>
      <c r="O18" s="8" t="s">
        <v>1548</v>
      </c>
      <c r="P18" s="8" t="s">
        <v>1549</v>
      </c>
      <c r="Q18" s="8" t="s">
        <v>1550</v>
      </c>
      <c r="R18" s="8" t="s">
        <v>1612</v>
      </c>
      <c r="S18" s="8" t="s">
        <v>1552</v>
      </c>
      <c r="T18" s="8"/>
      <c r="U18" s="8" t="s">
        <v>112</v>
      </c>
      <c r="V18" s="8"/>
      <c r="W18" s="10"/>
      <c r="X18" s="8"/>
      <c r="Y18" s="8"/>
      <c r="Z18" s="16"/>
      <c r="AA18" s="8" t="s">
        <v>112</v>
      </c>
      <c r="AB18" s="8"/>
      <c r="AC18" s="8" t="s">
        <v>1553</v>
      </c>
    </row>
    <row r="19" spans="1:29" ht="24" x14ac:dyDescent="0.3">
      <c r="A19" s="10" t="s">
        <v>1613</v>
      </c>
      <c r="B19" s="8" t="s">
        <v>1614</v>
      </c>
      <c r="C19" s="8" t="s">
        <v>1606</v>
      </c>
      <c r="D19" s="8" t="s">
        <v>9</v>
      </c>
      <c r="E19" s="10" t="s">
        <v>9</v>
      </c>
      <c r="F19" s="8" t="s">
        <v>1543</v>
      </c>
      <c r="G19" s="8" t="s">
        <v>9</v>
      </c>
      <c r="H19" s="8" t="s">
        <v>1544</v>
      </c>
      <c r="I19" s="8" t="s">
        <v>9</v>
      </c>
      <c r="J19" s="8" t="s">
        <v>9</v>
      </c>
      <c r="K19" s="8" t="s">
        <v>1545</v>
      </c>
      <c r="L19" s="8" t="s">
        <v>9</v>
      </c>
      <c r="M19" s="8" t="s">
        <v>1615</v>
      </c>
      <c r="N19" s="8" t="s">
        <v>1571</v>
      </c>
      <c r="O19" s="8" t="s">
        <v>1548</v>
      </c>
      <c r="P19" s="8" t="s">
        <v>1549</v>
      </c>
      <c r="Q19" s="8" t="s">
        <v>1550</v>
      </c>
      <c r="R19" s="8" t="s">
        <v>1616</v>
      </c>
      <c r="S19" s="8" t="s">
        <v>1552</v>
      </c>
      <c r="T19" s="8"/>
      <c r="U19" s="8" t="s">
        <v>112</v>
      </c>
      <c r="V19" s="8"/>
      <c r="W19" s="10"/>
      <c r="X19" s="8"/>
      <c r="Y19" s="8"/>
      <c r="Z19" s="16"/>
      <c r="AA19" s="8" t="s">
        <v>112</v>
      </c>
      <c r="AB19" s="8"/>
      <c r="AC19" s="8" t="s">
        <v>1553</v>
      </c>
    </row>
    <row r="20" spans="1:29" ht="24" x14ac:dyDescent="0.3">
      <c r="A20" s="10" t="s">
        <v>1617</v>
      </c>
      <c r="B20" s="8" t="s">
        <v>1618</v>
      </c>
      <c r="C20" s="8" t="s">
        <v>1619</v>
      </c>
      <c r="D20" s="8" t="s">
        <v>9</v>
      </c>
      <c r="E20" s="10" t="s">
        <v>9</v>
      </c>
      <c r="F20" s="8" t="s">
        <v>1543</v>
      </c>
      <c r="G20" s="8" t="s">
        <v>9</v>
      </c>
      <c r="H20" s="8" t="s">
        <v>1544</v>
      </c>
      <c r="I20" s="8" t="s">
        <v>9</v>
      </c>
      <c r="J20" s="8" t="s">
        <v>9</v>
      </c>
      <c r="K20" s="8" t="s">
        <v>1545</v>
      </c>
      <c r="L20" s="8" t="s">
        <v>9</v>
      </c>
      <c r="M20" s="8" t="s">
        <v>1620</v>
      </c>
      <c r="N20" s="8" t="s">
        <v>1571</v>
      </c>
      <c r="O20" s="8" t="s">
        <v>1548</v>
      </c>
      <c r="P20" s="8" t="s">
        <v>1549</v>
      </c>
      <c r="Q20" s="8" t="s">
        <v>1550</v>
      </c>
      <c r="R20" s="8" t="s">
        <v>1621</v>
      </c>
      <c r="S20" s="8" t="s">
        <v>1552</v>
      </c>
      <c r="T20" s="8"/>
      <c r="U20" s="8" t="s">
        <v>112</v>
      </c>
      <c r="V20" s="8"/>
      <c r="W20" s="10"/>
      <c r="X20" s="8"/>
      <c r="Y20" s="8"/>
      <c r="Z20" s="16"/>
      <c r="AA20" s="8" t="s">
        <v>112</v>
      </c>
      <c r="AB20" s="8"/>
      <c r="AC20" s="8" t="s">
        <v>1553</v>
      </c>
    </row>
    <row r="21" spans="1:29" ht="24" x14ac:dyDescent="0.3">
      <c r="A21" s="10" t="s">
        <v>1622</v>
      </c>
      <c r="B21" s="8" t="s">
        <v>1623</v>
      </c>
      <c r="C21" s="8" t="s">
        <v>1624</v>
      </c>
      <c r="D21" s="8" t="s">
        <v>9</v>
      </c>
      <c r="E21" s="10" t="s">
        <v>9</v>
      </c>
      <c r="F21" s="8" t="s">
        <v>1543</v>
      </c>
      <c r="G21" s="8" t="s">
        <v>9</v>
      </c>
      <c r="H21" s="8" t="s">
        <v>1544</v>
      </c>
      <c r="I21" s="8" t="s">
        <v>9</v>
      </c>
      <c r="J21" s="8" t="s">
        <v>9</v>
      </c>
      <c r="K21" s="8" t="s">
        <v>1545</v>
      </c>
      <c r="L21" s="8" t="s">
        <v>9</v>
      </c>
      <c r="M21" s="8" t="s">
        <v>1625</v>
      </c>
      <c r="N21" s="8" t="s">
        <v>1571</v>
      </c>
      <c r="O21" s="8" t="s">
        <v>1548</v>
      </c>
      <c r="P21" s="8" t="s">
        <v>1549</v>
      </c>
      <c r="Q21" s="8" t="s">
        <v>1550</v>
      </c>
      <c r="R21" s="8" t="s">
        <v>1626</v>
      </c>
      <c r="S21" s="8" t="s">
        <v>1552</v>
      </c>
      <c r="T21" s="8"/>
      <c r="U21" s="8" t="s">
        <v>112</v>
      </c>
      <c r="V21" s="8"/>
      <c r="W21" s="10"/>
      <c r="X21" s="8"/>
      <c r="Y21" s="8"/>
      <c r="Z21" s="16"/>
      <c r="AA21" s="8" t="s">
        <v>112</v>
      </c>
      <c r="AB21" s="8"/>
      <c r="AC21" s="8" t="s">
        <v>1553</v>
      </c>
    </row>
    <row r="22" spans="1:29" ht="24" x14ac:dyDescent="0.3">
      <c r="A22" s="10" t="s">
        <v>1627</v>
      </c>
      <c r="B22" s="8" t="s">
        <v>1628</v>
      </c>
      <c r="C22" s="8" t="s">
        <v>1629</v>
      </c>
      <c r="D22" s="8" t="s">
        <v>9</v>
      </c>
      <c r="E22" s="10" t="s">
        <v>9</v>
      </c>
      <c r="F22" s="8" t="s">
        <v>1543</v>
      </c>
      <c r="G22" s="8" t="s">
        <v>9</v>
      </c>
      <c r="H22" s="8" t="s">
        <v>1630</v>
      </c>
      <c r="I22" s="8" t="s">
        <v>9</v>
      </c>
      <c r="J22" s="8" t="s">
        <v>9</v>
      </c>
      <c r="K22" s="8" t="s">
        <v>1545</v>
      </c>
      <c r="L22" s="8" t="s">
        <v>9</v>
      </c>
      <c r="M22" s="8" t="s">
        <v>1631</v>
      </c>
      <c r="N22" s="8" t="s">
        <v>1571</v>
      </c>
      <c r="O22" s="8" t="s">
        <v>1548</v>
      </c>
      <c r="P22" s="8" t="s">
        <v>1549</v>
      </c>
      <c r="Q22" s="8" t="s">
        <v>1550</v>
      </c>
      <c r="R22" s="8" t="s">
        <v>1551</v>
      </c>
      <c r="S22" s="8" t="s">
        <v>1632</v>
      </c>
      <c r="T22" s="8"/>
      <c r="U22" s="8" t="s">
        <v>112</v>
      </c>
      <c r="V22" s="8"/>
      <c r="W22" s="10"/>
      <c r="X22" s="8"/>
      <c r="Y22" s="8"/>
      <c r="Z22" s="16"/>
      <c r="AA22" s="8" t="s">
        <v>112</v>
      </c>
      <c r="AB22" s="8"/>
      <c r="AC22" s="8" t="s">
        <v>1553</v>
      </c>
    </row>
    <row r="23" spans="1:29" ht="24" x14ac:dyDescent="0.3">
      <c r="A23" s="10" t="s">
        <v>1633</v>
      </c>
      <c r="B23" s="8" t="s">
        <v>1634</v>
      </c>
      <c r="C23" s="8" t="s">
        <v>1629</v>
      </c>
      <c r="D23" s="8" t="s">
        <v>9</v>
      </c>
      <c r="E23" s="10" t="s">
        <v>9</v>
      </c>
      <c r="F23" s="8" t="s">
        <v>1543</v>
      </c>
      <c r="G23" s="8" t="s">
        <v>9</v>
      </c>
      <c r="H23" s="8" t="s">
        <v>1630</v>
      </c>
      <c r="I23" s="8" t="s">
        <v>9</v>
      </c>
      <c r="J23" s="8" t="s">
        <v>9</v>
      </c>
      <c r="K23" s="8" t="s">
        <v>1545</v>
      </c>
      <c r="L23" s="8" t="s">
        <v>9</v>
      </c>
      <c r="M23" s="8" t="s">
        <v>1635</v>
      </c>
      <c r="N23" s="8" t="s">
        <v>1571</v>
      </c>
      <c r="O23" s="8" t="s">
        <v>1548</v>
      </c>
      <c r="P23" s="8" t="s">
        <v>1549</v>
      </c>
      <c r="Q23" s="8" t="s">
        <v>1550</v>
      </c>
      <c r="R23" s="8" t="s">
        <v>1551</v>
      </c>
      <c r="S23" s="8" t="s">
        <v>1636</v>
      </c>
      <c r="T23" s="8"/>
      <c r="U23" s="8" t="s">
        <v>112</v>
      </c>
      <c r="V23" s="8"/>
      <c r="W23" s="10"/>
      <c r="X23" s="8"/>
      <c r="Y23" s="8"/>
      <c r="Z23" s="16"/>
      <c r="AA23" s="8" t="s">
        <v>112</v>
      </c>
      <c r="AB23" s="8"/>
      <c r="AC23" s="8" t="s">
        <v>1553</v>
      </c>
    </row>
    <row r="24" spans="1:29" ht="24" x14ac:dyDescent="0.3">
      <c r="A24" s="10" t="s">
        <v>1637</v>
      </c>
      <c r="B24" s="8" t="s">
        <v>1638</v>
      </c>
      <c r="C24" s="8" t="s">
        <v>1629</v>
      </c>
      <c r="D24" s="8" t="s">
        <v>9</v>
      </c>
      <c r="E24" s="10" t="s">
        <v>9</v>
      </c>
      <c r="F24" s="8" t="s">
        <v>1543</v>
      </c>
      <c r="G24" s="8" t="s">
        <v>9</v>
      </c>
      <c r="H24" s="8" t="s">
        <v>1630</v>
      </c>
      <c r="I24" s="8" t="s">
        <v>9</v>
      </c>
      <c r="J24" s="8" t="s">
        <v>9</v>
      </c>
      <c r="K24" s="8" t="s">
        <v>1545</v>
      </c>
      <c r="L24" s="8" t="s">
        <v>9</v>
      </c>
      <c r="M24" s="8" t="s">
        <v>1639</v>
      </c>
      <c r="N24" s="8" t="s">
        <v>1571</v>
      </c>
      <c r="O24" s="8" t="s">
        <v>1548</v>
      </c>
      <c r="P24" s="8" t="s">
        <v>1549</v>
      </c>
      <c r="Q24" s="8" t="s">
        <v>1550</v>
      </c>
      <c r="R24" s="8" t="s">
        <v>1551</v>
      </c>
      <c r="S24" s="8" t="s">
        <v>1640</v>
      </c>
      <c r="T24" s="8"/>
      <c r="U24" s="8" t="s">
        <v>112</v>
      </c>
      <c r="V24" s="8"/>
      <c r="W24" s="10"/>
      <c r="X24" s="8"/>
      <c r="Y24" s="8"/>
      <c r="Z24" s="16"/>
      <c r="AA24" s="8" t="s">
        <v>112</v>
      </c>
      <c r="AB24" s="8"/>
      <c r="AC24" s="8" t="s">
        <v>1553</v>
      </c>
    </row>
    <row r="25" spans="1:29" ht="24" x14ac:dyDescent="0.3">
      <c r="A25" s="10" t="s">
        <v>1641</v>
      </c>
      <c r="B25" s="8" t="s">
        <v>1642</v>
      </c>
      <c r="C25" s="8" t="s">
        <v>1629</v>
      </c>
      <c r="D25" s="8" t="s">
        <v>9</v>
      </c>
      <c r="E25" s="10" t="s">
        <v>9</v>
      </c>
      <c r="F25" s="8" t="s">
        <v>1543</v>
      </c>
      <c r="G25" s="8" t="s">
        <v>9</v>
      </c>
      <c r="H25" s="8" t="s">
        <v>1630</v>
      </c>
      <c r="I25" s="8" t="s">
        <v>9</v>
      </c>
      <c r="J25" s="8" t="s">
        <v>9</v>
      </c>
      <c r="K25" s="8" t="s">
        <v>1545</v>
      </c>
      <c r="L25" s="8" t="s">
        <v>9</v>
      </c>
      <c r="M25" s="8" t="s">
        <v>1643</v>
      </c>
      <c r="N25" s="8" t="s">
        <v>1571</v>
      </c>
      <c r="O25" s="8" t="s">
        <v>1548</v>
      </c>
      <c r="P25" s="8" t="s">
        <v>1549</v>
      </c>
      <c r="Q25" s="8" t="s">
        <v>1550</v>
      </c>
      <c r="R25" s="8" t="s">
        <v>1551</v>
      </c>
      <c r="S25" s="8" t="s">
        <v>1644</v>
      </c>
      <c r="T25" s="8"/>
      <c r="U25" s="8" t="s">
        <v>112</v>
      </c>
      <c r="V25" s="8"/>
      <c r="W25" s="10"/>
      <c r="X25" s="8"/>
      <c r="Y25" s="8"/>
      <c r="Z25" s="16"/>
      <c r="AA25" s="8" t="s">
        <v>112</v>
      </c>
      <c r="AB25" s="8"/>
      <c r="AC25" s="8" t="s">
        <v>1553</v>
      </c>
    </row>
    <row r="26" spans="1:29" ht="24" x14ac:dyDescent="0.3">
      <c r="A26" s="10" t="s">
        <v>1645</v>
      </c>
      <c r="B26" s="8" t="s">
        <v>1646</v>
      </c>
      <c r="C26" s="8" t="s">
        <v>1629</v>
      </c>
      <c r="D26" s="8" t="s">
        <v>9</v>
      </c>
      <c r="E26" s="10" t="s">
        <v>9</v>
      </c>
      <c r="F26" s="8" t="s">
        <v>1543</v>
      </c>
      <c r="G26" s="8" t="s">
        <v>9</v>
      </c>
      <c r="H26" s="8" t="s">
        <v>1630</v>
      </c>
      <c r="I26" s="8" t="s">
        <v>9</v>
      </c>
      <c r="J26" s="8" t="s">
        <v>9</v>
      </c>
      <c r="K26" s="8" t="s">
        <v>1545</v>
      </c>
      <c r="L26" s="8" t="s">
        <v>9</v>
      </c>
      <c r="M26" s="8" t="s">
        <v>1647</v>
      </c>
      <c r="N26" s="8" t="s">
        <v>1571</v>
      </c>
      <c r="O26" s="8" t="s">
        <v>1548</v>
      </c>
      <c r="P26" s="8" t="s">
        <v>1549</v>
      </c>
      <c r="Q26" s="8" t="s">
        <v>1550</v>
      </c>
      <c r="R26" s="8" t="s">
        <v>1551</v>
      </c>
      <c r="S26" s="8" t="s">
        <v>1648</v>
      </c>
      <c r="T26" s="8"/>
      <c r="U26" s="8" t="s">
        <v>112</v>
      </c>
      <c r="V26" s="8"/>
      <c r="W26" s="10"/>
      <c r="X26" s="8"/>
      <c r="Y26" s="8"/>
      <c r="Z26" s="16"/>
      <c r="AA26" s="8" t="s">
        <v>112</v>
      </c>
      <c r="AB26" s="8"/>
      <c r="AC26" s="8" t="s">
        <v>1553</v>
      </c>
    </row>
    <row r="27" spans="1:29" ht="24" x14ac:dyDescent="0.3">
      <c r="A27" s="10" t="s">
        <v>1649</v>
      </c>
      <c r="B27" s="8" t="s">
        <v>1650</v>
      </c>
      <c r="C27" s="8" t="s">
        <v>1651</v>
      </c>
      <c r="D27" s="8" t="s">
        <v>9</v>
      </c>
      <c r="E27" s="10" t="s">
        <v>9</v>
      </c>
      <c r="F27" s="8" t="s">
        <v>1543</v>
      </c>
      <c r="G27" s="8" t="s">
        <v>9</v>
      </c>
      <c r="H27" s="8" t="s">
        <v>1652</v>
      </c>
      <c r="I27" s="8" t="s">
        <v>9</v>
      </c>
      <c r="J27" s="8" t="s">
        <v>9</v>
      </c>
      <c r="K27" s="8" t="s">
        <v>1545</v>
      </c>
      <c r="L27" s="8" t="s">
        <v>9</v>
      </c>
      <c r="M27" s="8" t="s">
        <v>1653</v>
      </c>
      <c r="N27" s="8" t="s">
        <v>1571</v>
      </c>
      <c r="O27" s="8" t="s">
        <v>1548</v>
      </c>
      <c r="P27" s="8" t="s">
        <v>1549</v>
      </c>
      <c r="Q27" s="8" t="s">
        <v>1550</v>
      </c>
      <c r="R27" s="8" t="s">
        <v>1551</v>
      </c>
      <c r="S27" s="8" t="s">
        <v>1654</v>
      </c>
      <c r="T27" s="8"/>
      <c r="U27" s="8" t="s">
        <v>112</v>
      </c>
      <c r="V27" s="8"/>
      <c r="W27" s="10"/>
      <c r="X27" s="8"/>
      <c r="Y27" s="8"/>
      <c r="Z27" s="16"/>
      <c r="AA27" s="8" t="s">
        <v>112</v>
      </c>
      <c r="AB27" s="8"/>
      <c r="AC27" s="8" t="s">
        <v>1553</v>
      </c>
    </row>
    <row r="28" spans="1:29" ht="24" x14ac:dyDescent="0.3">
      <c r="A28" s="10" t="s">
        <v>1655</v>
      </c>
      <c r="B28" s="8" t="s">
        <v>1656</v>
      </c>
      <c r="C28" s="8" t="s">
        <v>1657</v>
      </c>
      <c r="D28" s="8" t="s">
        <v>9</v>
      </c>
      <c r="E28" s="10" t="s">
        <v>9</v>
      </c>
      <c r="F28" s="8" t="s">
        <v>1543</v>
      </c>
      <c r="G28" s="8" t="s">
        <v>9</v>
      </c>
      <c r="H28" s="8" t="s">
        <v>1544</v>
      </c>
      <c r="I28" s="8" t="s">
        <v>9</v>
      </c>
      <c r="J28" s="8" t="s">
        <v>9</v>
      </c>
      <c r="K28" s="8" t="s">
        <v>1545</v>
      </c>
      <c r="L28" s="8" t="s">
        <v>9</v>
      </c>
      <c r="M28" s="8" t="s">
        <v>1658</v>
      </c>
      <c r="N28" s="8" t="s">
        <v>1659</v>
      </c>
      <c r="O28" s="8" t="s">
        <v>1659</v>
      </c>
      <c r="P28" s="8" t="s">
        <v>1549</v>
      </c>
      <c r="Q28" s="8" t="s">
        <v>1550</v>
      </c>
      <c r="R28" s="8" t="s">
        <v>1551</v>
      </c>
      <c r="S28" s="8" t="s">
        <v>1659</v>
      </c>
      <c r="T28" s="8"/>
      <c r="U28" s="8" t="s">
        <v>112</v>
      </c>
      <c r="V28" s="8"/>
      <c r="W28" s="10"/>
      <c r="X28" s="8"/>
      <c r="Y28" s="8"/>
      <c r="Z28" s="16"/>
      <c r="AA28" s="8" t="s">
        <v>112</v>
      </c>
      <c r="AB28" s="8"/>
      <c r="AC28" s="8" t="s">
        <v>1553</v>
      </c>
    </row>
    <row r="29" spans="1:29" ht="24" x14ac:dyDescent="0.3">
      <c r="A29" s="10" t="s">
        <v>1660</v>
      </c>
      <c r="B29" s="8" t="s">
        <v>1661</v>
      </c>
      <c r="C29" s="8" t="s">
        <v>1657</v>
      </c>
      <c r="D29" s="8" t="s">
        <v>9</v>
      </c>
      <c r="E29" s="10" t="s">
        <v>9</v>
      </c>
      <c r="F29" s="8" t="s">
        <v>1543</v>
      </c>
      <c r="G29" s="8" t="s">
        <v>9</v>
      </c>
      <c r="H29" s="8" t="s">
        <v>1544</v>
      </c>
      <c r="I29" s="8" t="s">
        <v>9</v>
      </c>
      <c r="J29" s="8" t="s">
        <v>9</v>
      </c>
      <c r="K29" s="8" t="s">
        <v>1545</v>
      </c>
      <c r="L29" s="8" t="s">
        <v>9</v>
      </c>
      <c r="M29" s="8" t="s">
        <v>1662</v>
      </c>
      <c r="N29" s="8" t="s">
        <v>1663</v>
      </c>
      <c r="O29" s="8" t="s">
        <v>1663</v>
      </c>
      <c r="P29" s="8" t="s">
        <v>1549</v>
      </c>
      <c r="Q29" s="8" t="s">
        <v>1550</v>
      </c>
      <c r="R29" s="8" t="s">
        <v>1551</v>
      </c>
      <c r="S29" s="8" t="s">
        <v>1663</v>
      </c>
      <c r="T29" s="8"/>
      <c r="U29" s="8" t="s">
        <v>112</v>
      </c>
      <c r="V29" s="8"/>
      <c r="W29" s="10"/>
      <c r="X29" s="8"/>
      <c r="Y29" s="8"/>
      <c r="Z29" s="16"/>
      <c r="AA29" s="8" t="s">
        <v>112</v>
      </c>
      <c r="AB29" s="8"/>
      <c r="AC29" s="8" t="s">
        <v>1553</v>
      </c>
    </row>
    <row r="30" spans="1:29" ht="24" x14ac:dyDescent="0.3">
      <c r="A30" s="10" t="s">
        <v>1664</v>
      </c>
      <c r="B30" s="8" t="s">
        <v>1665</v>
      </c>
      <c r="C30" s="8" t="s">
        <v>1583</v>
      </c>
      <c r="D30" s="8" t="s">
        <v>9</v>
      </c>
      <c r="E30" s="10" t="s">
        <v>9</v>
      </c>
      <c r="F30" s="8" t="s">
        <v>1543</v>
      </c>
      <c r="G30" s="8" t="s">
        <v>9</v>
      </c>
      <c r="H30" s="8" t="s">
        <v>1544</v>
      </c>
      <c r="I30" s="8" t="s">
        <v>9</v>
      </c>
      <c r="J30" s="8" t="s">
        <v>9</v>
      </c>
      <c r="K30" s="8" t="s">
        <v>1545</v>
      </c>
      <c r="L30" s="8" t="s">
        <v>9</v>
      </c>
      <c r="M30" s="8" t="s">
        <v>1666</v>
      </c>
      <c r="N30" s="8" t="s">
        <v>1667</v>
      </c>
      <c r="O30" s="8" t="s">
        <v>1667</v>
      </c>
      <c r="P30" s="8" t="s">
        <v>1549</v>
      </c>
      <c r="Q30" s="8" t="s">
        <v>1550</v>
      </c>
      <c r="R30" s="8" t="s">
        <v>1551</v>
      </c>
      <c r="S30" s="8" t="s">
        <v>1552</v>
      </c>
      <c r="T30" s="8"/>
      <c r="U30" s="8" t="s">
        <v>112</v>
      </c>
      <c r="V30" s="8"/>
      <c r="W30" s="10"/>
      <c r="X30" s="8"/>
      <c r="Y30" s="8"/>
      <c r="Z30" s="16"/>
      <c r="AA30" s="8" t="s">
        <v>112</v>
      </c>
      <c r="AB30" s="8"/>
      <c r="AC30" s="8" t="s">
        <v>1553</v>
      </c>
    </row>
    <row r="31" spans="1:29" ht="24" x14ac:dyDescent="0.3">
      <c r="A31" s="10" t="s">
        <v>1668</v>
      </c>
      <c r="B31" s="8" t="s">
        <v>1669</v>
      </c>
      <c r="C31" s="8" t="s">
        <v>1583</v>
      </c>
      <c r="D31" s="8" t="s">
        <v>9</v>
      </c>
      <c r="E31" s="10" t="s">
        <v>9</v>
      </c>
      <c r="F31" s="8" t="s">
        <v>1543</v>
      </c>
      <c r="G31" s="8" t="s">
        <v>9</v>
      </c>
      <c r="H31" s="8" t="s">
        <v>1544</v>
      </c>
      <c r="I31" s="8" t="s">
        <v>9</v>
      </c>
      <c r="J31" s="8" t="s">
        <v>9</v>
      </c>
      <c r="K31" s="8" t="s">
        <v>1545</v>
      </c>
      <c r="L31" s="8" t="s">
        <v>9</v>
      </c>
      <c r="M31" s="8" t="s">
        <v>1670</v>
      </c>
      <c r="N31" s="8" t="s">
        <v>1671</v>
      </c>
      <c r="O31" s="8" t="s">
        <v>1671</v>
      </c>
      <c r="P31" s="8" t="s">
        <v>1549</v>
      </c>
      <c r="Q31" s="8" t="s">
        <v>1550</v>
      </c>
      <c r="R31" s="8" t="s">
        <v>1551</v>
      </c>
      <c r="S31" s="8" t="s">
        <v>1552</v>
      </c>
      <c r="T31" s="8"/>
      <c r="U31" s="8" t="s">
        <v>112</v>
      </c>
      <c r="V31" s="8"/>
      <c r="W31" s="10"/>
      <c r="X31" s="8"/>
      <c r="Y31" s="8"/>
      <c r="Z31" s="16"/>
      <c r="AA31" s="8" t="s">
        <v>112</v>
      </c>
      <c r="AB31" s="8"/>
      <c r="AC31" s="8" t="s">
        <v>1553</v>
      </c>
    </row>
    <row r="32" spans="1:29" ht="24" x14ac:dyDescent="0.3">
      <c r="A32" s="10" t="s">
        <v>1672</v>
      </c>
      <c r="B32" s="8" t="s">
        <v>1673</v>
      </c>
      <c r="C32" s="8" t="s">
        <v>1674</v>
      </c>
      <c r="D32" s="8" t="s">
        <v>9</v>
      </c>
      <c r="E32" s="10" t="s">
        <v>9</v>
      </c>
      <c r="F32" s="8" t="s">
        <v>1543</v>
      </c>
      <c r="G32" s="8" t="s">
        <v>9</v>
      </c>
      <c r="H32" s="8" t="s">
        <v>1544</v>
      </c>
      <c r="I32" s="8" t="s">
        <v>9</v>
      </c>
      <c r="J32" s="8" t="s">
        <v>9</v>
      </c>
      <c r="K32" s="8" t="s">
        <v>1545</v>
      </c>
      <c r="L32" s="8" t="s">
        <v>9</v>
      </c>
      <c r="M32" s="8" t="s">
        <v>1675</v>
      </c>
      <c r="N32" s="8" t="s">
        <v>1571</v>
      </c>
      <c r="O32" s="8" t="s">
        <v>1548</v>
      </c>
      <c r="P32" s="8" t="s">
        <v>1549</v>
      </c>
      <c r="Q32" s="8" t="s">
        <v>1550</v>
      </c>
      <c r="R32" s="8" t="s">
        <v>1676</v>
      </c>
      <c r="S32" s="8" t="s">
        <v>1676</v>
      </c>
      <c r="T32" s="8"/>
      <c r="U32" s="8" t="s">
        <v>112</v>
      </c>
      <c r="V32" s="8"/>
      <c r="W32" s="10"/>
      <c r="X32" s="8"/>
      <c r="Y32" s="8"/>
      <c r="Z32" s="16"/>
      <c r="AA32" s="8" t="s">
        <v>112</v>
      </c>
      <c r="AB32" s="8"/>
      <c r="AC32" s="8" t="s">
        <v>1553</v>
      </c>
    </row>
    <row r="33" spans="1:29" ht="24" x14ac:dyDescent="0.3">
      <c r="A33" s="10" t="s">
        <v>1677</v>
      </c>
      <c r="B33" s="8" t="s">
        <v>1678</v>
      </c>
      <c r="C33" s="8" t="s">
        <v>1674</v>
      </c>
      <c r="D33" s="8" t="s">
        <v>9</v>
      </c>
      <c r="E33" s="10" t="s">
        <v>9</v>
      </c>
      <c r="F33" s="8" t="s">
        <v>1543</v>
      </c>
      <c r="G33" s="8" t="s">
        <v>9</v>
      </c>
      <c r="H33" s="8" t="s">
        <v>1544</v>
      </c>
      <c r="I33" s="8" t="s">
        <v>9</v>
      </c>
      <c r="J33" s="8" t="s">
        <v>9</v>
      </c>
      <c r="K33" s="8" t="s">
        <v>1545</v>
      </c>
      <c r="L33" s="8" t="s">
        <v>9</v>
      </c>
      <c r="M33" s="8" t="s">
        <v>1679</v>
      </c>
      <c r="N33" s="8" t="s">
        <v>1571</v>
      </c>
      <c r="O33" s="8" t="s">
        <v>1548</v>
      </c>
      <c r="P33" s="8" t="s">
        <v>1549</v>
      </c>
      <c r="Q33" s="8" t="s">
        <v>1550</v>
      </c>
      <c r="R33" s="8" t="s">
        <v>1680</v>
      </c>
      <c r="S33" s="8" t="s">
        <v>1680</v>
      </c>
      <c r="T33" s="8"/>
      <c r="U33" s="8" t="s">
        <v>112</v>
      </c>
      <c r="V33" s="8"/>
      <c r="W33" s="10"/>
      <c r="X33" s="8"/>
      <c r="Y33" s="8"/>
      <c r="Z33" s="16"/>
      <c r="AA33" s="8" t="s">
        <v>112</v>
      </c>
      <c r="AB33" s="8"/>
      <c r="AC33" s="8" t="s">
        <v>1553</v>
      </c>
    </row>
    <row r="34" spans="1:29" ht="24" x14ac:dyDescent="0.3">
      <c r="A34" s="10" t="s">
        <v>1681</v>
      </c>
      <c r="B34" s="8" t="s">
        <v>1682</v>
      </c>
      <c r="C34" s="8" t="s">
        <v>1683</v>
      </c>
      <c r="D34" s="8" t="s">
        <v>9</v>
      </c>
      <c r="E34" s="10" t="s">
        <v>9</v>
      </c>
      <c r="F34" s="8" t="s">
        <v>1543</v>
      </c>
      <c r="G34" s="8" t="s">
        <v>9</v>
      </c>
      <c r="H34" s="8" t="s">
        <v>1544</v>
      </c>
      <c r="I34" s="8" t="s">
        <v>9</v>
      </c>
      <c r="J34" s="8" t="s">
        <v>9</v>
      </c>
      <c r="K34" s="8" t="s">
        <v>1545</v>
      </c>
      <c r="L34" s="8" t="s">
        <v>9</v>
      </c>
      <c r="M34" s="8" t="s">
        <v>1684</v>
      </c>
      <c r="N34" s="8" t="s">
        <v>1571</v>
      </c>
      <c r="O34" s="8" t="s">
        <v>1548</v>
      </c>
      <c r="P34" s="8" t="s">
        <v>1549</v>
      </c>
      <c r="Q34" s="8" t="s">
        <v>1550</v>
      </c>
      <c r="R34" s="8" t="s">
        <v>1685</v>
      </c>
      <c r="S34" s="8" t="s">
        <v>1685</v>
      </c>
      <c r="T34" s="8"/>
      <c r="U34" s="8" t="s">
        <v>112</v>
      </c>
      <c r="V34" s="8"/>
      <c r="W34" s="10"/>
      <c r="X34" s="8"/>
      <c r="Y34" s="8"/>
      <c r="Z34" s="16"/>
      <c r="AA34" s="8" t="s">
        <v>112</v>
      </c>
      <c r="AB34" s="8"/>
      <c r="AC34" s="8" t="s">
        <v>1553</v>
      </c>
    </row>
    <row r="35" spans="1:29" ht="84" x14ac:dyDescent="0.3">
      <c r="A35" s="10" t="s">
        <v>1686</v>
      </c>
      <c r="B35" s="8" t="s">
        <v>1687</v>
      </c>
      <c r="C35" s="8" t="s">
        <v>1606</v>
      </c>
      <c r="D35" s="8" t="s">
        <v>9</v>
      </c>
      <c r="E35" s="10">
        <v>238801</v>
      </c>
      <c r="F35" s="8" t="s">
        <v>110</v>
      </c>
      <c r="G35" s="8" t="s">
        <v>1688</v>
      </c>
      <c r="H35" s="8" t="s">
        <v>352</v>
      </c>
      <c r="I35" s="8" t="s">
        <v>9</v>
      </c>
      <c r="J35" s="8" t="s">
        <v>9</v>
      </c>
      <c r="K35" s="8" t="s">
        <v>1689</v>
      </c>
      <c r="L35" s="8" t="s">
        <v>9</v>
      </c>
      <c r="M35" s="8" t="s">
        <v>1690</v>
      </c>
      <c r="N35" s="8" t="s">
        <v>1691</v>
      </c>
      <c r="O35" s="8" t="s">
        <v>1692</v>
      </c>
      <c r="P35" s="8" t="s">
        <v>1693</v>
      </c>
      <c r="Q35" s="8" t="s">
        <v>1694</v>
      </c>
      <c r="R35" s="8" t="s">
        <v>1695</v>
      </c>
      <c r="S35" s="8" t="s">
        <v>1696</v>
      </c>
      <c r="T35" s="8"/>
      <c r="U35" s="8" t="s">
        <v>112</v>
      </c>
      <c r="V35" s="8"/>
      <c r="W35" s="10"/>
      <c r="X35" s="8"/>
      <c r="Y35" s="8"/>
      <c r="Z35" s="16"/>
      <c r="AA35" s="8" t="s">
        <v>112</v>
      </c>
      <c r="AB35" s="8"/>
      <c r="AC35" s="8" t="s">
        <v>1697</v>
      </c>
    </row>
    <row r="36" spans="1:29" ht="72" x14ac:dyDescent="0.3">
      <c r="A36" s="10" t="s">
        <v>1698</v>
      </c>
      <c r="B36" s="8" t="s">
        <v>1687</v>
      </c>
      <c r="C36" s="8" t="s">
        <v>1606</v>
      </c>
      <c r="D36" s="8" t="s">
        <v>9</v>
      </c>
      <c r="E36" s="10">
        <v>319925</v>
      </c>
      <c r="F36" s="8" t="s">
        <v>116</v>
      </c>
      <c r="G36" s="8" t="s">
        <v>1699</v>
      </c>
      <c r="H36" s="8" t="s">
        <v>352</v>
      </c>
      <c r="I36" s="8" t="s">
        <v>9</v>
      </c>
      <c r="J36" s="8" t="s">
        <v>9</v>
      </c>
      <c r="K36" s="8" t="s">
        <v>1689</v>
      </c>
      <c r="L36" s="8" t="s">
        <v>9</v>
      </c>
      <c r="M36" s="8" t="s">
        <v>1690</v>
      </c>
      <c r="N36" s="8" t="s">
        <v>1700</v>
      </c>
      <c r="O36" s="8" t="s">
        <v>1701</v>
      </c>
      <c r="P36" s="8" t="s">
        <v>1702</v>
      </c>
      <c r="Q36" s="8" t="s">
        <v>1703</v>
      </c>
      <c r="R36" s="8" t="s">
        <v>1704</v>
      </c>
      <c r="S36" s="8" t="s">
        <v>1705</v>
      </c>
      <c r="T36" s="8"/>
      <c r="U36" s="8" t="s">
        <v>112</v>
      </c>
      <c r="V36" s="8"/>
      <c r="W36" s="10"/>
      <c r="X36" s="8"/>
      <c r="Y36" s="8"/>
      <c r="Z36" s="16"/>
      <c r="AA36" s="8" t="s">
        <v>112</v>
      </c>
      <c r="AB36" s="8"/>
      <c r="AC36" s="8" t="s">
        <v>1706</v>
      </c>
    </row>
    <row r="37" spans="1:29" ht="90" customHeight="1" x14ac:dyDescent="0.3">
      <c r="A37" s="10" t="s">
        <v>1707</v>
      </c>
      <c r="B37" s="8" t="s">
        <v>1687</v>
      </c>
      <c r="C37" s="8" t="s">
        <v>1606</v>
      </c>
      <c r="D37" s="8" t="s">
        <v>9</v>
      </c>
      <c r="E37" s="10">
        <v>215656</v>
      </c>
      <c r="F37" s="8" t="s">
        <v>118</v>
      </c>
      <c r="G37" s="8" t="s">
        <v>1699</v>
      </c>
      <c r="H37" s="8" t="s">
        <v>352</v>
      </c>
      <c r="I37" s="8" t="s">
        <v>9</v>
      </c>
      <c r="J37" s="8" t="s">
        <v>9</v>
      </c>
      <c r="K37" s="8" t="s">
        <v>1689</v>
      </c>
      <c r="L37" s="8" t="s">
        <v>9</v>
      </c>
      <c r="M37" s="8" t="s">
        <v>1690</v>
      </c>
      <c r="N37" s="8" t="s">
        <v>1708</v>
      </c>
      <c r="O37" s="8" t="s">
        <v>1701</v>
      </c>
      <c r="P37" s="8" t="s">
        <v>1709</v>
      </c>
      <c r="Q37" s="8" t="s">
        <v>1710</v>
      </c>
      <c r="R37" s="8" t="s">
        <v>1711</v>
      </c>
      <c r="S37" s="8" t="s">
        <v>1712</v>
      </c>
      <c r="T37" s="8"/>
      <c r="U37" s="8" t="s">
        <v>112</v>
      </c>
      <c r="V37" s="8"/>
      <c r="W37" s="10"/>
      <c r="X37" s="8"/>
      <c r="Y37" s="8"/>
      <c r="Z37" s="16"/>
      <c r="AA37" s="8" t="s">
        <v>112</v>
      </c>
      <c r="AB37" s="8"/>
      <c r="AC37" s="8" t="s">
        <v>1713</v>
      </c>
    </row>
    <row r="38" spans="1:29" ht="48" x14ac:dyDescent="0.3">
      <c r="A38" s="10" t="s">
        <v>1714</v>
      </c>
      <c r="B38" s="8" t="s">
        <v>1687</v>
      </c>
      <c r="C38" s="8" t="s">
        <v>1606</v>
      </c>
      <c r="D38" s="8" t="s">
        <v>9</v>
      </c>
      <c r="E38" s="10">
        <v>319918</v>
      </c>
      <c r="F38" s="8" t="s">
        <v>120</v>
      </c>
      <c r="G38" s="8" t="s">
        <v>355</v>
      </c>
      <c r="H38" s="8" t="s">
        <v>352</v>
      </c>
      <c r="I38" s="8" t="s">
        <v>9</v>
      </c>
      <c r="J38" s="8" t="s">
        <v>9</v>
      </c>
      <c r="K38" s="8" t="s">
        <v>1689</v>
      </c>
      <c r="L38" s="8" t="s">
        <v>9</v>
      </c>
      <c r="M38" s="8" t="s">
        <v>1690</v>
      </c>
      <c r="N38" s="8" t="s">
        <v>1715</v>
      </c>
      <c r="O38" s="8" t="s">
        <v>1716</v>
      </c>
      <c r="P38" s="8" t="s">
        <v>1717</v>
      </c>
      <c r="Q38" s="8" t="s">
        <v>1718</v>
      </c>
      <c r="R38" s="8" t="s">
        <v>1719</v>
      </c>
      <c r="S38" s="8" t="s">
        <v>1720</v>
      </c>
      <c r="T38" s="8"/>
      <c r="U38" s="8" t="s">
        <v>112</v>
      </c>
      <c r="V38" s="8"/>
      <c r="W38" s="10"/>
      <c r="X38" s="8"/>
      <c r="Y38" s="8"/>
      <c r="Z38" s="16"/>
      <c r="AA38" s="8" t="s">
        <v>112</v>
      </c>
      <c r="AB38" s="8"/>
      <c r="AC38" s="8" t="s">
        <v>1721</v>
      </c>
    </row>
    <row r="39" spans="1:29" ht="72" x14ac:dyDescent="0.3">
      <c r="A39" s="10" t="s">
        <v>1722</v>
      </c>
      <c r="B39" s="8" t="s">
        <v>1687</v>
      </c>
      <c r="C39" s="8" t="s">
        <v>1606</v>
      </c>
      <c r="D39" s="8" t="s">
        <v>9</v>
      </c>
      <c r="E39" s="10">
        <v>276577</v>
      </c>
      <c r="F39" s="8" t="s">
        <v>123</v>
      </c>
      <c r="G39" s="8" t="s">
        <v>1699</v>
      </c>
      <c r="H39" s="8" t="s">
        <v>352</v>
      </c>
      <c r="I39" s="8" t="s">
        <v>9</v>
      </c>
      <c r="J39" s="8" t="s">
        <v>9</v>
      </c>
      <c r="K39" s="8" t="s">
        <v>1689</v>
      </c>
      <c r="L39" s="8" t="s">
        <v>9</v>
      </c>
      <c r="M39" s="8" t="s">
        <v>1690</v>
      </c>
      <c r="N39" s="8" t="s">
        <v>1723</v>
      </c>
      <c r="O39" s="8" t="s">
        <v>1724</v>
      </c>
      <c r="P39" s="8" t="s">
        <v>1725</v>
      </c>
      <c r="Q39" s="8" t="s">
        <v>1726</v>
      </c>
      <c r="R39" s="8" t="s">
        <v>1727</v>
      </c>
      <c r="S39" s="8" t="s">
        <v>1696</v>
      </c>
      <c r="T39" s="8"/>
      <c r="U39" s="8" t="s">
        <v>112</v>
      </c>
      <c r="V39" s="8"/>
      <c r="W39" s="10"/>
      <c r="X39" s="8"/>
      <c r="Y39" s="8"/>
      <c r="Z39" s="16"/>
      <c r="AA39" s="8" t="s">
        <v>112</v>
      </c>
      <c r="AB39" s="8"/>
      <c r="AC39" s="8" t="s">
        <v>1713</v>
      </c>
    </row>
    <row r="40" spans="1:29" ht="48" x14ac:dyDescent="0.3">
      <c r="A40" s="10" t="s">
        <v>1728</v>
      </c>
      <c r="B40" s="8" t="s">
        <v>1687</v>
      </c>
      <c r="C40" s="8" t="s">
        <v>1606</v>
      </c>
      <c r="D40" s="8" t="s">
        <v>9</v>
      </c>
      <c r="E40" s="10">
        <v>320308</v>
      </c>
      <c r="F40" s="8" t="s">
        <v>125</v>
      </c>
      <c r="G40" s="8" t="s">
        <v>1729</v>
      </c>
      <c r="H40" s="8" t="s">
        <v>352</v>
      </c>
      <c r="I40" s="8" t="s">
        <v>9</v>
      </c>
      <c r="J40" s="8" t="s">
        <v>9</v>
      </c>
      <c r="K40" s="8" t="s">
        <v>1689</v>
      </c>
      <c r="L40" s="8" t="s">
        <v>9</v>
      </c>
      <c r="M40" s="8" t="s">
        <v>1690</v>
      </c>
      <c r="N40" s="8" t="s">
        <v>1730</v>
      </c>
      <c r="O40" s="8" t="s">
        <v>1716</v>
      </c>
      <c r="P40" s="8" t="s">
        <v>1717</v>
      </c>
      <c r="Q40" s="8" t="s">
        <v>1731</v>
      </c>
      <c r="R40" s="8" t="s">
        <v>1732</v>
      </c>
      <c r="S40" s="8" t="s">
        <v>1696</v>
      </c>
      <c r="T40" s="8"/>
      <c r="U40" s="8" t="s">
        <v>112</v>
      </c>
      <c r="V40" s="8"/>
      <c r="W40" s="10"/>
      <c r="X40" s="8"/>
      <c r="Y40" s="8"/>
      <c r="Z40" s="16"/>
      <c r="AA40" s="8" t="s">
        <v>112</v>
      </c>
      <c r="AB40" s="8"/>
      <c r="AC40" s="8" t="s">
        <v>1733</v>
      </c>
    </row>
    <row r="41" spans="1:29" ht="90" customHeight="1" x14ac:dyDescent="0.3">
      <c r="A41" s="10" t="s">
        <v>1734</v>
      </c>
      <c r="B41" s="8" t="s">
        <v>1687</v>
      </c>
      <c r="C41" s="8" t="s">
        <v>1606</v>
      </c>
      <c r="D41" s="8" t="s">
        <v>9</v>
      </c>
      <c r="E41" s="10">
        <v>315721</v>
      </c>
      <c r="F41" s="8" t="s">
        <v>127</v>
      </c>
      <c r="G41" s="8" t="s">
        <v>1735</v>
      </c>
      <c r="H41" s="8" t="s">
        <v>352</v>
      </c>
      <c r="I41" s="8" t="s">
        <v>9</v>
      </c>
      <c r="J41" s="8" t="s">
        <v>9</v>
      </c>
      <c r="K41" s="8" t="s">
        <v>1689</v>
      </c>
      <c r="L41" s="8" t="s">
        <v>9</v>
      </c>
      <c r="M41" s="8" t="s">
        <v>1690</v>
      </c>
      <c r="N41" s="8" t="s">
        <v>1736</v>
      </c>
      <c r="O41" s="8" t="s">
        <v>1701</v>
      </c>
      <c r="P41" s="8" t="s">
        <v>1737</v>
      </c>
      <c r="Q41" s="8" t="s">
        <v>1738</v>
      </c>
      <c r="R41" s="8" t="s">
        <v>1739</v>
      </c>
      <c r="S41" s="8" t="s">
        <v>1696</v>
      </c>
      <c r="T41" s="8"/>
      <c r="U41" s="8" t="s">
        <v>112</v>
      </c>
      <c r="V41" s="8"/>
      <c r="W41" s="10"/>
      <c r="X41" s="8"/>
      <c r="Y41" s="8"/>
      <c r="Z41" s="16"/>
      <c r="AA41" s="8" t="s">
        <v>112</v>
      </c>
      <c r="AB41" s="8"/>
      <c r="AC41" s="8" t="s">
        <v>1713</v>
      </c>
    </row>
    <row r="42" spans="1:29" ht="60" x14ac:dyDescent="0.3">
      <c r="A42" s="10" t="s">
        <v>1740</v>
      </c>
      <c r="B42" s="8" t="s">
        <v>1687</v>
      </c>
      <c r="C42" s="8" t="s">
        <v>1606</v>
      </c>
      <c r="D42" s="8" t="s">
        <v>9</v>
      </c>
      <c r="E42" s="10">
        <v>273952</v>
      </c>
      <c r="F42" s="8" t="s">
        <v>129</v>
      </c>
      <c r="G42" s="8" t="s">
        <v>1699</v>
      </c>
      <c r="H42" s="8" t="s">
        <v>352</v>
      </c>
      <c r="I42" s="8" t="s">
        <v>9</v>
      </c>
      <c r="J42" s="8" t="s">
        <v>9</v>
      </c>
      <c r="K42" s="8" t="s">
        <v>1689</v>
      </c>
      <c r="L42" s="8" t="s">
        <v>9</v>
      </c>
      <c r="M42" s="8" t="s">
        <v>1690</v>
      </c>
      <c r="N42" s="8" t="s">
        <v>1741</v>
      </c>
      <c r="O42" s="8" t="s">
        <v>1742</v>
      </c>
      <c r="P42" s="8" t="s">
        <v>1743</v>
      </c>
      <c r="Q42" s="8" t="s">
        <v>1744</v>
      </c>
      <c r="R42" s="8" t="s">
        <v>1745</v>
      </c>
      <c r="S42" s="8" t="s">
        <v>1696</v>
      </c>
      <c r="T42" s="8"/>
      <c r="U42" s="8" t="s">
        <v>112</v>
      </c>
      <c r="V42" s="8"/>
      <c r="W42" s="10"/>
      <c r="X42" s="8"/>
      <c r="Y42" s="8"/>
      <c r="Z42" s="16"/>
      <c r="AA42" s="8" t="s">
        <v>112</v>
      </c>
      <c r="AB42" s="8"/>
      <c r="AC42" s="8" t="s">
        <v>1713</v>
      </c>
    </row>
    <row r="43" spans="1:29" ht="48" x14ac:dyDescent="0.3">
      <c r="A43" s="10" t="s">
        <v>1746</v>
      </c>
      <c r="B43" s="8" t="s">
        <v>1687</v>
      </c>
      <c r="C43" s="8" t="s">
        <v>1606</v>
      </c>
      <c r="D43" s="8" t="s">
        <v>9</v>
      </c>
      <c r="E43" s="10">
        <v>297212</v>
      </c>
      <c r="F43" s="8" t="s">
        <v>131</v>
      </c>
      <c r="G43" s="8" t="s">
        <v>1699</v>
      </c>
      <c r="H43" s="8" t="s">
        <v>352</v>
      </c>
      <c r="I43" s="8" t="s">
        <v>9</v>
      </c>
      <c r="J43" s="8" t="s">
        <v>9</v>
      </c>
      <c r="K43" s="8" t="s">
        <v>1689</v>
      </c>
      <c r="L43" s="8" t="s">
        <v>9</v>
      </c>
      <c r="M43" s="8" t="s">
        <v>1690</v>
      </c>
      <c r="N43" s="8" t="s">
        <v>1747</v>
      </c>
      <c r="O43" s="8" t="s">
        <v>1701</v>
      </c>
      <c r="P43" s="8" t="s">
        <v>1748</v>
      </c>
      <c r="Q43" s="8" t="s">
        <v>1749</v>
      </c>
      <c r="R43" s="8" t="s">
        <v>1750</v>
      </c>
      <c r="S43" s="8" t="s">
        <v>1696</v>
      </c>
      <c r="T43" s="8"/>
      <c r="U43" s="8" t="s">
        <v>112</v>
      </c>
      <c r="V43" s="8"/>
      <c r="W43" s="10"/>
      <c r="X43" s="8"/>
      <c r="Y43" s="8"/>
      <c r="Z43" s="16"/>
      <c r="AA43" s="8" t="s">
        <v>112</v>
      </c>
      <c r="AB43" s="8"/>
      <c r="AC43" s="8" t="s">
        <v>1751</v>
      </c>
    </row>
    <row r="44" spans="1:29" ht="48" x14ac:dyDescent="0.3">
      <c r="A44" s="10" t="s">
        <v>1752</v>
      </c>
      <c r="B44" s="8" t="s">
        <v>1687</v>
      </c>
      <c r="C44" s="8" t="s">
        <v>1606</v>
      </c>
      <c r="D44" s="8" t="s">
        <v>9</v>
      </c>
      <c r="E44" s="10">
        <v>300954</v>
      </c>
      <c r="F44" s="8" t="s">
        <v>133</v>
      </c>
      <c r="G44" s="8" t="s">
        <v>1699</v>
      </c>
      <c r="H44" s="8" t="s">
        <v>352</v>
      </c>
      <c r="I44" s="8" t="s">
        <v>9</v>
      </c>
      <c r="J44" s="8" t="s">
        <v>9</v>
      </c>
      <c r="K44" s="8" t="s">
        <v>1689</v>
      </c>
      <c r="L44" s="8" t="s">
        <v>9</v>
      </c>
      <c r="M44" s="8" t="s">
        <v>1690</v>
      </c>
      <c r="N44" s="8" t="s">
        <v>1753</v>
      </c>
      <c r="O44" s="8" t="s">
        <v>1754</v>
      </c>
      <c r="P44" s="8" t="s">
        <v>1755</v>
      </c>
      <c r="Q44" s="8" t="s">
        <v>1756</v>
      </c>
      <c r="R44" s="8" t="s">
        <v>1757</v>
      </c>
      <c r="S44" s="8" t="s">
        <v>1758</v>
      </c>
      <c r="T44" s="8"/>
      <c r="U44" s="8" t="s">
        <v>112</v>
      </c>
      <c r="V44" s="8"/>
      <c r="W44" s="10"/>
      <c r="X44" s="8"/>
      <c r="Y44" s="8"/>
      <c r="Z44" s="16"/>
      <c r="AA44" s="8" t="s">
        <v>112</v>
      </c>
      <c r="AB44" s="8"/>
      <c r="AC44" s="8" t="s">
        <v>1759</v>
      </c>
    </row>
    <row r="45" spans="1:29" ht="84" x14ac:dyDescent="0.3">
      <c r="A45" s="10" t="s">
        <v>1760</v>
      </c>
      <c r="B45" s="8" t="s">
        <v>1687</v>
      </c>
      <c r="C45" s="8" t="s">
        <v>1606</v>
      </c>
      <c r="D45" s="8" t="s">
        <v>9</v>
      </c>
      <c r="E45" s="10">
        <v>234366</v>
      </c>
      <c r="F45" s="8" t="s">
        <v>135</v>
      </c>
      <c r="G45" s="8" t="s">
        <v>1699</v>
      </c>
      <c r="H45" s="8" t="s">
        <v>352</v>
      </c>
      <c r="I45" s="8" t="s">
        <v>9</v>
      </c>
      <c r="J45" s="8" t="s">
        <v>9</v>
      </c>
      <c r="K45" s="8" t="s">
        <v>1689</v>
      </c>
      <c r="L45" s="8" t="s">
        <v>9</v>
      </c>
      <c r="M45" s="8" t="s">
        <v>1690</v>
      </c>
      <c r="N45" s="8" t="s">
        <v>1761</v>
      </c>
      <c r="O45" s="8" t="s">
        <v>1724</v>
      </c>
      <c r="P45" s="8" t="s">
        <v>1762</v>
      </c>
      <c r="Q45" s="8" t="s">
        <v>1763</v>
      </c>
      <c r="R45" s="8" t="s">
        <v>1764</v>
      </c>
      <c r="S45" s="8" t="s">
        <v>1696</v>
      </c>
      <c r="T45" s="8"/>
      <c r="U45" s="8" t="s">
        <v>112</v>
      </c>
      <c r="V45" s="8"/>
      <c r="W45" s="10"/>
      <c r="X45" s="8"/>
      <c r="Y45" s="8"/>
      <c r="Z45" s="16"/>
      <c r="AA45" s="8" t="s">
        <v>112</v>
      </c>
      <c r="AB45" s="8"/>
      <c r="AC45" s="8" t="s">
        <v>1713</v>
      </c>
    </row>
    <row r="46" spans="1:29" ht="48" x14ac:dyDescent="0.3">
      <c r="A46" s="10" t="s">
        <v>1765</v>
      </c>
      <c r="B46" s="8" t="s">
        <v>1687</v>
      </c>
      <c r="C46" s="8" t="s">
        <v>1606</v>
      </c>
      <c r="D46" s="8" t="s">
        <v>9</v>
      </c>
      <c r="E46" s="10">
        <v>293981</v>
      </c>
      <c r="F46" s="8" t="s">
        <v>137</v>
      </c>
      <c r="G46" s="8" t="s">
        <v>1766</v>
      </c>
      <c r="H46" s="8" t="s">
        <v>352</v>
      </c>
      <c r="I46" s="8" t="s">
        <v>9</v>
      </c>
      <c r="J46" s="8" t="s">
        <v>9</v>
      </c>
      <c r="K46" s="8" t="s">
        <v>1689</v>
      </c>
      <c r="L46" s="8" t="s">
        <v>9</v>
      </c>
      <c r="M46" s="8" t="s">
        <v>1690</v>
      </c>
      <c r="N46" s="8" t="s">
        <v>1767</v>
      </c>
      <c r="O46" s="8" t="s">
        <v>1768</v>
      </c>
      <c r="P46" s="8" t="s">
        <v>1769</v>
      </c>
      <c r="Q46" s="8" t="s">
        <v>1770</v>
      </c>
      <c r="R46" s="8" t="s">
        <v>1771</v>
      </c>
      <c r="S46" s="8" t="s">
        <v>1696</v>
      </c>
      <c r="T46" s="8"/>
      <c r="U46" s="8" t="s">
        <v>112</v>
      </c>
      <c r="V46" s="8"/>
      <c r="W46" s="10"/>
      <c r="X46" s="8"/>
      <c r="Y46" s="8"/>
      <c r="Z46" s="16"/>
      <c r="AA46" s="8" t="s">
        <v>112</v>
      </c>
      <c r="AB46" s="8"/>
      <c r="AC46" s="8" t="s">
        <v>1713</v>
      </c>
    </row>
    <row r="47" spans="1:29" ht="48" x14ac:dyDescent="0.3">
      <c r="A47" s="10" t="s">
        <v>1772</v>
      </c>
      <c r="B47" s="8" t="s">
        <v>1687</v>
      </c>
      <c r="C47" s="8" t="s">
        <v>1606</v>
      </c>
      <c r="D47" s="8" t="s">
        <v>9</v>
      </c>
      <c r="E47" s="10">
        <v>292990</v>
      </c>
      <c r="F47" s="8" t="s">
        <v>139</v>
      </c>
      <c r="G47" s="8" t="s">
        <v>1729</v>
      </c>
      <c r="H47" s="8" t="s">
        <v>352</v>
      </c>
      <c r="I47" s="8" t="s">
        <v>9</v>
      </c>
      <c r="J47" s="8" t="s">
        <v>9</v>
      </c>
      <c r="K47" s="8" t="s">
        <v>1689</v>
      </c>
      <c r="L47" s="8" t="s">
        <v>9</v>
      </c>
      <c r="M47" s="8" t="s">
        <v>1690</v>
      </c>
      <c r="N47" s="8" t="s">
        <v>1730</v>
      </c>
      <c r="O47" s="8" t="s">
        <v>1773</v>
      </c>
      <c r="P47" s="8" t="s">
        <v>1774</v>
      </c>
      <c r="Q47" s="8" t="s">
        <v>1775</v>
      </c>
      <c r="R47" s="8" t="s">
        <v>1776</v>
      </c>
      <c r="S47" s="8" t="s">
        <v>1696</v>
      </c>
      <c r="T47" s="8"/>
      <c r="U47" s="8" t="s">
        <v>112</v>
      </c>
      <c r="V47" s="8"/>
      <c r="W47" s="10"/>
      <c r="X47" s="8"/>
      <c r="Y47" s="8"/>
      <c r="Z47" s="16"/>
      <c r="AA47" s="8" t="s">
        <v>112</v>
      </c>
      <c r="AB47" s="8"/>
      <c r="AC47" s="8" t="s">
        <v>1733</v>
      </c>
    </row>
    <row r="48" spans="1:29" ht="48" x14ac:dyDescent="0.3">
      <c r="A48" s="10" t="s">
        <v>1777</v>
      </c>
      <c r="B48" s="8" t="s">
        <v>1687</v>
      </c>
      <c r="C48" s="8" t="s">
        <v>1606</v>
      </c>
      <c r="D48" s="8" t="s">
        <v>9</v>
      </c>
      <c r="E48" s="10">
        <v>293148</v>
      </c>
      <c r="F48" s="8" t="s">
        <v>141</v>
      </c>
      <c r="G48" s="8" t="s">
        <v>1699</v>
      </c>
      <c r="H48" s="8" t="s">
        <v>352</v>
      </c>
      <c r="I48" s="8" t="s">
        <v>9</v>
      </c>
      <c r="J48" s="8" t="s">
        <v>9</v>
      </c>
      <c r="K48" s="8" t="s">
        <v>1689</v>
      </c>
      <c r="L48" s="8" t="s">
        <v>9</v>
      </c>
      <c r="M48" s="8" t="s">
        <v>1690</v>
      </c>
      <c r="N48" s="8" t="s">
        <v>1747</v>
      </c>
      <c r="O48" s="8" t="s">
        <v>1724</v>
      </c>
      <c r="P48" s="8" t="s">
        <v>1778</v>
      </c>
      <c r="Q48" s="8" t="s">
        <v>1779</v>
      </c>
      <c r="R48" s="8" t="s">
        <v>1780</v>
      </c>
      <c r="S48" s="8" t="s">
        <v>1696</v>
      </c>
      <c r="T48" s="8"/>
      <c r="U48" s="8" t="s">
        <v>112</v>
      </c>
      <c r="V48" s="8"/>
      <c r="W48" s="10"/>
      <c r="X48" s="8"/>
      <c r="Y48" s="8"/>
      <c r="Z48" s="16"/>
      <c r="AA48" s="8" t="s">
        <v>112</v>
      </c>
      <c r="AB48" s="8"/>
      <c r="AC48" s="8" t="s">
        <v>1751</v>
      </c>
    </row>
    <row r="49" spans="1:29" ht="48" x14ac:dyDescent="0.3">
      <c r="A49" s="10" t="s">
        <v>1781</v>
      </c>
      <c r="B49" s="8" t="s">
        <v>1687</v>
      </c>
      <c r="C49" s="8" t="s">
        <v>1606</v>
      </c>
      <c r="D49" s="8" t="s">
        <v>9</v>
      </c>
      <c r="E49" s="10">
        <v>292739</v>
      </c>
      <c r="F49" s="8" t="s">
        <v>143</v>
      </c>
      <c r="G49" s="8" t="s">
        <v>1729</v>
      </c>
      <c r="H49" s="8" t="s">
        <v>352</v>
      </c>
      <c r="I49" s="8" t="s">
        <v>9</v>
      </c>
      <c r="J49" s="8" t="s">
        <v>9</v>
      </c>
      <c r="K49" s="8" t="s">
        <v>1689</v>
      </c>
      <c r="L49" s="8" t="s">
        <v>9</v>
      </c>
      <c r="M49" s="8" t="s">
        <v>1690</v>
      </c>
      <c r="N49" s="8" t="s">
        <v>1782</v>
      </c>
      <c r="O49" s="8" t="s">
        <v>1783</v>
      </c>
      <c r="P49" s="8" t="s">
        <v>1784</v>
      </c>
      <c r="Q49" s="8" t="s">
        <v>1785</v>
      </c>
      <c r="R49" s="8" t="s">
        <v>1786</v>
      </c>
      <c r="S49" s="8" t="s">
        <v>1787</v>
      </c>
      <c r="T49" s="8"/>
      <c r="U49" s="8" t="s">
        <v>112</v>
      </c>
      <c r="V49" s="8"/>
      <c r="W49" s="10"/>
      <c r="X49" s="8"/>
      <c r="Y49" s="8"/>
      <c r="Z49" s="16"/>
      <c r="AA49" s="8" t="s">
        <v>112</v>
      </c>
      <c r="AB49" s="8"/>
      <c r="AC49" s="8" t="s">
        <v>1788</v>
      </c>
    </row>
    <row r="50" spans="1:29" ht="84" x14ac:dyDescent="0.3">
      <c r="A50" s="10" t="s">
        <v>1789</v>
      </c>
      <c r="B50" s="8" t="s">
        <v>1687</v>
      </c>
      <c r="C50" s="8" t="s">
        <v>1606</v>
      </c>
      <c r="D50" s="8" t="s">
        <v>9</v>
      </c>
      <c r="E50" s="10">
        <v>292589</v>
      </c>
      <c r="F50" s="8" t="s">
        <v>145</v>
      </c>
      <c r="G50" s="8" t="s">
        <v>1699</v>
      </c>
      <c r="H50" s="8" t="s">
        <v>352</v>
      </c>
      <c r="I50" s="8" t="s">
        <v>9</v>
      </c>
      <c r="J50" s="8" t="s">
        <v>9</v>
      </c>
      <c r="K50" s="8" t="s">
        <v>1689</v>
      </c>
      <c r="L50" s="8" t="s">
        <v>9</v>
      </c>
      <c r="M50" s="8" t="s">
        <v>1690</v>
      </c>
      <c r="N50" s="8" t="s">
        <v>1790</v>
      </c>
      <c r="O50" s="8" t="s">
        <v>1791</v>
      </c>
      <c r="P50" s="8" t="s">
        <v>1792</v>
      </c>
      <c r="Q50" s="8" t="s">
        <v>1793</v>
      </c>
      <c r="R50" s="8" t="s">
        <v>1794</v>
      </c>
      <c r="S50" s="8" t="s">
        <v>1696</v>
      </c>
      <c r="T50" s="8"/>
      <c r="U50" s="8" t="s">
        <v>112</v>
      </c>
      <c r="V50" s="8"/>
      <c r="W50" s="10"/>
      <c r="X50" s="8"/>
      <c r="Y50" s="8"/>
      <c r="Z50" s="16"/>
      <c r="AA50" s="8" t="s">
        <v>112</v>
      </c>
      <c r="AB50" s="8"/>
      <c r="AC50" s="8" t="s">
        <v>1713</v>
      </c>
    </row>
    <row r="51" spans="1:29" ht="48" x14ac:dyDescent="0.3">
      <c r="A51" s="10" t="s">
        <v>1795</v>
      </c>
      <c r="B51" s="8" t="s">
        <v>1687</v>
      </c>
      <c r="C51" s="8" t="s">
        <v>1606</v>
      </c>
      <c r="D51" s="8" t="s">
        <v>9</v>
      </c>
      <c r="E51" s="10">
        <v>245616</v>
      </c>
      <c r="F51" s="8" t="s">
        <v>147</v>
      </c>
      <c r="G51" s="8" t="s">
        <v>1699</v>
      </c>
      <c r="H51" s="8" t="s">
        <v>352</v>
      </c>
      <c r="I51" s="8" t="s">
        <v>9</v>
      </c>
      <c r="J51" s="8" t="s">
        <v>9</v>
      </c>
      <c r="K51" s="8" t="s">
        <v>1689</v>
      </c>
      <c r="L51" s="8" t="s">
        <v>9</v>
      </c>
      <c r="M51" s="8" t="s">
        <v>1690</v>
      </c>
      <c r="N51" s="8" t="s">
        <v>1796</v>
      </c>
      <c r="O51" s="8" t="s">
        <v>1701</v>
      </c>
      <c r="P51" s="8" t="s">
        <v>1797</v>
      </c>
      <c r="Q51" s="8" t="s">
        <v>1798</v>
      </c>
      <c r="R51" s="8" t="s">
        <v>1799</v>
      </c>
      <c r="S51" s="8" t="s">
        <v>1696</v>
      </c>
      <c r="T51" s="8"/>
      <c r="U51" s="8" t="s">
        <v>112</v>
      </c>
      <c r="V51" s="8"/>
      <c r="W51" s="10"/>
      <c r="X51" s="8"/>
      <c r="Y51" s="8"/>
      <c r="Z51" s="16"/>
      <c r="AA51" s="8" t="s">
        <v>112</v>
      </c>
      <c r="AB51" s="8"/>
      <c r="AC51" s="8" t="s">
        <v>1713</v>
      </c>
    </row>
    <row r="52" spans="1:29" ht="90" customHeight="1" x14ac:dyDescent="0.3">
      <c r="A52" s="10" t="s">
        <v>1800</v>
      </c>
      <c r="B52" s="8" t="s">
        <v>1687</v>
      </c>
      <c r="C52" s="8" t="s">
        <v>1606</v>
      </c>
      <c r="D52" s="8" t="s">
        <v>9</v>
      </c>
      <c r="E52" s="10">
        <v>258825</v>
      </c>
      <c r="F52" s="8" t="s">
        <v>149</v>
      </c>
      <c r="G52" s="8" t="s">
        <v>1699</v>
      </c>
      <c r="H52" s="8" t="s">
        <v>352</v>
      </c>
      <c r="I52" s="8" t="s">
        <v>9</v>
      </c>
      <c r="J52" s="8" t="s">
        <v>9</v>
      </c>
      <c r="K52" s="8" t="s">
        <v>1689</v>
      </c>
      <c r="L52" s="8" t="s">
        <v>9</v>
      </c>
      <c r="M52" s="8" t="s">
        <v>1690</v>
      </c>
      <c r="N52" s="8" t="s">
        <v>1801</v>
      </c>
      <c r="O52" s="8" t="s">
        <v>1701</v>
      </c>
      <c r="P52" s="8" t="s">
        <v>1802</v>
      </c>
      <c r="Q52" s="8" t="s">
        <v>1803</v>
      </c>
      <c r="R52" s="8" t="s">
        <v>1804</v>
      </c>
      <c r="S52" s="8" t="s">
        <v>1805</v>
      </c>
      <c r="T52" s="8"/>
      <c r="U52" s="8" t="s">
        <v>112</v>
      </c>
      <c r="V52" s="8"/>
      <c r="W52" s="10"/>
      <c r="X52" s="8"/>
      <c r="Y52" s="8"/>
      <c r="Z52" s="16"/>
      <c r="AA52" s="8" t="s">
        <v>112</v>
      </c>
      <c r="AB52" s="8"/>
      <c r="AC52" s="8" t="s">
        <v>1713</v>
      </c>
    </row>
    <row r="53" spans="1:29" ht="48" x14ac:dyDescent="0.3">
      <c r="A53" s="10" t="s">
        <v>1806</v>
      </c>
      <c r="B53" s="8" t="s">
        <v>1687</v>
      </c>
      <c r="C53" s="8" t="s">
        <v>1606</v>
      </c>
      <c r="D53" s="8" t="s">
        <v>9</v>
      </c>
      <c r="E53" s="10">
        <v>280257</v>
      </c>
      <c r="F53" s="8" t="s">
        <v>151</v>
      </c>
      <c r="G53" s="8" t="s">
        <v>1729</v>
      </c>
      <c r="H53" s="8" t="s">
        <v>352</v>
      </c>
      <c r="I53" s="8" t="s">
        <v>9</v>
      </c>
      <c r="J53" s="8" t="s">
        <v>9</v>
      </c>
      <c r="K53" s="8" t="s">
        <v>1689</v>
      </c>
      <c r="L53" s="8" t="s">
        <v>9</v>
      </c>
      <c r="M53" s="8" t="s">
        <v>1690</v>
      </c>
      <c r="N53" s="8" t="s">
        <v>1807</v>
      </c>
      <c r="O53" s="8" t="s">
        <v>1808</v>
      </c>
      <c r="P53" s="8" t="s">
        <v>1809</v>
      </c>
      <c r="Q53" s="8" t="s">
        <v>1810</v>
      </c>
      <c r="R53" s="8" t="s">
        <v>1811</v>
      </c>
      <c r="S53" s="8" t="s">
        <v>1812</v>
      </c>
      <c r="T53" s="8"/>
      <c r="U53" s="8" t="s">
        <v>112</v>
      </c>
      <c r="V53" s="8"/>
      <c r="W53" s="10"/>
      <c r="X53" s="8"/>
      <c r="Y53" s="8"/>
      <c r="Z53" s="16"/>
      <c r="AA53" s="8" t="s">
        <v>112</v>
      </c>
      <c r="AB53" s="8"/>
      <c r="AC53" s="8" t="s">
        <v>1788</v>
      </c>
    </row>
    <row r="54" spans="1:29" ht="48" x14ac:dyDescent="0.3">
      <c r="A54" s="10" t="s">
        <v>1813</v>
      </c>
      <c r="B54" s="8" t="s">
        <v>1687</v>
      </c>
      <c r="C54" s="8" t="s">
        <v>1606</v>
      </c>
      <c r="D54" s="8" t="s">
        <v>9</v>
      </c>
      <c r="E54" s="10">
        <v>290338</v>
      </c>
      <c r="F54" s="8" t="s">
        <v>153</v>
      </c>
      <c r="G54" s="8" t="s">
        <v>355</v>
      </c>
      <c r="H54" s="8" t="s">
        <v>352</v>
      </c>
      <c r="I54" s="8" t="s">
        <v>9</v>
      </c>
      <c r="J54" s="8" t="s">
        <v>9</v>
      </c>
      <c r="K54" s="8" t="s">
        <v>1689</v>
      </c>
      <c r="L54" s="8" t="s">
        <v>9</v>
      </c>
      <c r="M54" s="8" t="s">
        <v>1690</v>
      </c>
      <c r="N54" s="8" t="s">
        <v>1715</v>
      </c>
      <c r="O54" s="8" t="s">
        <v>1716</v>
      </c>
      <c r="P54" s="8" t="s">
        <v>1717</v>
      </c>
      <c r="Q54" s="8" t="s">
        <v>1814</v>
      </c>
      <c r="R54" s="8" t="s">
        <v>1719</v>
      </c>
      <c r="S54" s="8" t="s">
        <v>1720</v>
      </c>
      <c r="T54" s="8"/>
      <c r="U54" s="8" t="s">
        <v>112</v>
      </c>
      <c r="V54" s="8"/>
      <c r="W54" s="10"/>
      <c r="X54" s="8"/>
      <c r="Y54" s="8"/>
      <c r="Z54" s="16"/>
      <c r="AA54" s="8" t="s">
        <v>112</v>
      </c>
      <c r="AB54" s="8"/>
      <c r="AC54" s="8" t="s">
        <v>1721</v>
      </c>
    </row>
    <row r="55" spans="1:29" ht="90" customHeight="1" x14ac:dyDescent="0.3">
      <c r="A55" s="10" t="s">
        <v>1815</v>
      </c>
      <c r="B55" s="8" t="s">
        <v>1687</v>
      </c>
      <c r="C55" s="8" t="s">
        <v>1606</v>
      </c>
      <c r="D55" s="8" t="s">
        <v>9</v>
      </c>
      <c r="E55" s="10">
        <v>292626</v>
      </c>
      <c r="F55" s="8" t="s">
        <v>155</v>
      </c>
      <c r="G55" s="8" t="s">
        <v>1816</v>
      </c>
      <c r="H55" s="8" t="s">
        <v>352</v>
      </c>
      <c r="I55" s="8" t="s">
        <v>9</v>
      </c>
      <c r="J55" s="8" t="s">
        <v>9</v>
      </c>
      <c r="K55" s="8" t="s">
        <v>1689</v>
      </c>
      <c r="L55" s="8" t="s">
        <v>9</v>
      </c>
      <c r="M55" s="8" t="s">
        <v>1690</v>
      </c>
      <c r="N55" s="8" t="s">
        <v>1817</v>
      </c>
      <c r="O55" s="8" t="s">
        <v>1818</v>
      </c>
      <c r="P55" s="8" t="s">
        <v>1819</v>
      </c>
      <c r="Q55" s="8" t="s">
        <v>1820</v>
      </c>
      <c r="R55" s="8" t="s">
        <v>1821</v>
      </c>
      <c r="S55" s="8" t="s">
        <v>1696</v>
      </c>
      <c r="T55" s="8"/>
      <c r="U55" s="8" t="s">
        <v>112</v>
      </c>
      <c r="V55" s="8"/>
      <c r="W55" s="10"/>
      <c r="X55" s="8"/>
      <c r="Y55" s="8"/>
      <c r="Z55" s="16"/>
      <c r="AA55" s="8" t="s">
        <v>112</v>
      </c>
      <c r="AB55" s="8"/>
      <c r="AC55" s="8" t="s">
        <v>1713</v>
      </c>
    </row>
    <row r="56" spans="1:29" ht="48" x14ac:dyDescent="0.3">
      <c r="A56" s="10" t="s">
        <v>1822</v>
      </c>
      <c r="B56" s="8" t="s">
        <v>1687</v>
      </c>
      <c r="C56" s="8" t="s">
        <v>1606</v>
      </c>
      <c r="D56" s="8" t="s">
        <v>9</v>
      </c>
      <c r="E56" s="10">
        <v>275412</v>
      </c>
      <c r="F56" s="8" t="s">
        <v>157</v>
      </c>
      <c r="G56" s="8" t="s">
        <v>355</v>
      </c>
      <c r="H56" s="8" t="s">
        <v>352</v>
      </c>
      <c r="I56" s="8" t="s">
        <v>9</v>
      </c>
      <c r="J56" s="8" t="s">
        <v>9</v>
      </c>
      <c r="K56" s="8" t="s">
        <v>1689</v>
      </c>
      <c r="L56" s="8" t="s">
        <v>9</v>
      </c>
      <c r="M56" s="8" t="s">
        <v>1690</v>
      </c>
      <c r="N56" s="8" t="s">
        <v>1715</v>
      </c>
      <c r="O56" s="8" t="s">
        <v>1716</v>
      </c>
      <c r="P56" s="8" t="s">
        <v>1717</v>
      </c>
      <c r="Q56" s="8" t="s">
        <v>1823</v>
      </c>
      <c r="R56" s="8" t="s">
        <v>1719</v>
      </c>
      <c r="S56" s="8" t="s">
        <v>1720</v>
      </c>
      <c r="T56" s="8"/>
      <c r="U56" s="8" t="s">
        <v>112</v>
      </c>
      <c r="V56" s="8"/>
      <c r="W56" s="10"/>
      <c r="X56" s="8"/>
      <c r="Y56" s="8"/>
      <c r="Z56" s="16"/>
      <c r="AA56" s="8" t="s">
        <v>112</v>
      </c>
      <c r="AB56" s="8"/>
      <c r="AC56" s="8" t="s">
        <v>1721</v>
      </c>
    </row>
    <row r="57" spans="1:29" ht="48" x14ac:dyDescent="0.3">
      <c r="A57" s="10" t="s">
        <v>1824</v>
      </c>
      <c r="B57" s="8" t="s">
        <v>1687</v>
      </c>
      <c r="C57" s="8" t="s">
        <v>1606</v>
      </c>
      <c r="D57" s="8" t="s">
        <v>9</v>
      </c>
      <c r="E57" s="10">
        <v>275457</v>
      </c>
      <c r="F57" s="8" t="s">
        <v>159</v>
      </c>
      <c r="G57" s="8" t="s">
        <v>355</v>
      </c>
      <c r="H57" s="8" t="s">
        <v>352</v>
      </c>
      <c r="I57" s="8" t="s">
        <v>9</v>
      </c>
      <c r="J57" s="8" t="s">
        <v>9</v>
      </c>
      <c r="K57" s="8" t="s">
        <v>1689</v>
      </c>
      <c r="L57" s="8" t="s">
        <v>9</v>
      </c>
      <c r="M57" s="8" t="s">
        <v>1690</v>
      </c>
      <c r="N57" s="8" t="s">
        <v>1715</v>
      </c>
      <c r="O57" s="8" t="s">
        <v>1716</v>
      </c>
      <c r="P57" s="8" t="s">
        <v>1717</v>
      </c>
      <c r="Q57" s="8" t="s">
        <v>1825</v>
      </c>
      <c r="R57" s="8" t="s">
        <v>1719</v>
      </c>
      <c r="S57" s="8" t="s">
        <v>1720</v>
      </c>
      <c r="T57" s="8"/>
      <c r="U57" s="8" t="s">
        <v>112</v>
      </c>
      <c r="V57" s="8"/>
      <c r="W57" s="10"/>
      <c r="X57" s="8"/>
      <c r="Y57" s="8"/>
      <c r="Z57" s="16"/>
      <c r="AA57" s="8" t="s">
        <v>112</v>
      </c>
      <c r="AB57" s="8"/>
      <c r="AC57" s="8" t="s">
        <v>1721</v>
      </c>
    </row>
    <row r="58" spans="1:29" ht="90" customHeight="1" x14ac:dyDescent="0.3">
      <c r="A58" s="10" t="s">
        <v>1826</v>
      </c>
      <c r="B58" s="8" t="s">
        <v>1687</v>
      </c>
      <c r="C58" s="8" t="s">
        <v>1606</v>
      </c>
      <c r="D58" s="8" t="s">
        <v>9</v>
      </c>
      <c r="E58" s="10">
        <v>319335</v>
      </c>
      <c r="F58" s="8" t="s">
        <v>161</v>
      </c>
      <c r="G58" s="8" t="s">
        <v>1729</v>
      </c>
      <c r="H58" s="8" t="s">
        <v>352</v>
      </c>
      <c r="I58" s="8" t="s">
        <v>9</v>
      </c>
      <c r="J58" s="8" t="s">
        <v>9</v>
      </c>
      <c r="K58" s="8" t="s">
        <v>1689</v>
      </c>
      <c r="L58" s="8" t="s">
        <v>9</v>
      </c>
      <c r="M58" s="8" t="s">
        <v>1690</v>
      </c>
      <c r="N58" s="8" t="s">
        <v>1827</v>
      </c>
      <c r="O58" s="8" t="s">
        <v>1828</v>
      </c>
      <c r="P58" s="8" t="s">
        <v>1829</v>
      </c>
      <c r="Q58" s="8" t="s">
        <v>1830</v>
      </c>
      <c r="R58" s="8" t="s">
        <v>1831</v>
      </c>
      <c r="S58" s="8" t="s">
        <v>1696</v>
      </c>
      <c r="T58" s="8"/>
      <c r="U58" s="8" t="s">
        <v>112</v>
      </c>
      <c r="V58" s="8"/>
      <c r="W58" s="10"/>
      <c r="X58" s="8"/>
      <c r="Y58" s="8"/>
      <c r="Z58" s="16"/>
      <c r="AA58" s="8" t="s">
        <v>112</v>
      </c>
      <c r="AB58" s="8"/>
      <c r="AC58" s="8" t="s">
        <v>1697</v>
      </c>
    </row>
    <row r="59" spans="1:29" ht="72" x14ac:dyDescent="0.3">
      <c r="A59" s="10" t="s">
        <v>1832</v>
      </c>
      <c r="B59" s="8" t="s">
        <v>1687</v>
      </c>
      <c r="C59" s="8" t="s">
        <v>1606</v>
      </c>
      <c r="D59" s="8" t="s">
        <v>9</v>
      </c>
      <c r="E59" s="10">
        <v>215655</v>
      </c>
      <c r="F59" s="8" t="s">
        <v>163</v>
      </c>
      <c r="G59" s="8" t="s">
        <v>1729</v>
      </c>
      <c r="H59" s="8" t="s">
        <v>352</v>
      </c>
      <c r="I59" s="8" t="s">
        <v>9</v>
      </c>
      <c r="J59" s="8" t="s">
        <v>9</v>
      </c>
      <c r="K59" s="8" t="s">
        <v>1689</v>
      </c>
      <c r="L59" s="8" t="s">
        <v>9</v>
      </c>
      <c r="M59" s="8" t="s">
        <v>1690</v>
      </c>
      <c r="N59" s="8" t="s">
        <v>1833</v>
      </c>
      <c r="O59" s="8" t="s">
        <v>1701</v>
      </c>
      <c r="P59" s="8" t="s">
        <v>1834</v>
      </c>
      <c r="Q59" s="8" t="s">
        <v>1835</v>
      </c>
      <c r="R59" s="8" t="s">
        <v>1836</v>
      </c>
      <c r="S59" s="8" t="s">
        <v>1712</v>
      </c>
      <c r="T59" s="8"/>
      <c r="U59" s="8" t="s">
        <v>112</v>
      </c>
      <c r="V59" s="8"/>
      <c r="W59" s="10"/>
      <c r="X59" s="8"/>
      <c r="Y59" s="8"/>
      <c r="Z59" s="16"/>
      <c r="AA59" s="8" t="s">
        <v>112</v>
      </c>
      <c r="AB59" s="8"/>
      <c r="AC59" s="8" t="s">
        <v>1713</v>
      </c>
    </row>
    <row r="60" spans="1:29" ht="48" x14ac:dyDescent="0.3">
      <c r="A60" s="10" t="s">
        <v>1837</v>
      </c>
      <c r="B60" s="8" t="s">
        <v>1687</v>
      </c>
      <c r="C60" s="8" t="s">
        <v>1606</v>
      </c>
      <c r="D60" s="8" t="s">
        <v>9</v>
      </c>
      <c r="E60" s="10">
        <v>319957</v>
      </c>
      <c r="F60" s="8" t="s">
        <v>165</v>
      </c>
      <c r="G60" s="8" t="s">
        <v>1699</v>
      </c>
      <c r="H60" s="8" t="s">
        <v>352</v>
      </c>
      <c r="I60" s="8" t="s">
        <v>9</v>
      </c>
      <c r="J60" s="8" t="s">
        <v>9</v>
      </c>
      <c r="K60" s="8" t="s">
        <v>1689</v>
      </c>
      <c r="L60" s="8" t="s">
        <v>9</v>
      </c>
      <c r="M60" s="8" t="s">
        <v>1690</v>
      </c>
      <c r="N60" s="8" t="s">
        <v>1838</v>
      </c>
      <c r="O60" s="8" t="s">
        <v>1701</v>
      </c>
      <c r="P60" s="8" t="s">
        <v>1839</v>
      </c>
      <c r="Q60" s="8" t="s">
        <v>1840</v>
      </c>
      <c r="R60" s="8" t="s">
        <v>1841</v>
      </c>
      <c r="S60" s="8" t="s">
        <v>1842</v>
      </c>
      <c r="T60" s="8"/>
      <c r="U60" s="8" t="s">
        <v>112</v>
      </c>
      <c r="V60" s="8"/>
      <c r="W60" s="10"/>
      <c r="X60" s="8"/>
      <c r="Y60" s="8"/>
      <c r="Z60" s="16"/>
      <c r="AA60" s="8" t="s">
        <v>112</v>
      </c>
      <c r="AB60" s="8"/>
      <c r="AC60" s="8" t="s">
        <v>1713</v>
      </c>
    </row>
    <row r="61" spans="1:29" ht="48" x14ac:dyDescent="0.3">
      <c r="A61" s="10" t="s">
        <v>1843</v>
      </c>
      <c r="B61" s="8" t="s">
        <v>1687</v>
      </c>
      <c r="C61" s="8" t="s">
        <v>1606</v>
      </c>
      <c r="D61" s="8" t="s">
        <v>9</v>
      </c>
      <c r="E61" s="10">
        <v>315940</v>
      </c>
      <c r="F61" s="8" t="s">
        <v>167</v>
      </c>
      <c r="G61" s="8" t="s">
        <v>1699</v>
      </c>
      <c r="H61" s="8" t="s">
        <v>352</v>
      </c>
      <c r="I61" s="8" t="s">
        <v>9</v>
      </c>
      <c r="J61" s="8" t="s">
        <v>9</v>
      </c>
      <c r="K61" s="8" t="s">
        <v>1689</v>
      </c>
      <c r="L61" s="8" t="s">
        <v>9</v>
      </c>
      <c r="M61" s="8" t="s">
        <v>1690</v>
      </c>
      <c r="N61" s="8" t="s">
        <v>1747</v>
      </c>
      <c r="O61" s="8" t="s">
        <v>1701</v>
      </c>
      <c r="P61" s="8" t="s">
        <v>1844</v>
      </c>
      <c r="Q61" s="8" t="s">
        <v>1845</v>
      </c>
      <c r="R61" s="8" t="s">
        <v>1780</v>
      </c>
      <c r="S61" s="8" t="s">
        <v>1696</v>
      </c>
      <c r="T61" s="8"/>
      <c r="U61" s="8" t="s">
        <v>112</v>
      </c>
      <c r="V61" s="8"/>
      <c r="W61" s="10"/>
      <c r="X61" s="8"/>
      <c r="Y61" s="8"/>
      <c r="Z61" s="16"/>
      <c r="AA61" s="8" t="s">
        <v>112</v>
      </c>
      <c r="AB61" s="8"/>
      <c r="AC61" s="8" t="s">
        <v>1751</v>
      </c>
    </row>
    <row r="62" spans="1:29" ht="48" x14ac:dyDescent="0.3">
      <c r="A62" s="10" t="s">
        <v>1846</v>
      </c>
      <c r="B62" s="8" t="s">
        <v>1687</v>
      </c>
      <c r="C62" s="8" t="s">
        <v>1606</v>
      </c>
      <c r="D62" s="8" t="s">
        <v>9</v>
      </c>
      <c r="E62" s="10">
        <v>282625</v>
      </c>
      <c r="F62" s="8" t="s">
        <v>169</v>
      </c>
      <c r="G62" s="8" t="s">
        <v>1729</v>
      </c>
      <c r="H62" s="8" t="s">
        <v>352</v>
      </c>
      <c r="I62" s="8" t="s">
        <v>9</v>
      </c>
      <c r="J62" s="8" t="s">
        <v>9</v>
      </c>
      <c r="K62" s="8" t="s">
        <v>1689</v>
      </c>
      <c r="L62" s="8" t="s">
        <v>9</v>
      </c>
      <c r="M62" s="8" t="s">
        <v>1690</v>
      </c>
      <c r="N62" s="8" t="s">
        <v>1847</v>
      </c>
      <c r="O62" s="8" t="s">
        <v>1724</v>
      </c>
      <c r="P62" s="8" t="s">
        <v>1848</v>
      </c>
      <c r="Q62" s="8" t="s">
        <v>1849</v>
      </c>
      <c r="R62" s="8" t="s">
        <v>1850</v>
      </c>
      <c r="S62" s="8" t="s">
        <v>1696</v>
      </c>
      <c r="T62" s="8"/>
      <c r="U62" s="8" t="s">
        <v>112</v>
      </c>
      <c r="V62" s="8"/>
      <c r="W62" s="10"/>
      <c r="X62" s="8"/>
      <c r="Y62" s="8"/>
      <c r="Z62" s="16"/>
      <c r="AA62" s="8" t="s">
        <v>112</v>
      </c>
      <c r="AB62" s="8"/>
      <c r="AC62" s="8" t="s">
        <v>1713</v>
      </c>
    </row>
    <row r="63" spans="1:29" ht="48" x14ac:dyDescent="0.3">
      <c r="A63" s="10" t="s">
        <v>1851</v>
      </c>
      <c r="B63" s="8" t="s">
        <v>1687</v>
      </c>
      <c r="C63" s="8" t="s">
        <v>1606</v>
      </c>
      <c r="D63" s="8" t="s">
        <v>9</v>
      </c>
      <c r="E63" s="10">
        <v>332726</v>
      </c>
      <c r="F63" s="8" t="s">
        <v>171</v>
      </c>
      <c r="G63" s="8" t="s">
        <v>1729</v>
      </c>
      <c r="H63" s="8" t="s">
        <v>352</v>
      </c>
      <c r="I63" s="8" t="s">
        <v>9</v>
      </c>
      <c r="J63" s="8" t="s">
        <v>9</v>
      </c>
      <c r="K63" s="8" t="s">
        <v>1689</v>
      </c>
      <c r="L63" s="8" t="s">
        <v>9</v>
      </c>
      <c r="M63" s="8" t="s">
        <v>1690</v>
      </c>
      <c r="N63" s="8" t="s">
        <v>1852</v>
      </c>
      <c r="O63" s="8" t="s">
        <v>1716</v>
      </c>
      <c r="P63" s="8" t="s">
        <v>1717</v>
      </c>
      <c r="Q63" s="8" t="s">
        <v>1853</v>
      </c>
      <c r="R63" s="8" t="s">
        <v>1854</v>
      </c>
      <c r="S63" s="8" t="s">
        <v>1696</v>
      </c>
      <c r="T63" s="8"/>
      <c r="U63" s="8" t="s">
        <v>112</v>
      </c>
      <c r="V63" s="8"/>
      <c r="W63" s="10"/>
      <c r="X63" s="8"/>
      <c r="Y63" s="8"/>
      <c r="Z63" s="16"/>
      <c r="AA63" s="8" t="s">
        <v>112</v>
      </c>
      <c r="AB63" s="8"/>
      <c r="AC63" s="8" t="s">
        <v>1733</v>
      </c>
    </row>
    <row r="64" spans="1:29" ht="90" customHeight="1" x14ac:dyDescent="0.3">
      <c r="A64" s="10" t="s">
        <v>1855</v>
      </c>
      <c r="B64" s="8" t="s">
        <v>1687</v>
      </c>
      <c r="C64" s="8" t="s">
        <v>1606</v>
      </c>
      <c r="D64" s="8" t="s">
        <v>9</v>
      </c>
      <c r="E64" s="10">
        <v>319734</v>
      </c>
      <c r="F64" s="8" t="s">
        <v>173</v>
      </c>
      <c r="G64" s="8" t="s">
        <v>1729</v>
      </c>
      <c r="H64" s="8" t="s">
        <v>352</v>
      </c>
      <c r="I64" s="8" t="s">
        <v>9</v>
      </c>
      <c r="J64" s="8" t="s">
        <v>9</v>
      </c>
      <c r="K64" s="8" t="s">
        <v>1689</v>
      </c>
      <c r="L64" s="8" t="s">
        <v>9</v>
      </c>
      <c r="M64" s="8" t="s">
        <v>1690</v>
      </c>
      <c r="N64" s="8" t="s">
        <v>1856</v>
      </c>
      <c r="O64" s="8" t="s">
        <v>1701</v>
      </c>
      <c r="P64" s="8" t="s">
        <v>1857</v>
      </c>
      <c r="Q64" s="8" t="s">
        <v>1858</v>
      </c>
      <c r="R64" s="8" t="s">
        <v>1859</v>
      </c>
      <c r="S64" s="8" t="s">
        <v>1696</v>
      </c>
      <c r="T64" s="8"/>
      <c r="U64" s="8" t="s">
        <v>112</v>
      </c>
      <c r="V64" s="8"/>
      <c r="W64" s="10"/>
      <c r="X64" s="8"/>
      <c r="Y64" s="8"/>
      <c r="Z64" s="16"/>
      <c r="AA64" s="8" t="s">
        <v>112</v>
      </c>
      <c r="AB64" s="8"/>
      <c r="AC64" s="8" t="s">
        <v>1706</v>
      </c>
    </row>
    <row r="65" spans="1:29" ht="60" x14ac:dyDescent="0.3">
      <c r="A65" s="10" t="s">
        <v>1860</v>
      </c>
      <c r="B65" s="8" t="s">
        <v>1687</v>
      </c>
      <c r="C65" s="8" t="s">
        <v>1606</v>
      </c>
      <c r="D65" s="8" t="s">
        <v>9</v>
      </c>
      <c r="E65" s="10">
        <v>266572</v>
      </c>
      <c r="F65" s="8" t="s">
        <v>175</v>
      </c>
      <c r="G65" s="8" t="s">
        <v>1699</v>
      </c>
      <c r="H65" s="8" t="s">
        <v>352</v>
      </c>
      <c r="I65" s="8" t="s">
        <v>9</v>
      </c>
      <c r="J65" s="8" t="s">
        <v>9</v>
      </c>
      <c r="K65" s="8" t="s">
        <v>1689</v>
      </c>
      <c r="L65" s="8" t="s">
        <v>9</v>
      </c>
      <c r="M65" s="8" t="s">
        <v>1690</v>
      </c>
      <c r="N65" s="8" t="s">
        <v>1861</v>
      </c>
      <c r="O65" s="8" t="s">
        <v>1701</v>
      </c>
      <c r="P65" s="8" t="s">
        <v>1862</v>
      </c>
      <c r="Q65" s="8" t="s">
        <v>1863</v>
      </c>
      <c r="R65" s="8" t="s">
        <v>1864</v>
      </c>
      <c r="S65" s="8" t="s">
        <v>1696</v>
      </c>
      <c r="T65" s="8"/>
      <c r="U65" s="8" t="s">
        <v>112</v>
      </c>
      <c r="V65" s="8"/>
      <c r="W65" s="10"/>
      <c r="X65" s="8"/>
      <c r="Y65" s="8"/>
      <c r="Z65" s="16"/>
      <c r="AA65" s="8" t="s">
        <v>112</v>
      </c>
      <c r="AB65" s="8"/>
      <c r="AC65" s="8" t="s">
        <v>1865</v>
      </c>
    </row>
    <row r="66" spans="1:29" ht="90" customHeight="1" x14ac:dyDescent="0.3">
      <c r="A66" s="10" t="s">
        <v>1866</v>
      </c>
      <c r="B66" s="8" t="s">
        <v>1687</v>
      </c>
      <c r="C66" s="8" t="s">
        <v>1606</v>
      </c>
      <c r="D66" s="8" t="s">
        <v>9</v>
      </c>
      <c r="E66" s="10">
        <v>264528</v>
      </c>
      <c r="F66" s="8" t="s">
        <v>177</v>
      </c>
      <c r="G66" s="8" t="s">
        <v>1699</v>
      </c>
      <c r="H66" s="8" t="s">
        <v>352</v>
      </c>
      <c r="I66" s="8" t="s">
        <v>9</v>
      </c>
      <c r="J66" s="8" t="s">
        <v>9</v>
      </c>
      <c r="K66" s="8" t="s">
        <v>1689</v>
      </c>
      <c r="L66" s="8" t="s">
        <v>9</v>
      </c>
      <c r="M66" s="8" t="s">
        <v>1690</v>
      </c>
      <c r="N66" s="8" t="s">
        <v>1867</v>
      </c>
      <c r="O66" s="8" t="s">
        <v>1724</v>
      </c>
      <c r="P66" s="8" t="s">
        <v>1868</v>
      </c>
      <c r="Q66" s="8" t="s">
        <v>1869</v>
      </c>
      <c r="R66" s="8" t="s">
        <v>1870</v>
      </c>
      <c r="S66" s="8" t="s">
        <v>1696</v>
      </c>
      <c r="T66" s="8"/>
      <c r="U66" s="8" t="s">
        <v>112</v>
      </c>
      <c r="V66" s="8"/>
      <c r="W66" s="10"/>
      <c r="X66" s="8"/>
      <c r="Y66" s="8"/>
      <c r="Z66" s="16"/>
      <c r="AA66" s="8" t="s">
        <v>112</v>
      </c>
      <c r="AB66" s="8"/>
      <c r="AC66" s="8" t="s">
        <v>1713</v>
      </c>
    </row>
    <row r="67" spans="1:29" ht="90" customHeight="1" x14ac:dyDescent="0.3">
      <c r="A67" s="10" t="s">
        <v>1871</v>
      </c>
      <c r="B67" s="8" t="s">
        <v>1687</v>
      </c>
      <c r="C67" s="8" t="s">
        <v>1606</v>
      </c>
      <c r="D67" s="8" t="s">
        <v>9</v>
      </c>
      <c r="E67" s="10">
        <v>265784</v>
      </c>
      <c r="F67" s="8" t="s">
        <v>179</v>
      </c>
      <c r="G67" s="8" t="s">
        <v>1872</v>
      </c>
      <c r="H67" s="8" t="s">
        <v>352</v>
      </c>
      <c r="I67" s="8" t="s">
        <v>9</v>
      </c>
      <c r="J67" s="8" t="s">
        <v>9</v>
      </c>
      <c r="K67" s="8" t="s">
        <v>1689</v>
      </c>
      <c r="L67" s="8" t="s">
        <v>9</v>
      </c>
      <c r="M67" s="8" t="s">
        <v>1690</v>
      </c>
      <c r="N67" s="8" t="s">
        <v>1873</v>
      </c>
      <c r="O67" s="8" t="s">
        <v>1701</v>
      </c>
      <c r="P67" s="8" t="s">
        <v>1874</v>
      </c>
      <c r="Q67" s="8" t="s">
        <v>1875</v>
      </c>
      <c r="R67" s="8" t="s">
        <v>1876</v>
      </c>
      <c r="S67" s="8" t="s">
        <v>1696</v>
      </c>
      <c r="T67" s="8"/>
      <c r="U67" s="8" t="s">
        <v>112</v>
      </c>
      <c r="V67" s="8"/>
      <c r="W67" s="10"/>
      <c r="X67" s="8"/>
      <c r="Y67" s="8"/>
      <c r="Z67" s="16"/>
      <c r="AA67" s="8" t="s">
        <v>112</v>
      </c>
      <c r="AB67" s="8"/>
      <c r="AC67" s="8" t="s">
        <v>1865</v>
      </c>
    </row>
    <row r="68" spans="1:29" ht="90" customHeight="1" x14ac:dyDescent="0.3">
      <c r="A68" s="10" t="s">
        <v>1877</v>
      </c>
      <c r="B68" s="8" t="s">
        <v>1687</v>
      </c>
      <c r="C68" s="8" t="s">
        <v>1606</v>
      </c>
      <c r="D68" s="8" t="s">
        <v>9</v>
      </c>
      <c r="E68" s="10">
        <v>264292</v>
      </c>
      <c r="F68" s="8" t="s">
        <v>181</v>
      </c>
      <c r="G68" s="8" t="s">
        <v>1699</v>
      </c>
      <c r="H68" s="8" t="s">
        <v>352</v>
      </c>
      <c r="I68" s="8" t="s">
        <v>9</v>
      </c>
      <c r="J68" s="8" t="s">
        <v>9</v>
      </c>
      <c r="K68" s="8" t="s">
        <v>1689</v>
      </c>
      <c r="L68" s="8" t="s">
        <v>9</v>
      </c>
      <c r="M68" s="8" t="s">
        <v>1690</v>
      </c>
      <c r="N68" s="8" t="s">
        <v>1878</v>
      </c>
      <c r="O68" s="8" t="s">
        <v>1701</v>
      </c>
      <c r="P68" s="8" t="s">
        <v>1879</v>
      </c>
      <c r="Q68" s="8" t="s">
        <v>1880</v>
      </c>
      <c r="R68" s="8" t="s">
        <v>1881</v>
      </c>
      <c r="S68" s="8" t="s">
        <v>1696</v>
      </c>
      <c r="T68" s="8"/>
      <c r="U68" s="8" t="s">
        <v>112</v>
      </c>
      <c r="V68" s="8"/>
      <c r="W68" s="10"/>
      <c r="X68" s="8"/>
      <c r="Y68" s="8"/>
      <c r="Z68" s="16"/>
      <c r="AA68" s="8" t="s">
        <v>112</v>
      </c>
      <c r="AB68" s="8"/>
      <c r="AC68" s="8" t="s">
        <v>1865</v>
      </c>
    </row>
    <row r="69" spans="1:29" ht="48" x14ac:dyDescent="0.3">
      <c r="A69" s="10" t="s">
        <v>1882</v>
      </c>
      <c r="B69" s="8" t="s">
        <v>1687</v>
      </c>
      <c r="C69" s="8" t="s">
        <v>1606</v>
      </c>
      <c r="D69" s="8" t="s">
        <v>9</v>
      </c>
      <c r="E69" s="10">
        <v>329797</v>
      </c>
      <c r="F69" s="8" t="s">
        <v>183</v>
      </c>
      <c r="G69" s="8" t="s">
        <v>1729</v>
      </c>
      <c r="H69" s="8" t="s">
        <v>352</v>
      </c>
      <c r="I69" s="8" t="s">
        <v>9</v>
      </c>
      <c r="J69" s="8" t="s">
        <v>9</v>
      </c>
      <c r="K69" s="8" t="s">
        <v>1689</v>
      </c>
      <c r="L69" s="8" t="s">
        <v>9</v>
      </c>
      <c r="M69" s="8" t="s">
        <v>1690</v>
      </c>
      <c r="N69" s="8" t="s">
        <v>1883</v>
      </c>
      <c r="O69" s="8" t="s">
        <v>1701</v>
      </c>
      <c r="P69" s="8" t="s">
        <v>1884</v>
      </c>
      <c r="Q69" s="8" t="s">
        <v>1885</v>
      </c>
      <c r="R69" s="8" t="s">
        <v>1886</v>
      </c>
      <c r="S69" s="8" t="s">
        <v>1696</v>
      </c>
      <c r="T69" s="8"/>
      <c r="U69" s="8" t="s">
        <v>112</v>
      </c>
      <c r="V69" s="8"/>
      <c r="W69" s="10"/>
      <c r="X69" s="8"/>
      <c r="Y69" s="8"/>
      <c r="Z69" s="16"/>
      <c r="AA69" s="8" t="s">
        <v>112</v>
      </c>
      <c r="AB69" s="8"/>
      <c r="AC69" s="8" t="s">
        <v>1713</v>
      </c>
    </row>
    <row r="70" spans="1:29" ht="48" x14ac:dyDescent="0.3">
      <c r="A70" s="10" t="s">
        <v>1887</v>
      </c>
      <c r="B70" s="8" t="s">
        <v>1687</v>
      </c>
      <c r="C70" s="8" t="s">
        <v>1606</v>
      </c>
      <c r="D70" s="8" t="s">
        <v>9</v>
      </c>
      <c r="E70" s="10">
        <v>320521</v>
      </c>
      <c r="F70" s="8" t="s">
        <v>185</v>
      </c>
      <c r="G70" s="8" t="s">
        <v>1699</v>
      </c>
      <c r="H70" s="8" t="s">
        <v>352</v>
      </c>
      <c r="I70" s="8" t="s">
        <v>9</v>
      </c>
      <c r="J70" s="8" t="s">
        <v>9</v>
      </c>
      <c r="K70" s="8" t="s">
        <v>1689</v>
      </c>
      <c r="L70" s="8" t="s">
        <v>9</v>
      </c>
      <c r="M70" s="8" t="s">
        <v>1690</v>
      </c>
      <c r="N70" s="8" t="s">
        <v>1888</v>
      </c>
      <c r="O70" s="8" t="s">
        <v>1716</v>
      </c>
      <c r="P70" s="8" t="s">
        <v>1717</v>
      </c>
      <c r="Q70" s="8" t="s">
        <v>1889</v>
      </c>
      <c r="R70" s="8" t="s">
        <v>1890</v>
      </c>
      <c r="S70" s="8" t="s">
        <v>1891</v>
      </c>
      <c r="T70" s="8"/>
      <c r="U70" s="8" t="s">
        <v>112</v>
      </c>
      <c r="V70" s="8"/>
      <c r="W70" s="10"/>
      <c r="X70" s="8"/>
      <c r="Y70" s="8"/>
      <c r="Z70" s="16"/>
      <c r="AA70" s="8" t="s">
        <v>112</v>
      </c>
      <c r="AB70" s="8"/>
      <c r="AC70" s="8" t="s">
        <v>1892</v>
      </c>
    </row>
    <row r="71" spans="1:29" ht="48" x14ac:dyDescent="0.3">
      <c r="A71" s="10" t="s">
        <v>1893</v>
      </c>
      <c r="B71" s="8" t="s">
        <v>1687</v>
      </c>
      <c r="C71" s="8" t="s">
        <v>1606</v>
      </c>
      <c r="D71" s="8" t="s">
        <v>9</v>
      </c>
      <c r="E71" s="10">
        <v>332626</v>
      </c>
      <c r="F71" s="8" t="s">
        <v>187</v>
      </c>
      <c r="G71" s="8" t="s">
        <v>1688</v>
      </c>
      <c r="H71" s="8" t="s">
        <v>352</v>
      </c>
      <c r="I71" s="8" t="s">
        <v>9</v>
      </c>
      <c r="J71" s="8" t="s">
        <v>9</v>
      </c>
      <c r="K71" s="8" t="s">
        <v>1689</v>
      </c>
      <c r="L71" s="8" t="s">
        <v>9</v>
      </c>
      <c r="M71" s="8" t="s">
        <v>1690</v>
      </c>
      <c r="N71" s="8" t="s">
        <v>1894</v>
      </c>
      <c r="O71" s="8" t="s">
        <v>1692</v>
      </c>
      <c r="P71" s="8" t="s">
        <v>1895</v>
      </c>
      <c r="Q71" s="8" t="s">
        <v>1896</v>
      </c>
      <c r="R71" s="8" t="s">
        <v>1897</v>
      </c>
      <c r="S71" s="8" t="s">
        <v>1696</v>
      </c>
      <c r="T71" s="8"/>
      <c r="U71" s="8" t="s">
        <v>112</v>
      </c>
      <c r="V71" s="8"/>
      <c r="W71" s="10"/>
      <c r="X71" s="8"/>
      <c r="Y71" s="8"/>
      <c r="Z71" s="16"/>
      <c r="AA71" s="8" t="s">
        <v>112</v>
      </c>
      <c r="AB71" s="8"/>
      <c r="AC71" s="8" t="s">
        <v>1713</v>
      </c>
    </row>
    <row r="72" spans="1:29" ht="72" x14ac:dyDescent="0.3">
      <c r="A72" s="10" t="s">
        <v>1898</v>
      </c>
      <c r="B72" s="8" t="s">
        <v>1687</v>
      </c>
      <c r="C72" s="8" t="s">
        <v>1606</v>
      </c>
      <c r="D72" s="8" t="s">
        <v>9</v>
      </c>
      <c r="E72" s="10">
        <v>290127</v>
      </c>
      <c r="F72" s="8" t="s">
        <v>189</v>
      </c>
      <c r="G72" s="8" t="s">
        <v>1729</v>
      </c>
      <c r="H72" s="8" t="s">
        <v>352</v>
      </c>
      <c r="I72" s="8" t="s">
        <v>9</v>
      </c>
      <c r="J72" s="8" t="s">
        <v>9</v>
      </c>
      <c r="K72" s="8" t="s">
        <v>1689</v>
      </c>
      <c r="L72" s="8" t="s">
        <v>9</v>
      </c>
      <c r="M72" s="8" t="s">
        <v>1690</v>
      </c>
      <c r="N72" s="8" t="s">
        <v>1899</v>
      </c>
      <c r="O72" s="8" t="s">
        <v>1701</v>
      </c>
      <c r="P72" s="8" t="s">
        <v>1900</v>
      </c>
      <c r="Q72" s="8" t="s">
        <v>1901</v>
      </c>
      <c r="R72" s="8" t="s">
        <v>1902</v>
      </c>
      <c r="S72" s="8" t="s">
        <v>1696</v>
      </c>
      <c r="T72" s="8"/>
      <c r="U72" s="8" t="s">
        <v>112</v>
      </c>
      <c r="V72" s="8"/>
      <c r="W72" s="10"/>
      <c r="X72" s="8"/>
      <c r="Y72" s="8"/>
      <c r="Z72" s="16"/>
      <c r="AA72" s="8" t="s">
        <v>112</v>
      </c>
      <c r="AB72" s="8"/>
      <c r="AC72" s="8" t="s">
        <v>1713</v>
      </c>
    </row>
    <row r="73" spans="1:29" ht="48" x14ac:dyDescent="0.3">
      <c r="A73" s="10" t="s">
        <v>1903</v>
      </c>
      <c r="B73" s="8" t="s">
        <v>1687</v>
      </c>
      <c r="C73" s="8" t="s">
        <v>1606</v>
      </c>
      <c r="D73" s="8" t="s">
        <v>9</v>
      </c>
      <c r="E73" s="10">
        <v>292722</v>
      </c>
      <c r="F73" s="8" t="s">
        <v>191</v>
      </c>
      <c r="G73" s="8" t="s">
        <v>1699</v>
      </c>
      <c r="H73" s="8" t="s">
        <v>352</v>
      </c>
      <c r="I73" s="8" t="s">
        <v>9</v>
      </c>
      <c r="J73" s="8" t="s">
        <v>9</v>
      </c>
      <c r="K73" s="8" t="s">
        <v>1689</v>
      </c>
      <c r="L73" s="8" t="s">
        <v>9</v>
      </c>
      <c r="M73" s="8" t="s">
        <v>1690</v>
      </c>
      <c r="N73" s="8" t="s">
        <v>1747</v>
      </c>
      <c r="O73" s="8" t="s">
        <v>1724</v>
      </c>
      <c r="P73" s="8" t="s">
        <v>1904</v>
      </c>
      <c r="Q73" s="8" t="s">
        <v>1905</v>
      </c>
      <c r="R73" s="8" t="s">
        <v>1906</v>
      </c>
      <c r="S73" s="8" t="s">
        <v>1696</v>
      </c>
      <c r="T73" s="8"/>
      <c r="U73" s="8" t="s">
        <v>112</v>
      </c>
      <c r="V73" s="8"/>
      <c r="W73" s="10"/>
      <c r="X73" s="8"/>
      <c r="Y73" s="8"/>
      <c r="Z73" s="16"/>
      <c r="AA73" s="8" t="s">
        <v>112</v>
      </c>
      <c r="AB73" s="8"/>
      <c r="AC73" s="8" t="s">
        <v>1751</v>
      </c>
    </row>
    <row r="74" spans="1:29" ht="48" x14ac:dyDescent="0.3">
      <c r="A74" s="10" t="s">
        <v>1907</v>
      </c>
      <c r="B74" s="8" t="s">
        <v>1687</v>
      </c>
      <c r="C74" s="8" t="s">
        <v>1606</v>
      </c>
      <c r="D74" s="8" t="s">
        <v>9</v>
      </c>
      <c r="E74" s="10">
        <v>303264</v>
      </c>
      <c r="F74" s="8" t="s">
        <v>193</v>
      </c>
      <c r="G74" s="8" t="s">
        <v>1729</v>
      </c>
      <c r="H74" s="8" t="s">
        <v>352</v>
      </c>
      <c r="I74" s="8" t="s">
        <v>9</v>
      </c>
      <c r="J74" s="8" t="s">
        <v>9</v>
      </c>
      <c r="K74" s="8" t="s">
        <v>1689</v>
      </c>
      <c r="L74" s="8" t="s">
        <v>9</v>
      </c>
      <c r="M74" s="8" t="s">
        <v>1690</v>
      </c>
      <c r="N74" s="8" t="s">
        <v>1908</v>
      </c>
      <c r="O74" s="8" t="s">
        <v>1716</v>
      </c>
      <c r="P74" s="8" t="s">
        <v>1717</v>
      </c>
      <c r="Q74" s="8" t="s">
        <v>1909</v>
      </c>
      <c r="R74" s="8" t="s">
        <v>1910</v>
      </c>
      <c r="S74" s="8" t="s">
        <v>1911</v>
      </c>
      <c r="T74" s="8"/>
      <c r="U74" s="8" t="s">
        <v>112</v>
      </c>
      <c r="V74" s="8"/>
      <c r="W74" s="10"/>
      <c r="X74" s="8"/>
      <c r="Y74" s="8"/>
      <c r="Z74" s="16"/>
      <c r="AA74" s="8" t="s">
        <v>112</v>
      </c>
      <c r="AB74" s="8"/>
      <c r="AC74" s="8" t="s">
        <v>1912</v>
      </c>
    </row>
    <row r="75" spans="1:29" ht="48" x14ac:dyDescent="0.3">
      <c r="A75" s="10" t="s">
        <v>1913</v>
      </c>
      <c r="B75" s="8" t="s">
        <v>1687</v>
      </c>
      <c r="C75" s="8" t="s">
        <v>1606</v>
      </c>
      <c r="D75" s="8" t="s">
        <v>9</v>
      </c>
      <c r="E75" s="10">
        <v>305162</v>
      </c>
      <c r="F75" s="8" t="s">
        <v>195</v>
      </c>
      <c r="G75" s="8" t="s">
        <v>1688</v>
      </c>
      <c r="H75" s="8" t="s">
        <v>352</v>
      </c>
      <c r="I75" s="8" t="s">
        <v>9</v>
      </c>
      <c r="J75" s="8" t="s">
        <v>9</v>
      </c>
      <c r="K75" s="8" t="s">
        <v>1689</v>
      </c>
      <c r="L75" s="8" t="s">
        <v>9</v>
      </c>
      <c r="M75" s="8" t="s">
        <v>1690</v>
      </c>
      <c r="N75" s="8" t="s">
        <v>1908</v>
      </c>
      <c r="O75" s="8" t="s">
        <v>1914</v>
      </c>
      <c r="P75" s="8" t="s">
        <v>1915</v>
      </c>
      <c r="Q75" s="8" t="s">
        <v>1916</v>
      </c>
      <c r="R75" s="8" t="s">
        <v>1917</v>
      </c>
      <c r="S75" s="8" t="s">
        <v>1911</v>
      </c>
      <c r="T75" s="8"/>
      <c r="U75" s="8" t="s">
        <v>112</v>
      </c>
      <c r="V75" s="8"/>
      <c r="W75" s="10"/>
      <c r="X75" s="8"/>
      <c r="Y75" s="8"/>
      <c r="Z75" s="16"/>
      <c r="AA75" s="8" t="s">
        <v>112</v>
      </c>
      <c r="AB75" s="8"/>
      <c r="AC75" s="8" t="s">
        <v>1912</v>
      </c>
    </row>
    <row r="76" spans="1:29" ht="60" x14ac:dyDescent="0.3">
      <c r="A76" s="10" t="s">
        <v>1918</v>
      </c>
      <c r="B76" s="8" t="s">
        <v>1687</v>
      </c>
      <c r="C76" s="8" t="s">
        <v>1606</v>
      </c>
      <c r="D76" s="8" t="s">
        <v>9</v>
      </c>
      <c r="E76" s="10">
        <v>289953</v>
      </c>
      <c r="F76" s="8" t="s">
        <v>197</v>
      </c>
      <c r="G76" s="8" t="s">
        <v>1699</v>
      </c>
      <c r="H76" s="8" t="s">
        <v>352</v>
      </c>
      <c r="I76" s="8" t="s">
        <v>9</v>
      </c>
      <c r="J76" s="8" t="s">
        <v>9</v>
      </c>
      <c r="K76" s="8" t="s">
        <v>1689</v>
      </c>
      <c r="L76" s="8" t="s">
        <v>9</v>
      </c>
      <c r="M76" s="8" t="s">
        <v>1690</v>
      </c>
      <c r="N76" s="8" t="s">
        <v>1919</v>
      </c>
      <c r="O76" s="8" t="s">
        <v>1701</v>
      </c>
      <c r="P76" s="8" t="s">
        <v>1920</v>
      </c>
      <c r="Q76" s="8" t="s">
        <v>1921</v>
      </c>
      <c r="R76" s="8" t="s">
        <v>1922</v>
      </c>
      <c r="S76" s="8" t="s">
        <v>1696</v>
      </c>
      <c r="T76" s="8"/>
      <c r="U76" s="8" t="s">
        <v>112</v>
      </c>
      <c r="V76" s="8"/>
      <c r="W76" s="10"/>
      <c r="X76" s="8"/>
      <c r="Y76" s="8"/>
      <c r="Z76" s="16"/>
      <c r="AA76" s="8" t="s">
        <v>112</v>
      </c>
      <c r="AB76" s="8"/>
      <c r="AC76" s="8" t="s">
        <v>1713</v>
      </c>
    </row>
    <row r="77" spans="1:29" ht="90" customHeight="1" x14ac:dyDescent="0.3">
      <c r="A77" s="10" t="s">
        <v>1923</v>
      </c>
      <c r="B77" s="8" t="s">
        <v>1687</v>
      </c>
      <c r="C77" s="8" t="s">
        <v>1606</v>
      </c>
      <c r="D77" s="8" t="s">
        <v>9</v>
      </c>
      <c r="E77" s="10">
        <v>319331</v>
      </c>
      <c r="F77" s="8" t="s">
        <v>199</v>
      </c>
      <c r="G77" s="8" t="s">
        <v>1729</v>
      </c>
      <c r="H77" s="8" t="s">
        <v>352</v>
      </c>
      <c r="I77" s="8" t="s">
        <v>9</v>
      </c>
      <c r="J77" s="8" t="s">
        <v>9</v>
      </c>
      <c r="K77" s="8" t="s">
        <v>1689</v>
      </c>
      <c r="L77" s="8" t="s">
        <v>9</v>
      </c>
      <c r="M77" s="8" t="s">
        <v>1690</v>
      </c>
      <c r="N77" s="8" t="s">
        <v>1924</v>
      </c>
      <c r="O77" s="8" t="s">
        <v>1701</v>
      </c>
      <c r="P77" s="8" t="s">
        <v>1925</v>
      </c>
      <c r="Q77" s="8" t="s">
        <v>1926</v>
      </c>
      <c r="R77" s="8" t="s">
        <v>1927</v>
      </c>
      <c r="S77" s="8" t="s">
        <v>1696</v>
      </c>
      <c r="T77" s="8"/>
      <c r="U77" s="8" t="s">
        <v>112</v>
      </c>
      <c r="V77" s="8"/>
      <c r="W77" s="10"/>
      <c r="X77" s="8"/>
      <c r="Y77" s="8"/>
      <c r="Z77" s="16"/>
      <c r="AA77" s="8" t="s">
        <v>112</v>
      </c>
      <c r="AB77" s="8"/>
      <c r="AC77" s="8" t="s">
        <v>1706</v>
      </c>
    </row>
  </sheetData>
  <mergeCells count="2">
    <mergeCell ref="A1:AC1"/>
    <mergeCell ref="A2:AC2"/>
  </mergeCells>
  <conditionalFormatting sqref="U5:U277">
    <cfRule type="cellIs" dxfId="70" priority="1" stopIfTrue="1" operator="equal">
      <formula>"Pass"</formula>
    </cfRule>
    <cfRule type="cellIs" dxfId="69" priority="2" stopIfTrue="1" operator="equal">
      <formula>"Fail"</formula>
    </cfRule>
    <cfRule type="cellIs" dxfId="68" priority="3" stopIfTrue="1" operator="equal">
      <formula>"Blocked"</formula>
    </cfRule>
    <cfRule type="cellIs" dxfId="67" priority="4" stopIfTrue="1" operator="equal">
      <formula>"In Progress"</formula>
    </cfRule>
    <cfRule type="cellIs" dxfId="66" priority="5" stopIfTrue="1" operator="equal">
      <formula>"Not Started"</formula>
    </cfRule>
    <cfRule type="cellIs" dxfId="65" priority="6" stopIfTrue="1" operator="equal">
      <formula>"N/A"</formula>
    </cfRule>
    <cfRule type="cellIs" dxfId="64" priority="7" stopIfTrue="1" operator="equal">
      <formula>"Ready"</formula>
    </cfRule>
    <cfRule type="cellIs" dxfId="63" priority="8" stopIfTrue="1" operator="equal">
      <formula>"Not Ready"</formula>
    </cfRule>
  </conditionalFormatting>
  <conditionalFormatting sqref="AA5:AA277">
    <cfRule type="cellIs" dxfId="62" priority="9" stopIfTrue="1" operator="equal">
      <formula>"Pass"</formula>
    </cfRule>
    <cfRule type="cellIs" dxfId="61" priority="10" stopIfTrue="1" operator="equal">
      <formula>"Fail"</formula>
    </cfRule>
    <cfRule type="cellIs" dxfId="60" priority="11" stopIfTrue="1" operator="equal">
      <formula>"Blocked"</formula>
    </cfRule>
    <cfRule type="cellIs" dxfId="59" priority="12" stopIfTrue="1" operator="equal">
      <formula>"In Progress"</formula>
    </cfRule>
    <cfRule type="cellIs" dxfId="58" priority="13" stopIfTrue="1" operator="equal">
      <formula>"Not Started"</formula>
    </cfRule>
    <cfRule type="cellIs" dxfId="57" priority="14" stopIfTrue="1" operator="equal">
      <formula>"N/A"</formula>
    </cfRule>
    <cfRule type="cellIs" dxfId="56" priority="15" stopIfTrue="1" operator="equal">
      <formula>"Ready"</formula>
    </cfRule>
    <cfRule type="cellIs" dxfId="55" priority="16" stopIfTrue="1" operator="equal">
      <formula>"Not Ready"</formula>
    </cfRule>
  </conditionalFormatting>
  <dataValidations count="3">
    <dataValidation type="list" allowBlank="1" showInputMessage="1" showErrorMessage="1" errorTitle="Invalid selection" error="Select a value from the dropdown list." sqref="U5:U277" xr:uid="{47E001D7-C1C9-4B62-A255-CD998C53461D}">
      <formula1>"Not Started,In Progress,Pass,Fail,Blocked,N/A"</formula1>
    </dataValidation>
    <dataValidation type="list" allowBlank="1" showInputMessage="1" showErrorMessage="1" errorTitle="Invalid selection" error="Select a value from the dropdown list." sqref="V5:V277" xr:uid="{2120504D-7441-41AC-BA81-A22AD304DDE9}">
      <formula1>"Critical,High,Medium,Low"</formula1>
    </dataValidation>
    <dataValidation type="list" allowBlank="1" showInputMessage="1" showErrorMessage="1" errorTitle="Invalid selection" error="Select a value from the dropdown list." sqref="AA5:AA277" xr:uid="{5C256D58-F0DE-465A-BC3E-DF9410288332}">
      <formula1>"Not Started,Pass,Fail,Blocked,N/A"</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DBF53-B4C6-407D-BDB4-1613071B8207}">
  <dimension ref="A1:V108"/>
  <sheetViews>
    <sheetView showGridLines="0" zoomScale="70" zoomScaleNormal="70" workbookViewId="0">
      <pane xSplit="4" ySplit="4" topLeftCell="E5" activePane="bottomRight" state="frozenSplit"/>
      <selection pane="bottomLeft" activeCell="A5" sqref="A5"/>
      <selection pane="topRight" activeCell="E1" sqref="E1"/>
      <selection pane="bottomRight"/>
    </sheetView>
  </sheetViews>
  <sheetFormatPr defaultRowHeight="14.4" x14ac:dyDescent="0.3"/>
  <cols>
    <col min="1" max="1" width="16.77734375" customWidth="1"/>
    <col min="2" max="2" width="18.77734375" customWidth="1"/>
    <col min="3" max="3" width="14.77734375" style="11" customWidth="1"/>
    <col min="4" max="4" width="34.77734375" customWidth="1"/>
    <col min="5" max="5" width="28.77734375" customWidth="1"/>
    <col min="6" max="6" width="20.77734375" customWidth="1"/>
    <col min="7" max="7" width="34.77734375" customWidth="1"/>
    <col min="8" max="8" width="24.77734375" customWidth="1"/>
    <col min="9" max="9" width="32.77734375" customWidth="1"/>
    <col min="10" max="10" width="30.77734375" customWidth="1"/>
    <col min="11" max="11" width="20.77734375" customWidth="1"/>
    <col min="12" max="12" width="28.77734375" customWidth="1"/>
    <col min="13" max="15" width="18.77734375" customWidth="1"/>
    <col min="16" max="16" width="24.77734375" customWidth="1"/>
    <col min="17" max="17" width="30.77734375" customWidth="1"/>
    <col min="18" max="18" width="20.77734375" customWidth="1"/>
    <col min="19" max="19" width="16.77734375" customWidth="1"/>
    <col min="20" max="20" width="30.77734375" customWidth="1"/>
    <col min="21" max="21" width="24.77734375" customWidth="1"/>
    <col min="22" max="22" width="44.77734375" customWidth="1"/>
  </cols>
  <sheetData>
    <row r="1" spans="1:22" ht="30" customHeight="1" x14ac:dyDescent="0.3">
      <c r="A1" s="1" t="s">
        <v>1301</v>
      </c>
      <c r="B1" s="1"/>
      <c r="C1" s="1"/>
      <c r="D1" s="1"/>
      <c r="E1" s="1"/>
      <c r="F1" s="1"/>
      <c r="G1" s="1"/>
      <c r="H1" s="1"/>
      <c r="I1" s="1"/>
      <c r="J1" s="1"/>
      <c r="K1" s="1"/>
      <c r="L1" s="1"/>
      <c r="M1" s="1"/>
      <c r="N1" s="1"/>
      <c r="O1" s="1"/>
      <c r="P1" s="1"/>
      <c r="Q1" s="1"/>
      <c r="R1" s="1"/>
      <c r="S1" s="1"/>
      <c r="T1" s="1"/>
      <c r="U1" s="1"/>
      <c r="V1" s="1"/>
    </row>
    <row r="2" spans="1:22" ht="28.05" customHeight="1" x14ac:dyDescent="0.3">
      <c r="A2" s="2" t="s">
        <v>1302</v>
      </c>
      <c r="B2" s="2"/>
      <c r="C2" s="2"/>
      <c r="D2" s="2"/>
      <c r="E2" s="2"/>
      <c r="F2" s="2"/>
      <c r="G2" s="2"/>
      <c r="H2" s="2"/>
      <c r="I2" s="2"/>
      <c r="J2" s="2"/>
      <c r="K2" s="2"/>
      <c r="L2" s="2"/>
      <c r="M2" s="2"/>
      <c r="N2" s="2"/>
      <c r="O2" s="2"/>
      <c r="P2" s="2"/>
      <c r="Q2" s="2"/>
      <c r="R2" s="2"/>
      <c r="S2" s="2"/>
      <c r="T2" s="2"/>
      <c r="U2" s="2"/>
      <c r="V2" s="2"/>
    </row>
    <row r="4" spans="1:22" ht="42" customHeight="1" x14ac:dyDescent="0.3">
      <c r="A4" s="7" t="s">
        <v>1303</v>
      </c>
      <c r="B4" s="7" t="s">
        <v>94</v>
      </c>
      <c r="C4" s="9" t="s">
        <v>92</v>
      </c>
      <c r="D4" s="7" t="s">
        <v>93</v>
      </c>
      <c r="E4" s="7" t="s">
        <v>573</v>
      </c>
      <c r="F4" s="7" t="s">
        <v>1304</v>
      </c>
      <c r="G4" s="7" t="s">
        <v>1305</v>
      </c>
      <c r="H4" s="7" t="s">
        <v>1306</v>
      </c>
      <c r="I4" s="7" t="s">
        <v>1307</v>
      </c>
      <c r="J4" s="7" t="s">
        <v>1308</v>
      </c>
      <c r="K4" s="7" t="s">
        <v>1309</v>
      </c>
      <c r="L4" s="7" t="s">
        <v>1310</v>
      </c>
      <c r="M4" s="7" t="s">
        <v>1311</v>
      </c>
      <c r="N4" s="7" t="s">
        <v>1312</v>
      </c>
      <c r="O4" s="7" t="s">
        <v>1313</v>
      </c>
      <c r="P4" s="7" t="s">
        <v>1314</v>
      </c>
      <c r="Q4" s="7" t="s">
        <v>1315</v>
      </c>
      <c r="R4" s="7" t="s">
        <v>1316</v>
      </c>
      <c r="S4" s="7" t="s">
        <v>25</v>
      </c>
      <c r="T4" s="7" t="s">
        <v>107</v>
      </c>
      <c r="U4" s="7" t="s">
        <v>23</v>
      </c>
      <c r="V4" s="7" t="s">
        <v>7</v>
      </c>
    </row>
    <row r="5" spans="1:22" ht="24" x14ac:dyDescent="0.3">
      <c r="A5" s="8" t="s">
        <v>1317</v>
      </c>
      <c r="B5" s="8" t="s">
        <v>9</v>
      </c>
      <c r="C5" s="10">
        <v>238801</v>
      </c>
      <c r="D5" s="8" t="s">
        <v>110</v>
      </c>
      <c r="E5" s="8" t="s">
        <v>9</v>
      </c>
      <c r="F5" s="8" t="s">
        <v>1318</v>
      </c>
      <c r="G5" s="8" t="s">
        <v>1032</v>
      </c>
      <c r="H5" s="8" t="s">
        <v>1319</v>
      </c>
      <c r="I5" s="8" t="s">
        <v>9</v>
      </c>
      <c r="J5" s="8" t="s">
        <v>9</v>
      </c>
      <c r="K5" s="8" t="s">
        <v>9</v>
      </c>
      <c r="L5" s="8" t="s">
        <v>1034</v>
      </c>
      <c r="M5" s="8" t="s">
        <v>1172</v>
      </c>
      <c r="N5" s="8" t="s">
        <v>9</v>
      </c>
      <c r="O5" s="8" t="s">
        <v>9</v>
      </c>
      <c r="P5" s="8" t="s">
        <v>1320</v>
      </c>
      <c r="Q5" s="8"/>
      <c r="R5" s="8" t="s">
        <v>111</v>
      </c>
      <c r="S5" s="8" t="s">
        <v>112</v>
      </c>
      <c r="T5" s="8"/>
      <c r="U5" s="8" t="s">
        <v>45</v>
      </c>
      <c r="V5" s="8" t="s">
        <v>1321</v>
      </c>
    </row>
    <row r="6" spans="1:22" ht="24" x14ac:dyDescent="0.3">
      <c r="A6" s="8" t="s">
        <v>1322</v>
      </c>
      <c r="B6" s="8" t="s">
        <v>9</v>
      </c>
      <c r="C6" s="10">
        <v>238801</v>
      </c>
      <c r="D6" s="8" t="s">
        <v>110</v>
      </c>
      <c r="E6" s="8" t="s">
        <v>9</v>
      </c>
      <c r="F6" s="8" t="s">
        <v>1318</v>
      </c>
      <c r="G6" s="8" t="s">
        <v>1041</v>
      </c>
      <c r="H6" s="8" t="s">
        <v>1319</v>
      </c>
      <c r="I6" s="8" t="s">
        <v>9</v>
      </c>
      <c r="J6" s="8" t="s">
        <v>9</v>
      </c>
      <c r="K6" s="8" t="s">
        <v>9</v>
      </c>
      <c r="L6" s="8" t="s">
        <v>1042</v>
      </c>
      <c r="M6" s="8" t="s">
        <v>1172</v>
      </c>
      <c r="N6" s="8" t="s">
        <v>9</v>
      </c>
      <c r="O6" s="8" t="s">
        <v>9</v>
      </c>
      <c r="P6" s="8" t="s">
        <v>1320</v>
      </c>
      <c r="Q6" s="8"/>
      <c r="R6" s="8" t="s">
        <v>111</v>
      </c>
      <c r="S6" s="8" t="s">
        <v>112</v>
      </c>
      <c r="T6" s="8"/>
      <c r="U6" s="8" t="s">
        <v>45</v>
      </c>
      <c r="V6" s="8" t="s">
        <v>1323</v>
      </c>
    </row>
    <row r="7" spans="1:22" ht="24" x14ac:dyDescent="0.3">
      <c r="A7" s="8" t="s">
        <v>1324</v>
      </c>
      <c r="B7" s="8" t="s">
        <v>9</v>
      </c>
      <c r="C7" s="10">
        <v>238801</v>
      </c>
      <c r="D7" s="8" t="s">
        <v>110</v>
      </c>
      <c r="E7" s="8" t="s">
        <v>9</v>
      </c>
      <c r="F7" s="8" t="s">
        <v>1325</v>
      </c>
      <c r="G7" s="8" t="s">
        <v>1047</v>
      </c>
      <c r="H7" s="8" t="s">
        <v>1319</v>
      </c>
      <c r="I7" s="8" t="s">
        <v>9</v>
      </c>
      <c r="J7" s="8" t="s">
        <v>9</v>
      </c>
      <c r="K7" s="8" t="s">
        <v>9</v>
      </c>
      <c r="L7" s="8" t="s">
        <v>1049</v>
      </c>
      <c r="M7" s="8" t="s">
        <v>1172</v>
      </c>
      <c r="N7" s="8" t="s">
        <v>9</v>
      </c>
      <c r="O7" s="8" t="s">
        <v>9</v>
      </c>
      <c r="P7" s="8" t="s">
        <v>1320</v>
      </c>
      <c r="Q7" s="8"/>
      <c r="R7" s="8" t="s">
        <v>111</v>
      </c>
      <c r="S7" s="8" t="s">
        <v>112</v>
      </c>
      <c r="T7" s="8"/>
      <c r="U7" s="8" t="s">
        <v>45</v>
      </c>
      <c r="V7" s="8" t="s">
        <v>1326</v>
      </c>
    </row>
    <row r="8" spans="1:22" ht="24" x14ac:dyDescent="0.3">
      <c r="A8" s="8" t="s">
        <v>1327</v>
      </c>
      <c r="B8" s="8" t="s">
        <v>9</v>
      </c>
      <c r="C8" s="10">
        <v>319925</v>
      </c>
      <c r="D8" s="8" t="s">
        <v>116</v>
      </c>
      <c r="E8" s="8" t="s">
        <v>9</v>
      </c>
      <c r="F8" s="8" t="s">
        <v>1318</v>
      </c>
      <c r="G8" s="8" t="s">
        <v>1032</v>
      </c>
      <c r="H8" s="8" t="s">
        <v>1319</v>
      </c>
      <c r="I8" s="8" t="s">
        <v>9</v>
      </c>
      <c r="J8" s="8" t="s">
        <v>9</v>
      </c>
      <c r="K8" s="8" t="s">
        <v>9</v>
      </c>
      <c r="L8" s="8" t="s">
        <v>1054</v>
      </c>
      <c r="M8" s="8" t="s">
        <v>1172</v>
      </c>
      <c r="N8" s="8" t="s">
        <v>9</v>
      </c>
      <c r="O8" s="8" t="s">
        <v>9</v>
      </c>
      <c r="P8" s="8" t="s">
        <v>1320</v>
      </c>
      <c r="Q8" s="8"/>
      <c r="R8" s="8" t="s">
        <v>111</v>
      </c>
      <c r="S8" s="8" t="s">
        <v>112</v>
      </c>
      <c r="T8" s="8"/>
      <c r="U8" s="8" t="s">
        <v>45</v>
      </c>
      <c r="V8" s="8" t="s">
        <v>1328</v>
      </c>
    </row>
    <row r="9" spans="1:22" ht="24" x14ac:dyDescent="0.3">
      <c r="A9" s="8" t="s">
        <v>1329</v>
      </c>
      <c r="B9" s="8" t="s">
        <v>9</v>
      </c>
      <c r="C9" s="10">
        <v>319925</v>
      </c>
      <c r="D9" s="8" t="s">
        <v>116</v>
      </c>
      <c r="E9" s="8" t="s">
        <v>9</v>
      </c>
      <c r="F9" s="8" t="s">
        <v>1318</v>
      </c>
      <c r="G9" s="8" t="s">
        <v>1041</v>
      </c>
      <c r="H9" s="8" t="s">
        <v>1319</v>
      </c>
      <c r="I9" s="8" t="s">
        <v>9</v>
      </c>
      <c r="J9" s="8" t="s">
        <v>9</v>
      </c>
      <c r="K9" s="8" t="s">
        <v>9</v>
      </c>
      <c r="L9" s="8" t="s">
        <v>1057</v>
      </c>
      <c r="M9" s="8" t="s">
        <v>1172</v>
      </c>
      <c r="N9" s="8" t="s">
        <v>9</v>
      </c>
      <c r="O9" s="8" t="s">
        <v>9</v>
      </c>
      <c r="P9" s="8" t="s">
        <v>1320</v>
      </c>
      <c r="Q9" s="8"/>
      <c r="R9" s="8" t="s">
        <v>111</v>
      </c>
      <c r="S9" s="8" t="s">
        <v>112</v>
      </c>
      <c r="T9" s="8"/>
      <c r="U9" s="8" t="s">
        <v>45</v>
      </c>
      <c r="V9" s="8" t="s">
        <v>1330</v>
      </c>
    </row>
    <row r="10" spans="1:22" ht="24" x14ac:dyDescent="0.3">
      <c r="A10" s="8" t="s">
        <v>1331</v>
      </c>
      <c r="B10" s="8" t="s">
        <v>9</v>
      </c>
      <c r="C10" s="10">
        <v>215656</v>
      </c>
      <c r="D10" s="8" t="s">
        <v>118</v>
      </c>
      <c r="E10" s="8" t="s">
        <v>9</v>
      </c>
      <c r="F10" s="8" t="s">
        <v>1318</v>
      </c>
      <c r="G10" s="8" t="s">
        <v>1032</v>
      </c>
      <c r="H10" s="8" t="s">
        <v>1319</v>
      </c>
      <c r="I10" s="8" t="s">
        <v>9</v>
      </c>
      <c r="J10" s="8" t="s">
        <v>9</v>
      </c>
      <c r="K10" s="8" t="s">
        <v>9</v>
      </c>
      <c r="L10" s="8" t="s">
        <v>1060</v>
      </c>
      <c r="M10" s="8" t="s">
        <v>1172</v>
      </c>
      <c r="N10" s="8" t="s">
        <v>9</v>
      </c>
      <c r="O10" s="8" t="s">
        <v>9</v>
      </c>
      <c r="P10" s="8" t="s">
        <v>1320</v>
      </c>
      <c r="Q10" s="8"/>
      <c r="R10" s="8" t="s">
        <v>111</v>
      </c>
      <c r="S10" s="8" t="s">
        <v>112</v>
      </c>
      <c r="T10" s="8"/>
      <c r="U10" s="8" t="s">
        <v>45</v>
      </c>
      <c r="V10" s="8" t="s">
        <v>1332</v>
      </c>
    </row>
    <row r="11" spans="1:22" ht="36" x14ac:dyDescent="0.3">
      <c r="A11" s="8" t="s">
        <v>1333</v>
      </c>
      <c r="B11" s="8" t="s">
        <v>9</v>
      </c>
      <c r="C11" s="10">
        <v>215656</v>
      </c>
      <c r="D11" s="8" t="s">
        <v>118</v>
      </c>
      <c r="E11" s="8" t="s">
        <v>9</v>
      </c>
      <c r="F11" s="8" t="s">
        <v>1318</v>
      </c>
      <c r="G11" s="8" t="s">
        <v>1041</v>
      </c>
      <c r="H11" s="8" t="s">
        <v>1319</v>
      </c>
      <c r="I11" s="8" t="s">
        <v>9</v>
      </c>
      <c r="J11" s="8" t="s">
        <v>9</v>
      </c>
      <c r="K11" s="8" t="s">
        <v>9</v>
      </c>
      <c r="L11" s="8" t="s">
        <v>1063</v>
      </c>
      <c r="M11" s="8" t="s">
        <v>1172</v>
      </c>
      <c r="N11" s="8" t="s">
        <v>9</v>
      </c>
      <c r="O11" s="8" t="s">
        <v>9</v>
      </c>
      <c r="P11" s="8" t="s">
        <v>1320</v>
      </c>
      <c r="Q11" s="8"/>
      <c r="R11" s="8" t="s">
        <v>111</v>
      </c>
      <c r="S11" s="8" t="s">
        <v>112</v>
      </c>
      <c r="T11" s="8"/>
      <c r="U11" s="8" t="s">
        <v>45</v>
      </c>
      <c r="V11" s="8" t="s">
        <v>1334</v>
      </c>
    </row>
    <row r="12" spans="1:22" ht="36" x14ac:dyDescent="0.3">
      <c r="A12" s="8" t="s">
        <v>1335</v>
      </c>
      <c r="B12" s="8" t="s">
        <v>9</v>
      </c>
      <c r="C12" s="10">
        <v>319918</v>
      </c>
      <c r="D12" s="8" t="s">
        <v>120</v>
      </c>
      <c r="E12" s="8" t="s">
        <v>9</v>
      </c>
      <c r="F12" s="8" t="s">
        <v>1325</v>
      </c>
      <c r="G12" s="8" t="s">
        <v>9</v>
      </c>
      <c r="H12" s="8" t="s">
        <v>9</v>
      </c>
      <c r="I12" s="8" t="s">
        <v>9</v>
      </c>
      <c r="J12" s="8" t="s">
        <v>9</v>
      </c>
      <c r="K12" s="8" t="s">
        <v>9</v>
      </c>
      <c r="L12" s="8" t="s">
        <v>9</v>
      </c>
      <c r="M12" s="8" t="s">
        <v>9</v>
      </c>
      <c r="N12" s="8" t="s">
        <v>9</v>
      </c>
      <c r="O12" s="8" t="s">
        <v>9</v>
      </c>
      <c r="P12" s="8" t="s">
        <v>1320</v>
      </c>
      <c r="Q12" s="8"/>
      <c r="R12" s="8" t="s">
        <v>111</v>
      </c>
      <c r="S12" s="8" t="s">
        <v>112</v>
      </c>
      <c r="T12" s="8"/>
      <c r="U12" s="8" t="s">
        <v>45</v>
      </c>
      <c r="V12" s="8" t="s">
        <v>1336</v>
      </c>
    </row>
    <row r="13" spans="1:22" ht="24" x14ac:dyDescent="0.3">
      <c r="A13" s="8" t="s">
        <v>1337</v>
      </c>
      <c r="B13" s="8" t="s">
        <v>9</v>
      </c>
      <c r="C13" s="10">
        <v>276577</v>
      </c>
      <c r="D13" s="8" t="s">
        <v>123</v>
      </c>
      <c r="E13" s="8" t="s">
        <v>9</v>
      </c>
      <c r="F13" s="8" t="s">
        <v>1318</v>
      </c>
      <c r="G13" s="8" t="s">
        <v>1032</v>
      </c>
      <c r="H13" s="8" t="s">
        <v>1319</v>
      </c>
      <c r="I13" s="8" t="s">
        <v>9</v>
      </c>
      <c r="J13" s="8" t="s">
        <v>9</v>
      </c>
      <c r="K13" s="8" t="s">
        <v>9</v>
      </c>
      <c r="L13" s="8" t="s">
        <v>1073</v>
      </c>
      <c r="M13" s="8" t="s">
        <v>1172</v>
      </c>
      <c r="N13" s="8" t="s">
        <v>9</v>
      </c>
      <c r="O13" s="8" t="s">
        <v>9</v>
      </c>
      <c r="P13" s="8" t="s">
        <v>1320</v>
      </c>
      <c r="Q13" s="8"/>
      <c r="R13" s="8" t="s">
        <v>111</v>
      </c>
      <c r="S13" s="8" t="s">
        <v>112</v>
      </c>
      <c r="T13" s="8"/>
      <c r="U13" s="8" t="s">
        <v>45</v>
      </c>
      <c r="V13" s="8" t="s">
        <v>1338</v>
      </c>
    </row>
    <row r="14" spans="1:22" ht="24" x14ac:dyDescent="0.3">
      <c r="A14" s="8" t="s">
        <v>1339</v>
      </c>
      <c r="B14" s="8" t="s">
        <v>9</v>
      </c>
      <c r="C14" s="10">
        <v>276577</v>
      </c>
      <c r="D14" s="8" t="s">
        <v>123</v>
      </c>
      <c r="E14" s="8" t="s">
        <v>9</v>
      </c>
      <c r="F14" s="8" t="s">
        <v>1318</v>
      </c>
      <c r="G14" s="8" t="s">
        <v>1041</v>
      </c>
      <c r="H14" s="8" t="s">
        <v>1319</v>
      </c>
      <c r="I14" s="8" t="s">
        <v>9</v>
      </c>
      <c r="J14" s="8" t="s">
        <v>9</v>
      </c>
      <c r="K14" s="8" t="s">
        <v>9</v>
      </c>
      <c r="L14" s="8" t="s">
        <v>1042</v>
      </c>
      <c r="M14" s="8" t="s">
        <v>1172</v>
      </c>
      <c r="N14" s="8" t="s">
        <v>9</v>
      </c>
      <c r="O14" s="8" t="s">
        <v>9</v>
      </c>
      <c r="P14" s="8" t="s">
        <v>1320</v>
      </c>
      <c r="Q14" s="8"/>
      <c r="R14" s="8" t="s">
        <v>111</v>
      </c>
      <c r="S14" s="8" t="s">
        <v>112</v>
      </c>
      <c r="T14" s="8"/>
      <c r="U14" s="8" t="s">
        <v>45</v>
      </c>
      <c r="V14" s="8" t="s">
        <v>1340</v>
      </c>
    </row>
    <row r="15" spans="1:22" ht="24" x14ac:dyDescent="0.3">
      <c r="A15" s="8" t="s">
        <v>1341</v>
      </c>
      <c r="B15" s="8" t="s">
        <v>9</v>
      </c>
      <c r="C15" s="10">
        <v>276577</v>
      </c>
      <c r="D15" s="8" t="s">
        <v>123</v>
      </c>
      <c r="E15" s="8" t="s">
        <v>9</v>
      </c>
      <c r="F15" s="8" t="s">
        <v>1318</v>
      </c>
      <c r="G15" s="8" t="s">
        <v>1079</v>
      </c>
      <c r="H15" s="8" t="s">
        <v>1319</v>
      </c>
      <c r="I15" s="8" t="s">
        <v>9</v>
      </c>
      <c r="J15" s="8" t="s">
        <v>9</v>
      </c>
      <c r="K15" s="8" t="s">
        <v>9</v>
      </c>
      <c r="L15" s="8" t="s">
        <v>1073</v>
      </c>
      <c r="M15" s="8" t="s">
        <v>1172</v>
      </c>
      <c r="N15" s="8" t="s">
        <v>9</v>
      </c>
      <c r="O15" s="8" t="s">
        <v>9</v>
      </c>
      <c r="P15" s="8" t="s">
        <v>1320</v>
      </c>
      <c r="Q15" s="8"/>
      <c r="R15" s="8" t="s">
        <v>111</v>
      </c>
      <c r="S15" s="8" t="s">
        <v>112</v>
      </c>
      <c r="T15" s="8"/>
      <c r="U15" s="8" t="s">
        <v>45</v>
      </c>
      <c r="V15" s="8" t="s">
        <v>1342</v>
      </c>
    </row>
    <row r="16" spans="1:22" ht="36" x14ac:dyDescent="0.3">
      <c r="A16" s="8" t="s">
        <v>1343</v>
      </c>
      <c r="B16" s="8" t="s">
        <v>9</v>
      </c>
      <c r="C16" s="10">
        <v>320308</v>
      </c>
      <c r="D16" s="8" t="s">
        <v>125</v>
      </c>
      <c r="E16" s="8" t="s">
        <v>9</v>
      </c>
      <c r="F16" s="8" t="s">
        <v>1325</v>
      </c>
      <c r="G16" s="8" t="s">
        <v>9</v>
      </c>
      <c r="H16" s="8" t="s">
        <v>9</v>
      </c>
      <c r="I16" s="8" t="s">
        <v>9</v>
      </c>
      <c r="J16" s="8" t="s">
        <v>9</v>
      </c>
      <c r="K16" s="8" t="s">
        <v>9</v>
      </c>
      <c r="L16" s="8" t="s">
        <v>9</v>
      </c>
      <c r="M16" s="8" t="s">
        <v>9</v>
      </c>
      <c r="N16" s="8" t="s">
        <v>9</v>
      </c>
      <c r="O16" s="8" t="s">
        <v>9</v>
      </c>
      <c r="P16" s="8" t="s">
        <v>1320</v>
      </c>
      <c r="Q16" s="8"/>
      <c r="R16" s="8" t="s">
        <v>111</v>
      </c>
      <c r="S16" s="8" t="s">
        <v>112</v>
      </c>
      <c r="T16" s="8"/>
      <c r="U16" s="8" t="s">
        <v>45</v>
      </c>
      <c r="V16" s="8" t="s">
        <v>1336</v>
      </c>
    </row>
    <row r="17" spans="1:22" ht="24" x14ac:dyDescent="0.3">
      <c r="A17" s="8" t="s">
        <v>1344</v>
      </c>
      <c r="B17" s="8" t="s">
        <v>9</v>
      </c>
      <c r="C17" s="10">
        <v>315721</v>
      </c>
      <c r="D17" s="8" t="s">
        <v>127</v>
      </c>
      <c r="E17" s="8" t="s">
        <v>9</v>
      </c>
      <c r="F17" s="8" t="s">
        <v>1318</v>
      </c>
      <c r="G17" s="8" t="s">
        <v>1032</v>
      </c>
      <c r="H17" s="8" t="s">
        <v>1319</v>
      </c>
      <c r="I17" s="8" t="s">
        <v>9</v>
      </c>
      <c r="J17" s="8" t="s">
        <v>9</v>
      </c>
      <c r="K17" s="8" t="s">
        <v>9</v>
      </c>
      <c r="L17" s="8" t="s">
        <v>1087</v>
      </c>
      <c r="M17" s="8" t="s">
        <v>1172</v>
      </c>
      <c r="N17" s="8" t="s">
        <v>9</v>
      </c>
      <c r="O17" s="8" t="s">
        <v>9</v>
      </c>
      <c r="P17" s="8" t="s">
        <v>1320</v>
      </c>
      <c r="Q17" s="8"/>
      <c r="R17" s="8" t="s">
        <v>111</v>
      </c>
      <c r="S17" s="8" t="s">
        <v>112</v>
      </c>
      <c r="T17" s="8"/>
      <c r="U17" s="8" t="s">
        <v>45</v>
      </c>
      <c r="V17" s="8" t="s">
        <v>1345</v>
      </c>
    </row>
    <row r="18" spans="1:22" ht="36" x14ac:dyDescent="0.3">
      <c r="A18" s="8" t="s">
        <v>1346</v>
      </c>
      <c r="B18" s="8" t="s">
        <v>9</v>
      </c>
      <c r="C18" s="10">
        <v>315721</v>
      </c>
      <c r="D18" s="8" t="s">
        <v>127</v>
      </c>
      <c r="E18" s="8" t="s">
        <v>9</v>
      </c>
      <c r="F18" s="8" t="s">
        <v>1318</v>
      </c>
      <c r="G18" s="8" t="s">
        <v>1041</v>
      </c>
      <c r="H18" s="8" t="s">
        <v>1319</v>
      </c>
      <c r="I18" s="8" t="s">
        <v>9</v>
      </c>
      <c r="J18" s="8" t="s">
        <v>9</v>
      </c>
      <c r="K18" s="8" t="s">
        <v>9</v>
      </c>
      <c r="L18" s="8" t="s">
        <v>1090</v>
      </c>
      <c r="M18" s="8" t="s">
        <v>1172</v>
      </c>
      <c r="N18" s="8" t="s">
        <v>9</v>
      </c>
      <c r="O18" s="8" t="s">
        <v>9</v>
      </c>
      <c r="P18" s="8" t="s">
        <v>1320</v>
      </c>
      <c r="Q18" s="8"/>
      <c r="R18" s="8" t="s">
        <v>111</v>
      </c>
      <c r="S18" s="8" t="s">
        <v>112</v>
      </c>
      <c r="T18" s="8"/>
      <c r="U18" s="8" t="s">
        <v>45</v>
      </c>
      <c r="V18" s="8" t="s">
        <v>1347</v>
      </c>
    </row>
    <row r="19" spans="1:22" ht="24" x14ac:dyDescent="0.3">
      <c r="A19" s="8" t="s">
        <v>1348</v>
      </c>
      <c r="B19" s="8" t="s">
        <v>9</v>
      </c>
      <c r="C19" s="10">
        <v>273952</v>
      </c>
      <c r="D19" s="8" t="s">
        <v>129</v>
      </c>
      <c r="E19" s="8" t="s">
        <v>9</v>
      </c>
      <c r="F19" s="8" t="s">
        <v>1318</v>
      </c>
      <c r="G19" s="8" t="s">
        <v>1032</v>
      </c>
      <c r="H19" s="8" t="s">
        <v>1319</v>
      </c>
      <c r="I19" s="8" t="s">
        <v>9</v>
      </c>
      <c r="J19" s="8" t="s">
        <v>9</v>
      </c>
      <c r="K19" s="8" t="s">
        <v>9</v>
      </c>
      <c r="L19" s="8" t="s">
        <v>1099</v>
      </c>
      <c r="M19" s="8" t="s">
        <v>1172</v>
      </c>
      <c r="N19" s="8" t="s">
        <v>9</v>
      </c>
      <c r="O19" s="8" t="s">
        <v>9</v>
      </c>
      <c r="P19" s="8" t="s">
        <v>1320</v>
      </c>
      <c r="Q19" s="8"/>
      <c r="R19" s="8" t="s">
        <v>111</v>
      </c>
      <c r="S19" s="8" t="s">
        <v>112</v>
      </c>
      <c r="T19" s="8"/>
      <c r="U19" s="8" t="s">
        <v>45</v>
      </c>
      <c r="V19" s="8" t="s">
        <v>1349</v>
      </c>
    </row>
    <row r="20" spans="1:22" ht="24" x14ac:dyDescent="0.3">
      <c r="A20" s="8" t="s">
        <v>1350</v>
      </c>
      <c r="B20" s="8" t="s">
        <v>9</v>
      </c>
      <c r="C20" s="10">
        <v>273952</v>
      </c>
      <c r="D20" s="8" t="s">
        <v>129</v>
      </c>
      <c r="E20" s="8" t="s">
        <v>9</v>
      </c>
      <c r="F20" s="8" t="s">
        <v>1318</v>
      </c>
      <c r="G20" s="8" t="s">
        <v>1041</v>
      </c>
      <c r="H20" s="8" t="s">
        <v>1319</v>
      </c>
      <c r="I20" s="8" t="s">
        <v>9</v>
      </c>
      <c r="J20" s="8" t="s">
        <v>9</v>
      </c>
      <c r="K20" s="8" t="s">
        <v>9</v>
      </c>
      <c r="L20" s="8" t="s">
        <v>1042</v>
      </c>
      <c r="M20" s="8" t="s">
        <v>1172</v>
      </c>
      <c r="N20" s="8" t="s">
        <v>9</v>
      </c>
      <c r="O20" s="8" t="s">
        <v>9</v>
      </c>
      <c r="P20" s="8" t="s">
        <v>1320</v>
      </c>
      <c r="Q20" s="8"/>
      <c r="R20" s="8" t="s">
        <v>111</v>
      </c>
      <c r="S20" s="8" t="s">
        <v>112</v>
      </c>
      <c r="T20" s="8"/>
      <c r="U20" s="8" t="s">
        <v>45</v>
      </c>
      <c r="V20" s="8" t="s">
        <v>1351</v>
      </c>
    </row>
    <row r="21" spans="1:22" ht="24" x14ac:dyDescent="0.3">
      <c r="A21" s="8" t="s">
        <v>1352</v>
      </c>
      <c r="B21" s="8" t="s">
        <v>9</v>
      </c>
      <c r="C21" s="10">
        <v>273952</v>
      </c>
      <c r="D21" s="8" t="s">
        <v>129</v>
      </c>
      <c r="E21" s="8" t="s">
        <v>9</v>
      </c>
      <c r="F21" s="8" t="s">
        <v>1353</v>
      </c>
      <c r="G21" s="8" t="s">
        <v>1104</v>
      </c>
      <c r="H21" s="8" t="s">
        <v>1319</v>
      </c>
      <c r="I21" s="8" t="s">
        <v>9</v>
      </c>
      <c r="J21" s="8" t="s">
        <v>9</v>
      </c>
      <c r="K21" s="8" t="s">
        <v>9</v>
      </c>
      <c r="L21" s="8" t="s">
        <v>9</v>
      </c>
      <c r="M21" s="8" t="s">
        <v>1172</v>
      </c>
      <c r="N21" s="8" t="s">
        <v>9</v>
      </c>
      <c r="O21" s="8" t="s">
        <v>9</v>
      </c>
      <c r="P21" s="8" t="s">
        <v>1320</v>
      </c>
      <c r="Q21" s="8"/>
      <c r="R21" s="8" t="s">
        <v>111</v>
      </c>
      <c r="S21" s="8" t="s">
        <v>112</v>
      </c>
      <c r="T21" s="8"/>
      <c r="U21" s="8" t="s">
        <v>45</v>
      </c>
      <c r="V21" s="8" t="s">
        <v>1354</v>
      </c>
    </row>
    <row r="22" spans="1:22" ht="24" x14ac:dyDescent="0.3">
      <c r="A22" s="8" t="s">
        <v>1355</v>
      </c>
      <c r="B22" s="8" t="s">
        <v>9</v>
      </c>
      <c r="C22" s="10">
        <v>297212</v>
      </c>
      <c r="D22" s="8" t="s">
        <v>131</v>
      </c>
      <c r="E22" s="8" t="s">
        <v>9</v>
      </c>
      <c r="F22" s="8" t="s">
        <v>1318</v>
      </c>
      <c r="G22" s="8" t="s">
        <v>1032</v>
      </c>
      <c r="H22" s="8" t="s">
        <v>1319</v>
      </c>
      <c r="I22" s="8" t="s">
        <v>9</v>
      </c>
      <c r="J22" s="8" t="s">
        <v>9</v>
      </c>
      <c r="K22" s="8" t="s">
        <v>9</v>
      </c>
      <c r="L22" s="8" t="s">
        <v>1108</v>
      </c>
      <c r="M22" s="8" t="s">
        <v>1172</v>
      </c>
      <c r="N22" s="8" t="s">
        <v>9</v>
      </c>
      <c r="O22" s="8" t="s">
        <v>9</v>
      </c>
      <c r="P22" s="8" t="s">
        <v>1320</v>
      </c>
      <c r="Q22" s="8"/>
      <c r="R22" s="8" t="s">
        <v>111</v>
      </c>
      <c r="S22" s="8" t="s">
        <v>112</v>
      </c>
      <c r="T22" s="8"/>
      <c r="U22" s="8" t="s">
        <v>45</v>
      </c>
      <c r="V22" s="8" t="s">
        <v>1356</v>
      </c>
    </row>
    <row r="23" spans="1:22" ht="24" x14ac:dyDescent="0.3">
      <c r="A23" s="8" t="s">
        <v>1357</v>
      </c>
      <c r="B23" s="8" t="s">
        <v>9</v>
      </c>
      <c r="C23" s="10">
        <v>297212</v>
      </c>
      <c r="D23" s="8" t="s">
        <v>131</v>
      </c>
      <c r="E23" s="8" t="s">
        <v>9</v>
      </c>
      <c r="F23" s="8" t="s">
        <v>1318</v>
      </c>
      <c r="G23" s="8" t="s">
        <v>1041</v>
      </c>
      <c r="H23" s="8" t="s">
        <v>1319</v>
      </c>
      <c r="I23" s="8" t="s">
        <v>9</v>
      </c>
      <c r="J23" s="8" t="s">
        <v>9</v>
      </c>
      <c r="K23" s="8" t="s">
        <v>9</v>
      </c>
      <c r="L23" s="8" t="s">
        <v>1042</v>
      </c>
      <c r="M23" s="8" t="s">
        <v>1172</v>
      </c>
      <c r="N23" s="8" t="s">
        <v>9</v>
      </c>
      <c r="O23" s="8" t="s">
        <v>9</v>
      </c>
      <c r="P23" s="8" t="s">
        <v>1320</v>
      </c>
      <c r="Q23" s="8"/>
      <c r="R23" s="8" t="s">
        <v>111</v>
      </c>
      <c r="S23" s="8" t="s">
        <v>112</v>
      </c>
      <c r="T23" s="8"/>
      <c r="U23" s="8" t="s">
        <v>45</v>
      </c>
      <c r="V23" s="8" t="s">
        <v>1358</v>
      </c>
    </row>
    <row r="24" spans="1:22" ht="24" x14ac:dyDescent="0.3">
      <c r="A24" s="8" t="s">
        <v>1359</v>
      </c>
      <c r="B24" s="8" t="s">
        <v>9</v>
      </c>
      <c r="C24" s="10">
        <v>300954</v>
      </c>
      <c r="D24" s="8" t="s">
        <v>133</v>
      </c>
      <c r="E24" s="8" t="s">
        <v>9</v>
      </c>
      <c r="F24" s="8" t="s">
        <v>1325</v>
      </c>
      <c r="G24" s="8" t="s">
        <v>1113</v>
      </c>
      <c r="H24" s="8" t="s">
        <v>1319</v>
      </c>
      <c r="I24" s="8" t="s">
        <v>9</v>
      </c>
      <c r="J24" s="8" t="s">
        <v>9</v>
      </c>
      <c r="K24" s="8" t="s">
        <v>9</v>
      </c>
      <c r="L24" s="8" t="s">
        <v>9</v>
      </c>
      <c r="M24" s="8" t="s">
        <v>1172</v>
      </c>
      <c r="N24" s="8" t="s">
        <v>9</v>
      </c>
      <c r="O24" s="8" t="s">
        <v>9</v>
      </c>
      <c r="P24" s="8" t="s">
        <v>1320</v>
      </c>
      <c r="Q24" s="8"/>
      <c r="R24" s="8" t="s">
        <v>111</v>
      </c>
      <c r="S24" s="8" t="s">
        <v>112</v>
      </c>
      <c r="T24" s="8"/>
      <c r="U24" s="8" t="s">
        <v>45</v>
      </c>
      <c r="V24" s="8" t="s">
        <v>1360</v>
      </c>
    </row>
    <row r="25" spans="1:22" ht="24" x14ac:dyDescent="0.3">
      <c r="A25" s="8" t="s">
        <v>1361</v>
      </c>
      <c r="B25" s="8" t="s">
        <v>9</v>
      </c>
      <c r="C25" s="10">
        <v>300954</v>
      </c>
      <c r="D25" s="8" t="s">
        <v>133</v>
      </c>
      <c r="E25" s="8" t="s">
        <v>9</v>
      </c>
      <c r="F25" s="8" t="s">
        <v>1353</v>
      </c>
      <c r="G25" s="8" t="s">
        <v>1113</v>
      </c>
      <c r="H25" s="8" t="s">
        <v>1319</v>
      </c>
      <c r="I25" s="8" t="s">
        <v>9</v>
      </c>
      <c r="J25" s="8" t="s">
        <v>9</v>
      </c>
      <c r="K25" s="8" t="s">
        <v>9</v>
      </c>
      <c r="L25" s="8" t="s">
        <v>9</v>
      </c>
      <c r="M25" s="8" t="s">
        <v>1172</v>
      </c>
      <c r="N25" s="8" t="s">
        <v>9</v>
      </c>
      <c r="O25" s="8" t="s">
        <v>9</v>
      </c>
      <c r="P25" s="8" t="s">
        <v>1320</v>
      </c>
      <c r="Q25" s="8"/>
      <c r="R25" s="8" t="s">
        <v>111</v>
      </c>
      <c r="S25" s="8" t="s">
        <v>112</v>
      </c>
      <c r="T25" s="8"/>
      <c r="U25" s="8" t="s">
        <v>45</v>
      </c>
      <c r="V25" s="8" t="s">
        <v>1362</v>
      </c>
    </row>
    <row r="26" spans="1:22" ht="24" x14ac:dyDescent="0.3">
      <c r="A26" s="8" t="s">
        <v>1363</v>
      </c>
      <c r="B26" s="8" t="s">
        <v>9</v>
      </c>
      <c r="C26" s="10">
        <v>300954</v>
      </c>
      <c r="D26" s="8" t="s">
        <v>133</v>
      </c>
      <c r="E26" s="8" t="s">
        <v>9</v>
      </c>
      <c r="F26" s="8" t="s">
        <v>1325</v>
      </c>
      <c r="G26" s="8" t="s">
        <v>1113</v>
      </c>
      <c r="H26" s="8" t="s">
        <v>1319</v>
      </c>
      <c r="I26" s="8" t="s">
        <v>9</v>
      </c>
      <c r="J26" s="8" t="s">
        <v>9</v>
      </c>
      <c r="K26" s="8" t="s">
        <v>9</v>
      </c>
      <c r="L26" s="8" t="s">
        <v>9</v>
      </c>
      <c r="M26" s="8" t="s">
        <v>1172</v>
      </c>
      <c r="N26" s="8" t="s">
        <v>9</v>
      </c>
      <c r="O26" s="8" t="s">
        <v>9</v>
      </c>
      <c r="P26" s="8" t="s">
        <v>1320</v>
      </c>
      <c r="Q26" s="8"/>
      <c r="R26" s="8" t="s">
        <v>111</v>
      </c>
      <c r="S26" s="8" t="s">
        <v>112</v>
      </c>
      <c r="T26" s="8"/>
      <c r="U26" s="8" t="s">
        <v>45</v>
      </c>
      <c r="V26" s="8" t="s">
        <v>1364</v>
      </c>
    </row>
    <row r="27" spans="1:22" ht="24" x14ac:dyDescent="0.3">
      <c r="A27" s="8" t="s">
        <v>1365</v>
      </c>
      <c r="B27" s="8" t="s">
        <v>9</v>
      </c>
      <c r="C27" s="10">
        <v>300954</v>
      </c>
      <c r="D27" s="8" t="s">
        <v>133</v>
      </c>
      <c r="E27" s="8" t="s">
        <v>9</v>
      </c>
      <c r="F27" s="8" t="s">
        <v>1353</v>
      </c>
      <c r="G27" s="8" t="s">
        <v>1113</v>
      </c>
      <c r="H27" s="8" t="s">
        <v>1319</v>
      </c>
      <c r="I27" s="8" t="s">
        <v>9</v>
      </c>
      <c r="J27" s="8" t="s">
        <v>9</v>
      </c>
      <c r="K27" s="8" t="s">
        <v>9</v>
      </c>
      <c r="L27" s="8" t="s">
        <v>9</v>
      </c>
      <c r="M27" s="8" t="s">
        <v>1172</v>
      </c>
      <c r="N27" s="8" t="s">
        <v>9</v>
      </c>
      <c r="O27" s="8" t="s">
        <v>9</v>
      </c>
      <c r="P27" s="8" t="s">
        <v>1320</v>
      </c>
      <c r="Q27" s="8"/>
      <c r="R27" s="8" t="s">
        <v>111</v>
      </c>
      <c r="S27" s="8" t="s">
        <v>112</v>
      </c>
      <c r="T27" s="8"/>
      <c r="U27" s="8" t="s">
        <v>45</v>
      </c>
      <c r="V27" s="8" t="s">
        <v>1366</v>
      </c>
    </row>
    <row r="28" spans="1:22" ht="24" x14ac:dyDescent="0.3">
      <c r="A28" s="8" t="s">
        <v>1367</v>
      </c>
      <c r="B28" s="8" t="s">
        <v>9</v>
      </c>
      <c r="C28" s="10">
        <v>234366</v>
      </c>
      <c r="D28" s="8" t="s">
        <v>135</v>
      </c>
      <c r="E28" s="8" t="s">
        <v>9</v>
      </c>
      <c r="F28" s="8" t="s">
        <v>1318</v>
      </c>
      <c r="G28" s="8" t="s">
        <v>1032</v>
      </c>
      <c r="H28" s="8" t="s">
        <v>1319</v>
      </c>
      <c r="I28" s="8" t="s">
        <v>9</v>
      </c>
      <c r="J28" s="8" t="s">
        <v>9</v>
      </c>
      <c r="K28" s="8" t="s">
        <v>9</v>
      </c>
      <c r="L28" s="8" t="s">
        <v>1122</v>
      </c>
      <c r="M28" s="8" t="s">
        <v>1172</v>
      </c>
      <c r="N28" s="8" t="s">
        <v>9</v>
      </c>
      <c r="O28" s="8" t="s">
        <v>9</v>
      </c>
      <c r="P28" s="8" t="s">
        <v>1320</v>
      </c>
      <c r="Q28" s="8"/>
      <c r="R28" s="8" t="s">
        <v>111</v>
      </c>
      <c r="S28" s="8" t="s">
        <v>112</v>
      </c>
      <c r="T28" s="8"/>
      <c r="U28" s="8" t="s">
        <v>45</v>
      </c>
      <c r="V28" s="8" t="s">
        <v>1368</v>
      </c>
    </row>
    <row r="29" spans="1:22" ht="24" x14ac:dyDescent="0.3">
      <c r="A29" s="8" t="s">
        <v>1369</v>
      </c>
      <c r="B29" s="8" t="s">
        <v>9</v>
      </c>
      <c r="C29" s="10">
        <v>234366</v>
      </c>
      <c r="D29" s="8" t="s">
        <v>135</v>
      </c>
      <c r="E29" s="8" t="s">
        <v>9</v>
      </c>
      <c r="F29" s="8" t="s">
        <v>1318</v>
      </c>
      <c r="G29" s="8" t="s">
        <v>1041</v>
      </c>
      <c r="H29" s="8" t="s">
        <v>1319</v>
      </c>
      <c r="I29" s="8" t="s">
        <v>9</v>
      </c>
      <c r="J29" s="8" t="s">
        <v>9</v>
      </c>
      <c r="K29" s="8" t="s">
        <v>9</v>
      </c>
      <c r="L29" s="8" t="s">
        <v>1125</v>
      </c>
      <c r="M29" s="8" t="s">
        <v>1172</v>
      </c>
      <c r="N29" s="8" t="s">
        <v>9</v>
      </c>
      <c r="O29" s="8" t="s">
        <v>9</v>
      </c>
      <c r="P29" s="8" t="s">
        <v>1320</v>
      </c>
      <c r="Q29" s="8"/>
      <c r="R29" s="8" t="s">
        <v>111</v>
      </c>
      <c r="S29" s="8" t="s">
        <v>112</v>
      </c>
      <c r="T29" s="8"/>
      <c r="U29" s="8" t="s">
        <v>45</v>
      </c>
      <c r="V29" s="8" t="s">
        <v>1370</v>
      </c>
    </row>
    <row r="30" spans="1:22" ht="24" x14ac:dyDescent="0.3">
      <c r="A30" s="8" t="s">
        <v>1371</v>
      </c>
      <c r="B30" s="8" t="s">
        <v>9</v>
      </c>
      <c r="C30" s="10">
        <v>234366</v>
      </c>
      <c r="D30" s="8" t="s">
        <v>135</v>
      </c>
      <c r="E30" s="8" t="s">
        <v>9</v>
      </c>
      <c r="F30" s="8" t="s">
        <v>1318</v>
      </c>
      <c r="G30" s="8" t="s">
        <v>1079</v>
      </c>
      <c r="H30" s="8" t="s">
        <v>1319</v>
      </c>
      <c r="I30" s="8" t="s">
        <v>9</v>
      </c>
      <c r="J30" s="8" t="s">
        <v>9</v>
      </c>
      <c r="K30" s="8" t="s">
        <v>9</v>
      </c>
      <c r="L30" s="8" t="s">
        <v>9</v>
      </c>
      <c r="M30" s="8" t="s">
        <v>1172</v>
      </c>
      <c r="N30" s="8" t="s">
        <v>9</v>
      </c>
      <c r="O30" s="8" t="s">
        <v>9</v>
      </c>
      <c r="P30" s="8" t="s">
        <v>1320</v>
      </c>
      <c r="Q30" s="8"/>
      <c r="R30" s="8" t="s">
        <v>111</v>
      </c>
      <c r="S30" s="8" t="s">
        <v>112</v>
      </c>
      <c r="T30" s="8"/>
      <c r="U30" s="8" t="s">
        <v>45</v>
      </c>
      <c r="V30" s="8" t="s">
        <v>1372</v>
      </c>
    </row>
    <row r="31" spans="1:22" ht="24" x14ac:dyDescent="0.3">
      <c r="A31" s="8" t="s">
        <v>1373</v>
      </c>
      <c r="B31" s="8" t="s">
        <v>9</v>
      </c>
      <c r="C31" s="10">
        <v>293981</v>
      </c>
      <c r="D31" s="8" t="s">
        <v>137</v>
      </c>
      <c r="E31" s="8" t="s">
        <v>9</v>
      </c>
      <c r="F31" s="8" t="s">
        <v>1318</v>
      </c>
      <c r="G31" s="8" t="s">
        <v>1032</v>
      </c>
      <c r="H31" s="8" t="s">
        <v>1319</v>
      </c>
      <c r="I31" s="8" t="s">
        <v>9</v>
      </c>
      <c r="J31" s="8" t="s">
        <v>9</v>
      </c>
      <c r="K31" s="8" t="s">
        <v>9</v>
      </c>
      <c r="L31" s="8" t="s">
        <v>1130</v>
      </c>
      <c r="M31" s="8" t="s">
        <v>1172</v>
      </c>
      <c r="N31" s="8" t="s">
        <v>9</v>
      </c>
      <c r="O31" s="8" t="s">
        <v>9</v>
      </c>
      <c r="P31" s="8" t="s">
        <v>1320</v>
      </c>
      <c r="Q31" s="8"/>
      <c r="R31" s="8" t="s">
        <v>111</v>
      </c>
      <c r="S31" s="8" t="s">
        <v>112</v>
      </c>
      <c r="T31" s="8"/>
      <c r="U31" s="8" t="s">
        <v>45</v>
      </c>
      <c r="V31" s="8" t="s">
        <v>1374</v>
      </c>
    </row>
    <row r="32" spans="1:22" ht="24" x14ac:dyDescent="0.3">
      <c r="A32" s="8" t="s">
        <v>1375</v>
      </c>
      <c r="B32" s="8" t="s">
        <v>9</v>
      </c>
      <c r="C32" s="10">
        <v>293981</v>
      </c>
      <c r="D32" s="8" t="s">
        <v>137</v>
      </c>
      <c r="E32" s="8" t="s">
        <v>9</v>
      </c>
      <c r="F32" s="8" t="s">
        <v>1318</v>
      </c>
      <c r="G32" s="8" t="s">
        <v>1041</v>
      </c>
      <c r="H32" s="8" t="s">
        <v>1319</v>
      </c>
      <c r="I32" s="8" t="s">
        <v>9</v>
      </c>
      <c r="J32" s="8" t="s">
        <v>9</v>
      </c>
      <c r="K32" s="8" t="s">
        <v>9</v>
      </c>
      <c r="L32" s="8" t="s">
        <v>1042</v>
      </c>
      <c r="M32" s="8" t="s">
        <v>1172</v>
      </c>
      <c r="N32" s="8" t="s">
        <v>9</v>
      </c>
      <c r="O32" s="8" t="s">
        <v>9</v>
      </c>
      <c r="P32" s="8" t="s">
        <v>1320</v>
      </c>
      <c r="Q32" s="8"/>
      <c r="R32" s="8" t="s">
        <v>111</v>
      </c>
      <c r="S32" s="8" t="s">
        <v>112</v>
      </c>
      <c r="T32" s="8"/>
      <c r="U32" s="8" t="s">
        <v>45</v>
      </c>
      <c r="V32" s="8" t="s">
        <v>1376</v>
      </c>
    </row>
    <row r="33" spans="1:22" ht="24" x14ac:dyDescent="0.3">
      <c r="A33" s="8" t="s">
        <v>1377</v>
      </c>
      <c r="B33" s="8" t="s">
        <v>9</v>
      </c>
      <c r="C33" s="10">
        <v>293981</v>
      </c>
      <c r="D33" s="8" t="s">
        <v>137</v>
      </c>
      <c r="E33" s="8" t="s">
        <v>9</v>
      </c>
      <c r="F33" s="8" t="s">
        <v>1318</v>
      </c>
      <c r="G33" s="8" t="s">
        <v>1079</v>
      </c>
      <c r="H33" s="8" t="s">
        <v>1319</v>
      </c>
      <c r="I33" s="8" t="s">
        <v>9</v>
      </c>
      <c r="J33" s="8" t="s">
        <v>9</v>
      </c>
      <c r="K33" s="8" t="s">
        <v>9</v>
      </c>
      <c r="L33" s="8" t="s">
        <v>1130</v>
      </c>
      <c r="M33" s="8" t="s">
        <v>1172</v>
      </c>
      <c r="N33" s="8" t="s">
        <v>9</v>
      </c>
      <c r="O33" s="8" t="s">
        <v>9</v>
      </c>
      <c r="P33" s="8" t="s">
        <v>1320</v>
      </c>
      <c r="Q33" s="8"/>
      <c r="R33" s="8" t="s">
        <v>111</v>
      </c>
      <c r="S33" s="8" t="s">
        <v>112</v>
      </c>
      <c r="T33" s="8"/>
      <c r="U33" s="8" t="s">
        <v>45</v>
      </c>
      <c r="V33" s="8" t="s">
        <v>1378</v>
      </c>
    </row>
    <row r="34" spans="1:22" ht="24" x14ac:dyDescent="0.3">
      <c r="A34" s="8" t="s">
        <v>1379</v>
      </c>
      <c r="B34" s="8" t="s">
        <v>9</v>
      </c>
      <c r="C34" s="10">
        <v>293981</v>
      </c>
      <c r="D34" s="8" t="s">
        <v>137</v>
      </c>
      <c r="E34" s="8" t="s">
        <v>9</v>
      </c>
      <c r="F34" s="8" t="s">
        <v>1325</v>
      </c>
      <c r="G34" s="8" t="s">
        <v>1137</v>
      </c>
      <c r="H34" s="8" t="s">
        <v>1319</v>
      </c>
      <c r="I34" s="8" t="s">
        <v>9</v>
      </c>
      <c r="J34" s="8" t="s">
        <v>9</v>
      </c>
      <c r="K34" s="8" t="s">
        <v>9</v>
      </c>
      <c r="L34" s="8" t="s">
        <v>1138</v>
      </c>
      <c r="M34" s="8" t="s">
        <v>1172</v>
      </c>
      <c r="N34" s="8" t="s">
        <v>9</v>
      </c>
      <c r="O34" s="8" t="s">
        <v>9</v>
      </c>
      <c r="P34" s="8" t="s">
        <v>1320</v>
      </c>
      <c r="Q34" s="8"/>
      <c r="R34" s="8" t="s">
        <v>111</v>
      </c>
      <c r="S34" s="8" t="s">
        <v>112</v>
      </c>
      <c r="T34" s="8"/>
      <c r="U34" s="8" t="s">
        <v>45</v>
      </c>
      <c r="V34" s="8" t="s">
        <v>1380</v>
      </c>
    </row>
    <row r="35" spans="1:22" ht="24" x14ac:dyDescent="0.3">
      <c r="A35" s="8" t="s">
        <v>1381</v>
      </c>
      <c r="B35" s="8" t="s">
        <v>9</v>
      </c>
      <c r="C35" s="10">
        <v>293981</v>
      </c>
      <c r="D35" s="8" t="s">
        <v>137</v>
      </c>
      <c r="E35" s="8" t="s">
        <v>9</v>
      </c>
      <c r="F35" s="8" t="s">
        <v>1318</v>
      </c>
      <c r="G35" s="8" t="s">
        <v>1041</v>
      </c>
      <c r="H35" s="8" t="s">
        <v>1319</v>
      </c>
      <c r="I35" s="8" t="s">
        <v>9</v>
      </c>
      <c r="J35" s="8" t="s">
        <v>9</v>
      </c>
      <c r="K35" s="8" t="s">
        <v>9</v>
      </c>
      <c r="L35" s="8" t="s">
        <v>1141</v>
      </c>
      <c r="M35" s="8" t="s">
        <v>1172</v>
      </c>
      <c r="N35" s="8" t="s">
        <v>9</v>
      </c>
      <c r="O35" s="8" t="s">
        <v>9</v>
      </c>
      <c r="P35" s="8" t="s">
        <v>1320</v>
      </c>
      <c r="Q35" s="8"/>
      <c r="R35" s="8" t="s">
        <v>111</v>
      </c>
      <c r="S35" s="8" t="s">
        <v>112</v>
      </c>
      <c r="T35" s="8"/>
      <c r="U35" s="8" t="s">
        <v>45</v>
      </c>
      <c r="V35" s="8" t="s">
        <v>1382</v>
      </c>
    </row>
    <row r="36" spans="1:22" ht="24" x14ac:dyDescent="0.3">
      <c r="A36" s="8" t="s">
        <v>1383</v>
      </c>
      <c r="B36" s="8" t="s">
        <v>9</v>
      </c>
      <c r="C36" s="10">
        <v>293981</v>
      </c>
      <c r="D36" s="8" t="s">
        <v>137</v>
      </c>
      <c r="E36" s="8" t="s">
        <v>9</v>
      </c>
      <c r="F36" s="8" t="s">
        <v>1325</v>
      </c>
      <c r="G36" s="8" t="s">
        <v>1041</v>
      </c>
      <c r="H36" s="8" t="s">
        <v>1319</v>
      </c>
      <c r="I36" s="8" t="s">
        <v>9</v>
      </c>
      <c r="J36" s="8" t="s">
        <v>9</v>
      </c>
      <c r="K36" s="8" t="s">
        <v>9</v>
      </c>
      <c r="L36" s="8" t="s">
        <v>1144</v>
      </c>
      <c r="M36" s="8" t="s">
        <v>1172</v>
      </c>
      <c r="N36" s="8" t="s">
        <v>9</v>
      </c>
      <c r="O36" s="8" t="s">
        <v>9</v>
      </c>
      <c r="P36" s="8" t="s">
        <v>1320</v>
      </c>
      <c r="Q36" s="8"/>
      <c r="R36" s="8" t="s">
        <v>111</v>
      </c>
      <c r="S36" s="8" t="s">
        <v>112</v>
      </c>
      <c r="T36" s="8"/>
      <c r="U36" s="8" t="s">
        <v>45</v>
      </c>
      <c r="V36" s="8" t="s">
        <v>1384</v>
      </c>
    </row>
    <row r="37" spans="1:22" ht="24" x14ac:dyDescent="0.3">
      <c r="A37" s="8" t="s">
        <v>1385</v>
      </c>
      <c r="B37" s="8" t="s">
        <v>9</v>
      </c>
      <c r="C37" s="10">
        <v>292990</v>
      </c>
      <c r="D37" s="8" t="s">
        <v>139</v>
      </c>
      <c r="E37" s="8" t="s">
        <v>9</v>
      </c>
      <c r="F37" s="8" t="s">
        <v>1318</v>
      </c>
      <c r="G37" s="8" t="s">
        <v>1079</v>
      </c>
      <c r="H37" s="8" t="s">
        <v>1319</v>
      </c>
      <c r="I37" s="8" t="s">
        <v>9</v>
      </c>
      <c r="J37" s="8" t="s">
        <v>9</v>
      </c>
      <c r="K37" s="8" t="s">
        <v>9</v>
      </c>
      <c r="L37" s="8" t="s">
        <v>1149</v>
      </c>
      <c r="M37" s="8" t="s">
        <v>1172</v>
      </c>
      <c r="N37" s="8" t="s">
        <v>9</v>
      </c>
      <c r="O37" s="8" t="s">
        <v>9</v>
      </c>
      <c r="P37" s="8" t="s">
        <v>1320</v>
      </c>
      <c r="Q37" s="8"/>
      <c r="R37" s="8" t="s">
        <v>111</v>
      </c>
      <c r="S37" s="8" t="s">
        <v>112</v>
      </c>
      <c r="T37" s="8"/>
      <c r="U37" s="8" t="s">
        <v>45</v>
      </c>
      <c r="V37" s="8" t="s">
        <v>1386</v>
      </c>
    </row>
    <row r="38" spans="1:22" ht="24" x14ac:dyDescent="0.3">
      <c r="A38" s="8" t="s">
        <v>1387</v>
      </c>
      <c r="B38" s="8" t="s">
        <v>9</v>
      </c>
      <c r="C38" s="10">
        <v>292990</v>
      </c>
      <c r="D38" s="8" t="s">
        <v>139</v>
      </c>
      <c r="E38" s="8" t="s">
        <v>9</v>
      </c>
      <c r="F38" s="8" t="s">
        <v>1318</v>
      </c>
      <c r="G38" s="8" t="s">
        <v>1079</v>
      </c>
      <c r="H38" s="8" t="s">
        <v>1319</v>
      </c>
      <c r="I38" s="8" t="s">
        <v>9</v>
      </c>
      <c r="J38" s="8" t="s">
        <v>9</v>
      </c>
      <c r="K38" s="8" t="s">
        <v>9</v>
      </c>
      <c r="L38" s="8" t="s">
        <v>1149</v>
      </c>
      <c r="M38" s="8" t="s">
        <v>1172</v>
      </c>
      <c r="N38" s="8" t="s">
        <v>9</v>
      </c>
      <c r="O38" s="8" t="s">
        <v>9</v>
      </c>
      <c r="P38" s="8" t="s">
        <v>1320</v>
      </c>
      <c r="Q38" s="8"/>
      <c r="R38" s="8" t="s">
        <v>111</v>
      </c>
      <c r="S38" s="8" t="s">
        <v>112</v>
      </c>
      <c r="T38" s="8"/>
      <c r="U38" s="8" t="s">
        <v>45</v>
      </c>
      <c r="V38" s="8" t="s">
        <v>1388</v>
      </c>
    </row>
    <row r="39" spans="1:22" ht="24" x14ac:dyDescent="0.3">
      <c r="A39" s="8" t="s">
        <v>1389</v>
      </c>
      <c r="B39" s="8" t="s">
        <v>9</v>
      </c>
      <c r="C39" s="10">
        <v>293148</v>
      </c>
      <c r="D39" s="8" t="s">
        <v>141</v>
      </c>
      <c r="E39" s="8" t="s">
        <v>9</v>
      </c>
      <c r="F39" s="8" t="s">
        <v>1318</v>
      </c>
      <c r="G39" s="8" t="s">
        <v>1079</v>
      </c>
      <c r="H39" s="8" t="s">
        <v>1319</v>
      </c>
      <c r="I39" s="8" t="s">
        <v>9</v>
      </c>
      <c r="J39" s="8" t="s">
        <v>9</v>
      </c>
      <c r="K39" s="8" t="s">
        <v>9</v>
      </c>
      <c r="L39" s="8" t="s">
        <v>1149</v>
      </c>
      <c r="M39" s="8" t="s">
        <v>1172</v>
      </c>
      <c r="N39" s="8" t="s">
        <v>9</v>
      </c>
      <c r="O39" s="8" t="s">
        <v>9</v>
      </c>
      <c r="P39" s="8" t="s">
        <v>1320</v>
      </c>
      <c r="Q39" s="8"/>
      <c r="R39" s="8" t="s">
        <v>111</v>
      </c>
      <c r="S39" s="8" t="s">
        <v>112</v>
      </c>
      <c r="T39" s="8"/>
      <c r="U39" s="8" t="s">
        <v>45</v>
      </c>
      <c r="V39" s="8" t="s">
        <v>1388</v>
      </c>
    </row>
    <row r="40" spans="1:22" ht="24" x14ac:dyDescent="0.3">
      <c r="A40" s="8" t="s">
        <v>1390</v>
      </c>
      <c r="B40" s="8" t="s">
        <v>9</v>
      </c>
      <c r="C40" s="10">
        <v>293148</v>
      </c>
      <c r="D40" s="8" t="s">
        <v>141</v>
      </c>
      <c r="E40" s="8" t="s">
        <v>9</v>
      </c>
      <c r="F40" s="8" t="s">
        <v>1318</v>
      </c>
      <c r="G40" s="8" t="s">
        <v>1032</v>
      </c>
      <c r="H40" s="8" t="s">
        <v>1319</v>
      </c>
      <c r="I40" s="8" t="s">
        <v>9</v>
      </c>
      <c r="J40" s="8" t="s">
        <v>9</v>
      </c>
      <c r="K40" s="8" t="s">
        <v>9</v>
      </c>
      <c r="L40" s="8" t="s">
        <v>1130</v>
      </c>
      <c r="M40" s="8" t="s">
        <v>1172</v>
      </c>
      <c r="N40" s="8" t="s">
        <v>9</v>
      </c>
      <c r="O40" s="8" t="s">
        <v>9</v>
      </c>
      <c r="P40" s="8" t="s">
        <v>1320</v>
      </c>
      <c r="Q40" s="8"/>
      <c r="R40" s="8" t="s">
        <v>111</v>
      </c>
      <c r="S40" s="8" t="s">
        <v>112</v>
      </c>
      <c r="T40" s="8"/>
      <c r="U40" s="8" t="s">
        <v>45</v>
      </c>
      <c r="V40" s="8" t="s">
        <v>1391</v>
      </c>
    </row>
    <row r="41" spans="1:22" ht="24" x14ac:dyDescent="0.3">
      <c r="A41" s="8" t="s">
        <v>1392</v>
      </c>
      <c r="B41" s="8" t="s">
        <v>9</v>
      </c>
      <c r="C41" s="10">
        <v>293148</v>
      </c>
      <c r="D41" s="8" t="s">
        <v>141</v>
      </c>
      <c r="E41" s="8" t="s">
        <v>9</v>
      </c>
      <c r="F41" s="8" t="s">
        <v>1318</v>
      </c>
      <c r="G41" s="8" t="s">
        <v>1041</v>
      </c>
      <c r="H41" s="8" t="s">
        <v>1319</v>
      </c>
      <c r="I41" s="8" t="s">
        <v>9</v>
      </c>
      <c r="J41" s="8" t="s">
        <v>9</v>
      </c>
      <c r="K41" s="8" t="s">
        <v>9</v>
      </c>
      <c r="L41" s="8" t="s">
        <v>1042</v>
      </c>
      <c r="M41" s="8" t="s">
        <v>1172</v>
      </c>
      <c r="N41" s="8" t="s">
        <v>9</v>
      </c>
      <c r="O41" s="8" t="s">
        <v>9</v>
      </c>
      <c r="P41" s="8" t="s">
        <v>1320</v>
      </c>
      <c r="Q41" s="8"/>
      <c r="R41" s="8" t="s">
        <v>111</v>
      </c>
      <c r="S41" s="8" t="s">
        <v>112</v>
      </c>
      <c r="T41" s="8"/>
      <c r="U41" s="8" t="s">
        <v>45</v>
      </c>
      <c r="V41" s="8" t="s">
        <v>1393</v>
      </c>
    </row>
    <row r="42" spans="1:22" ht="24" x14ac:dyDescent="0.3">
      <c r="A42" s="8" t="s">
        <v>1394</v>
      </c>
      <c r="B42" s="8" t="s">
        <v>9</v>
      </c>
      <c r="C42" s="10">
        <v>293148</v>
      </c>
      <c r="D42" s="8" t="s">
        <v>141</v>
      </c>
      <c r="E42" s="8" t="s">
        <v>9</v>
      </c>
      <c r="F42" s="8" t="s">
        <v>1318</v>
      </c>
      <c r="G42" s="8" t="s">
        <v>1079</v>
      </c>
      <c r="H42" s="8" t="s">
        <v>1319</v>
      </c>
      <c r="I42" s="8" t="s">
        <v>9</v>
      </c>
      <c r="J42" s="8" t="s">
        <v>9</v>
      </c>
      <c r="K42" s="8" t="s">
        <v>9</v>
      </c>
      <c r="L42" s="8" t="s">
        <v>1156</v>
      </c>
      <c r="M42" s="8" t="s">
        <v>1172</v>
      </c>
      <c r="N42" s="8" t="s">
        <v>9</v>
      </c>
      <c r="O42" s="8" t="s">
        <v>9</v>
      </c>
      <c r="P42" s="8" t="s">
        <v>1320</v>
      </c>
      <c r="Q42" s="8"/>
      <c r="R42" s="8" t="s">
        <v>111</v>
      </c>
      <c r="S42" s="8" t="s">
        <v>112</v>
      </c>
      <c r="T42" s="8"/>
      <c r="U42" s="8" t="s">
        <v>45</v>
      </c>
      <c r="V42" s="8" t="s">
        <v>1395</v>
      </c>
    </row>
    <row r="43" spans="1:22" ht="24" x14ac:dyDescent="0.3">
      <c r="A43" s="8" t="s">
        <v>1396</v>
      </c>
      <c r="B43" s="8" t="s">
        <v>9</v>
      </c>
      <c r="C43" s="10">
        <v>293148</v>
      </c>
      <c r="D43" s="8" t="s">
        <v>141</v>
      </c>
      <c r="E43" s="8" t="s">
        <v>9</v>
      </c>
      <c r="F43" s="8" t="s">
        <v>1318</v>
      </c>
      <c r="G43" s="8" t="s">
        <v>1079</v>
      </c>
      <c r="H43" s="8" t="s">
        <v>1319</v>
      </c>
      <c r="I43" s="8" t="s">
        <v>9</v>
      </c>
      <c r="J43" s="8" t="s">
        <v>9</v>
      </c>
      <c r="K43" s="8" t="s">
        <v>9</v>
      </c>
      <c r="L43" s="8" t="s">
        <v>1130</v>
      </c>
      <c r="M43" s="8" t="s">
        <v>1172</v>
      </c>
      <c r="N43" s="8" t="s">
        <v>9</v>
      </c>
      <c r="O43" s="8" t="s">
        <v>9</v>
      </c>
      <c r="P43" s="8" t="s">
        <v>1320</v>
      </c>
      <c r="Q43" s="8"/>
      <c r="R43" s="8" t="s">
        <v>111</v>
      </c>
      <c r="S43" s="8" t="s">
        <v>112</v>
      </c>
      <c r="T43" s="8"/>
      <c r="U43" s="8" t="s">
        <v>45</v>
      </c>
      <c r="V43" s="8" t="s">
        <v>1397</v>
      </c>
    </row>
    <row r="44" spans="1:22" ht="24" x14ac:dyDescent="0.3">
      <c r="A44" s="8" t="s">
        <v>1398</v>
      </c>
      <c r="B44" s="8" t="s">
        <v>9</v>
      </c>
      <c r="C44" s="10">
        <v>292739</v>
      </c>
      <c r="D44" s="8" t="s">
        <v>143</v>
      </c>
      <c r="E44" s="8" t="s">
        <v>9</v>
      </c>
      <c r="F44" s="8" t="s">
        <v>1318</v>
      </c>
      <c r="G44" s="8" t="s">
        <v>1032</v>
      </c>
      <c r="H44" s="8" t="s">
        <v>1319</v>
      </c>
      <c r="I44" s="8" t="s">
        <v>9</v>
      </c>
      <c r="J44" s="8" t="s">
        <v>9</v>
      </c>
      <c r="K44" s="8" t="s">
        <v>9</v>
      </c>
      <c r="L44" s="8" t="s">
        <v>1073</v>
      </c>
      <c r="M44" s="8" t="s">
        <v>1172</v>
      </c>
      <c r="N44" s="8" t="s">
        <v>9</v>
      </c>
      <c r="O44" s="8" t="s">
        <v>9</v>
      </c>
      <c r="P44" s="8" t="s">
        <v>1320</v>
      </c>
      <c r="Q44" s="8"/>
      <c r="R44" s="8" t="s">
        <v>111</v>
      </c>
      <c r="S44" s="8" t="s">
        <v>112</v>
      </c>
      <c r="T44" s="8"/>
      <c r="U44" s="8" t="s">
        <v>45</v>
      </c>
      <c r="V44" s="8" t="s">
        <v>1399</v>
      </c>
    </row>
    <row r="45" spans="1:22" ht="24" x14ac:dyDescent="0.3">
      <c r="A45" s="8" t="s">
        <v>1400</v>
      </c>
      <c r="B45" s="8" t="s">
        <v>9</v>
      </c>
      <c r="C45" s="10">
        <v>292589</v>
      </c>
      <c r="D45" s="8" t="s">
        <v>145</v>
      </c>
      <c r="E45" s="8" t="s">
        <v>9</v>
      </c>
      <c r="F45" s="8" t="s">
        <v>1318</v>
      </c>
      <c r="G45" s="8" t="s">
        <v>1032</v>
      </c>
      <c r="H45" s="8" t="s">
        <v>1319</v>
      </c>
      <c r="I45" s="8" t="s">
        <v>9</v>
      </c>
      <c r="J45" s="8" t="s">
        <v>9</v>
      </c>
      <c r="K45" s="8" t="s">
        <v>9</v>
      </c>
      <c r="L45" s="8" t="s">
        <v>1130</v>
      </c>
      <c r="M45" s="8" t="s">
        <v>1172</v>
      </c>
      <c r="N45" s="8" t="s">
        <v>9</v>
      </c>
      <c r="O45" s="8" t="s">
        <v>9</v>
      </c>
      <c r="P45" s="8" t="s">
        <v>1320</v>
      </c>
      <c r="Q45" s="8"/>
      <c r="R45" s="8" t="s">
        <v>111</v>
      </c>
      <c r="S45" s="8" t="s">
        <v>112</v>
      </c>
      <c r="T45" s="8"/>
      <c r="U45" s="8" t="s">
        <v>45</v>
      </c>
      <c r="V45" s="8" t="s">
        <v>1401</v>
      </c>
    </row>
    <row r="46" spans="1:22" ht="24" x14ac:dyDescent="0.3">
      <c r="A46" s="8" t="s">
        <v>1402</v>
      </c>
      <c r="B46" s="8" t="s">
        <v>9</v>
      </c>
      <c r="C46" s="10">
        <v>292589</v>
      </c>
      <c r="D46" s="8" t="s">
        <v>145</v>
      </c>
      <c r="E46" s="8" t="s">
        <v>9</v>
      </c>
      <c r="F46" s="8" t="s">
        <v>1318</v>
      </c>
      <c r="G46" s="8" t="s">
        <v>1041</v>
      </c>
      <c r="H46" s="8" t="s">
        <v>1319</v>
      </c>
      <c r="I46" s="8" t="s">
        <v>9</v>
      </c>
      <c r="J46" s="8" t="s">
        <v>9</v>
      </c>
      <c r="K46" s="8" t="s">
        <v>9</v>
      </c>
      <c r="L46" s="8" t="s">
        <v>1042</v>
      </c>
      <c r="M46" s="8" t="s">
        <v>1172</v>
      </c>
      <c r="N46" s="8" t="s">
        <v>9</v>
      </c>
      <c r="O46" s="8" t="s">
        <v>9</v>
      </c>
      <c r="P46" s="8" t="s">
        <v>1320</v>
      </c>
      <c r="Q46" s="8"/>
      <c r="R46" s="8" t="s">
        <v>111</v>
      </c>
      <c r="S46" s="8" t="s">
        <v>112</v>
      </c>
      <c r="T46" s="8"/>
      <c r="U46" s="8" t="s">
        <v>45</v>
      </c>
      <c r="V46" s="8" t="s">
        <v>1403</v>
      </c>
    </row>
    <row r="47" spans="1:22" ht="24" x14ac:dyDescent="0.3">
      <c r="A47" s="8" t="s">
        <v>1404</v>
      </c>
      <c r="B47" s="8" t="s">
        <v>9</v>
      </c>
      <c r="C47" s="10">
        <v>292589</v>
      </c>
      <c r="D47" s="8" t="s">
        <v>145</v>
      </c>
      <c r="E47" s="8" t="s">
        <v>9</v>
      </c>
      <c r="F47" s="8" t="s">
        <v>1318</v>
      </c>
      <c r="G47" s="8" t="s">
        <v>1079</v>
      </c>
      <c r="H47" s="8" t="s">
        <v>1319</v>
      </c>
      <c r="I47" s="8" t="s">
        <v>9</v>
      </c>
      <c r="J47" s="8" t="s">
        <v>9</v>
      </c>
      <c r="K47" s="8" t="s">
        <v>9</v>
      </c>
      <c r="L47" s="8" t="s">
        <v>1167</v>
      </c>
      <c r="M47" s="8" t="s">
        <v>1172</v>
      </c>
      <c r="N47" s="8" t="s">
        <v>9</v>
      </c>
      <c r="O47" s="8" t="s">
        <v>9</v>
      </c>
      <c r="P47" s="8" t="s">
        <v>1320</v>
      </c>
      <c r="Q47" s="8"/>
      <c r="R47" s="8" t="s">
        <v>111</v>
      </c>
      <c r="S47" s="8" t="s">
        <v>112</v>
      </c>
      <c r="T47" s="8"/>
      <c r="U47" s="8" t="s">
        <v>45</v>
      </c>
      <c r="V47" s="8" t="s">
        <v>1405</v>
      </c>
    </row>
    <row r="48" spans="1:22" ht="24" x14ac:dyDescent="0.3">
      <c r="A48" s="8" t="s">
        <v>1406</v>
      </c>
      <c r="B48" s="8" t="s">
        <v>9</v>
      </c>
      <c r="C48" s="10">
        <v>292589</v>
      </c>
      <c r="D48" s="8" t="s">
        <v>145</v>
      </c>
      <c r="E48" s="8" t="s">
        <v>9</v>
      </c>
      <c r="F48" s="8" t="s">
        <v>1407</v>
      </c>
      <c r="G48" s="8" t="s">
        <v>1171</v>
      </c>
      <c r="H48" s="8" t="s">
        <v>1319</v>
      </c>
      <c r="I48" s="8" t="s">
        <v>9</v>
      </c>
      <c r="J48" s="8" t="s">
        <v>9</v>
      </c>
      <c r="K48" s="8" t="s">
        <v>9</v>
      </c>
      <c r="L48" s="8" t="b">
        <v>1</v>
      </c>
      <c r="M48" s="8" t="s">
        <v>1172</v>
      </c>
      <c r="N48" s="8" t="s">
        <v>9</v>
      </c>
      <c r="O48" s="8" t="s">
        <v>9</v>
      </c>
      <c r="P48" s="8" t="s">
        <v>1320</v>
      </c>
      <c r="Q48" s="8"/>
      <c r="R48" s="8" t="s">
        <v>111</v>
      </c>
      <c r="S48" s="8" t="s">
        <v>112</v>
      </c>
      <c r="T48" s="8"/>
      <c r="U48" s="8" t="s">
        <v>45</v>
      </c>
      <c r="V48" s="8" t="s">
        <v>1408</v>
      </c>
    </row>
    <row r="49" spans="1:22" ht="24" x14ac:dyDescent="0.3">
      <c r="A49" s="8" t="s">
        <v>1409</v>
      </c>
      <c r="B49" s="8" t="s">
        <v>9</v>
      </c>
      <c r="C49" s="10">
        <v>245616</v>
      </c>
      <c r="D49" s="8" t="s">
        <v>147</v>
      </c>
      <c r="E49" s="8" t="s">
        <v>9</v>
      </c>
      <c r="F49" s="8" t="s">
        <v>1318</v>
      </c>
      <c r="G49" s="8" t="s">
        <v>1032</v>
      </c>
      <c r="H49" s="8" t="s">
        <v>1319</v>
      </c>
      <c r="I49" s="8" t="s">
        <v>9</v>
      </c>
      <c r="J49" s="8" t="s">
        <v>9</v>
      </c>
      <c r="K49" s="8" t="s">
        <v>9</v>
      </c>
      <c r="L49" s="8" t="s">
        <v>1175</v>
      </c>
      <c r="M49" s="8" t="s">
        <v>1172</v>
      </c>
      <c r="N49" s="8" t="s">
        <v>9</v>
      </c>
      <c r="O49" s="8" t="s">
        <v>9</v>
      </c>
      <c r="P49" s="8" t="s">
        <v>1320</v>
      </c>
      <c r="Q49" s="8"/>
      <c r="R49" s="8" t="s">
        <v>111</v>
      </c>
      <c r="S49" s="8" t="s">
        <v>112</v>
      </c>
      <c r="T49" s="8"/>
      <c r="U49" s="8" t="s">
        <v>45</v>
      </c>
      <c r="V49" s="8" t="s">
        <v>1410</v>
      </c>
    </row>
    <row r="50" spans="1:22" ht="24" x14ac:dyDescent="0.3">
      <c r="A50" s="8" t="s">
        <v>1411</v>
      </c>
      <c r="B50" s="8" t="s">
        <v>9</v>
      </c>
      <c r="C50" s="10">
        <v>245616</v>
      </c>
      <c r="D50" s="8" t="s">
        <v>147</v>
      </c>
      <c r="E50" s="8" t="s">
        <v>9</v>
      </c>
      <c r="F50" s="8" t="s">
        <v>1318</v>
      </c>
      <c r="G50" s="8" t="s">
        <v>1041</v>
      </c>
      <c r="H50" s="8" t="s">
        <v>1319</v>
      </c>
      <c r="I50" s="8" t="s">
        <v>9</v>
      </c>
      <c r="J50" s="8" t="s">
        <v>9</v>
      </c>
      <c r="K50" s="8" t="s">
        <v>9</v>
      </c>
      <c r="L50" s="8" t="s">
        <v>1178</v>
      </c>
      <c r="M50" s="8" t="s">
        <v>1172</v>
      </c>
      <c r="N50" s="8" t="s">
        <v>9</v>
      </c>
      <c r="O50" s="8" t="s">
        <v>9</v>
      </c>
      <c r="P50" s="8" t="s">
        <v>1320</v>
      </c>
      <c r="Q50" s="8"/>
      <c r="R50" s="8" t="s">
        <v>111</v>
      </c>
      <c r="S50" s="8" t="s">
        <v>112</v>
      </c>
      <c r="T50" s="8"/>
      <c r="U50" s="8" t="s">
        <v>45</v>
      </c>
      <c r="V50" s="8" t="s">
        <v>1412</v>
      </c>
    </row>
    <row r="51" spans="1:22" ht="24" x14ac:dyDescent="0.3">
      <c r="A51" s="8" t="s">
        <v>1413</v>
      </c>
      <c r="B51" s="8" t="s">
        <v>9</v>
      </c>
      <c r="C51" s="10">
        <v>258825</v>
      </c>
      <c r="D51" s="8" t="s">
        <v>149</v>
      </c>
      <c r="E51" s="8" t="s">
        <v>9</v>
      </c>
      <c r="F51" s="8" t="s">
        <v>1318</v>
      </c>
      <c r="G51" s="8" t="s">
        <v>1032</v>
      </c>
      <c r="H51" s="8" t="s">
        <v>1319</v>
      </c>
      <c r="I51" s="8" t="s">
        <v>9</v>
      </c>
      <c r="J51" s="8" t="s">
        <v>9</v>
      </c>
      <c r="K51" s="8" t="s">
        <v>9</v>
      </c>
      <c r="L51" s="8" t="s">
        <v>1175</v>
      </c>
      <c r="M51" s="8" t="s">
        <v>1172</v>
      </c>
      <c r="N51" s="8" t="s">
        <v>9</v>
      </c>
      <c r="O51" s="8" t="s">
        <v>9</v>
      </c>
      <c r="P51" s="8" t="s">
        <v>1320</v>
      </c>
      <c r="Q51" s="8"/>
      <c r="R51" s="8" t="s">
        <v>111</v>
      </c>
      <c r="S51" s="8" t="s">
        <v>112</v>
      </c>
      <c r="T51" s="8"/>
      <c r="U51" s="8" t="s">
        <v>45</v>
      </c>
      <c r="V51" s="8" t="s">
        <v>1414</v>
      </c>
    </row>
    <row r="52" spans="1:22" ht="36" x14ac:dyDescent="0.3">
      <c r="A52" s="8" t="s">
        <v>1415</v>
      </c>
      <c r="B52" s="8" t="s">
        <v>9</v>
      </c>
      <c r="C52" s="10">
        <v>258825</v>
      </c>
      <c r="D52" s="8" t="s">
        <v>149</v>
      </c>
      <c r="E52" s="8" t="s">
        <v>9</v>
      </c>
      <c r="F52" s="8" t="s">
        <v>1318</v>
      </c>
      <c r="G52" s="8" t="s">
        <v>1041</v>
      </c>
      <c r="H52" s="8" t="s">
        <v>1319</v>
      </c>
      <c r="I52" s="8" t="s">
        <v>9</v>
      </c>
      <c r="J52" s="8" t="s">
        <v>9</v>
      </c>
      <c r="K52" s="8" t="s">
        <v>9</v>
      </c>
      <c r="L52" s="8" t="s">
        <v>1182</v>
      </c>
      <c r="M52" s="8" t="s">
        <v>1172</v>
      </c>
      <c r="N52" s="8" t="s">
        <v>9</v>
      </c>
      <c r="O52" s="8" t="s">
        <v>9</v>
      </c>
      <c r="P52" s="8" t="s">
        <v>1320</v>
      </c>
      <c r="Q52" s="8"/>
      <c r="R52" s="8" t="s">
        <v>111</v>
      </c>
      <c r="S52" s="8" t="s">
        <v>112</v>
      </c>
      <c r="T52" s="8"/>
      <c r="U52" s="8" t="s">
        <v>45</v>
      </c>
      <c r="V52" s="8" t="s">
        <v>1416</v>
      </c>
    </row>
    <row r="53" spans="1:22" ht="24" x14ac:dyDescent="0.3">
      <c r="A53" s="8" t="s">
        <v>1417</v>
      </c>
      <c r="B53" s="8" t="s">
        <v>9</v>
      </c>
      <c r="C53" s="10">
        <v>280257</v>
      </c>
      <c r="D53" s="8" t="s">
        <v>151</v>
      </c>
      <c r="E53" s="8" t="s">
        <v>9</v>
      </c>
      <c r="F53" s="8" t="s">
        <v>1353</v>
      </c>
      <c r="G53" s="8" t="s">
        <v>1186</v>
      </c>
      <c r="H53" s="8" t="s">
        <v>1319</v>
      </c>
      <c r="I53" s="8" t="s">
        <v>9</v>
      </c>
      <c r="J53" s="8" t="s">
        <v>9</v>
      </c>
      <c r="K53" s="8" t="s">
        <v>9</v>
      </c>
      <c r="L53" s="8" t="s">
        <v>9</v>
      </c>
      <c r="M53" s="8" t="s">
        <v>1172</v>
      </c>
      <c r="N53" s="8" t="s">
        <v>9</v>
      </c>
      <c r="O53" s="8" t="s">
        <v>9</v>
      </c>
      <c r="P53" s="8" t="s">
        <v>1320</v>
      </c>
      <c r="Q53" s="8"/>
      <c r="R53" s="8" t="s">
        <v>111</v>
      </c>
      <c r="S53" s="8" t="s">
        <v>112</v>
      </c>
      <c r="T53" s="8"/>
      <c r="U53" s="8" t="s">
        <v>45</v>
      </c>
      <c r="V53" s="8" t="s">
        <v>1418</v>
      </c>
    </row>
    <row r="54" spans="1:22" ht="36" x14ac:dyDescent="0.3">
      <c r="A54" s="8" t="s">
        <v>1419</v>
      </c>
      <c r="B54" s="8" t="s">
        <v>9</v>
      </c>
      <c r="C54" s="10">
        <v>290338</v>
      </c>
      <c r="D54" s="8" t="s">
        <v>153</v>
      </c>
      <c r="E54" s="8" t="s">
        <v>9</v>
      </c>
      <c r="F54" s="8" t="s">
        <v>1325</v>
      </c>
      <c r="G54" s="8" t="s">
        <v>9</v>
      </c>
      <c r="H54" s="8" t="s">
        <v>9</v>
      </c>
      <c r="I54" s="8" t="s">
        <v>9</v>
      </c>
      <c r="J54" s="8" t="s">
        <v>9</v>
      </c>
      <c r="K54" s="8" t="s">
        <v>9</v>
      </c>
      <c r="L54" s="8" t="s">
        <v>9</v>
      </c>
      <c r="M54" s="8" t="s">
        <v>9</v>
      </c>
      <c r="N54" s="8" t="s">
        <v>9</v>
      </c>
      <c r="O54" s="8" t="s">
        <v>9</v>
      </c>
      <c r="P54" s="8" t="s">
        <v>1320</v>
      </c>
      <c r="Q54" s="8"/>
      <c r="R54" s="8" t="s">
        <v>111</v>
      </c>
      <c r="S54" s="8" t="s">
        <v>112</v>
      </c>
      <c r="T54" s="8"/>
      <c r="U54" s="8" t="s">
        <v>45</v>
      </c>
      <c r="V54" s="8" t="s">
        <v>1336</v>
      </c>
    </row>
    <row r="55" spans="1:22" ht="24" x14ac:dyDescent="0.3">
      <c r="A55" s="8" t="s">
        <v>1420</v>
      </c>
      <c r="B55" s="8" t="s">
        <v>9</v>
      </c>
      <c r="C55" s="10">
        <v>292626</v>
      </c>
      <c r="D55" s="8" t="s">
        <v>155</v>
      </c>
      <c r="E55" s="8" t="s">
        <v>9</v>
      </c>
      <c r="F55" s="8" t="s">
        <v>1407</v>
      </c>
      <c r="G55" s="8" t="s">
        <v>1191</v>
      </c>
      <c r="H55" s="8" t="s">
        <v>1319</v>
      </c>
      <c r="I55" s="8" t="s">
        <v>9</v>
      </c>
      <c r="J55" s="8" t="s">
        <v>9</v>
      </c>
      <c r="K55" s="8" t="s">
        <v>9</v>
      </c>
      <c r="L55" s="8" t="s">
        <v>1192</v>
      </c>
      <c r="M55" s="8" t="s">
        <v>1172</v>
      </c>
      <c r="N55" s="8" t="s">
        <v>9</v>
      </c>
      <c r="O55" s="8" t="s">
        <v>9</v>
      </c>
      <c r="P55" s="8" t="s">
        <v>1320</v>
      </c>
      <c r="Q55" s="8"/>
      <c r="R55" s="8" t="s">
        <v>111</v>
      </c>
      <c r="S55" s="8" t="s">
        <v>112</v>
      </c>
      <c r="T55" s="8"/>
      <c r="U55" s="8" t="s">
        <v>45</v>
      </c>
      <c r="V55" s="8" t="s">
        <v>1421</v>
      </c>
    </row>
    <row r="56" spans="1:22" ht="24" x14ac:dyDescent="0.3">
      <c r="A56" s="8" t="s">
        <v>1422</v>
      </c>
      <c r="B56" s="8" t="s">
        <v>9</v>
      </c>
      <c r="C56" s="10">
        <v>292626</v>
      </c>
      <c r="D56" s="8" t="s">
        <v>155</v>
      </c>
      <c r="E56" s="8" t="s">
        <v>9</v>
      </c>
      <c r="F56" s="8" t="s">
        <v>1325</v>
      </c>
      <c r="G56" s="8" t="s">
        <v>1137</v>
      </c>
      <c r="H56" s="8" t="s">
        <v>1319</v>
      </c>
      <c r="I56" s="8" t="s">
        <v>9</v>
      </c>
      <c r="J56" s="8" t="s">
        <v>9</v>
      </c>
      <c r="K56" s="8" t="s">
        <v>9</v>
      </c>
      <c r="L56" s="8" t="s">
        <v>1138</v>
      </c>
      <c r="M56" s="8" t="s">
        <v>1172</v>
      </c>
      <c r="N56" s="8" t="s">
        <v>9</v>
      </c>
      <c r="O56" s="8" t="s">
        <v>9</v>
      </c>
      <c r="P56" s="8" t="s">
        <v>1320</v>
      </c>
      <c r="Q56" s="8"/>
      <c r="R56" s="8" t="s">
        <v>111</v>
      </c>
      <c r="S56" s="8" t="s">
        <v>112</v>
      </c>
      <c r="T56" s="8"/>
      <c r="U56" s="8" t="s">
        <v>45</v>
      </c>
      <c r="V56" s="8" t="s">
        <v>1423</v>
      </c>
    </row>
    <row r="57" spans="1:22" ht="24" x14ac:dyDescent="0.3">
      <c r="A57" s="8" t="s">
        <v>1424</v>
      </c>
      <c r="B57" s="8" t="s">
        <v>9</v>
      </c>
      <c r="C57" s="10">
        <v>292626</v>
      </c>
      <c r="D57" s="8" t="s">
        <v>155</v>
      </c>
      <c r="E57" s="8" t="s">
        <v>9</v>
      </c>
      <c r="F57" s="8" t="s">
        <v>1318</v>
      </c>
      <c r="G57" s="8" t="s">
        <v>1079</v>
      </c>
      <c r="H57" s="8" t="s">
        <v>1319</v>
      </c>
      <c r="I57" s="8" t="s">
        <v>9</v>
      </c>
      <c r="J57" s="8" t="s">
        <v>9</v>
      </c>
      <c r="K57" s="8" t="s">
        <v>9</v>
      </c>
      <c r="L57" s="8" t="s">
        <v>1196</v>
      </c>
      <c r="M57" s="8" t="s">
        <v>1172</v>
      </c>
      <c r="N57" s="8" t="s">
        <v>9</v>
      </c>
      <c r="O57" s="8" t="s">
        <v>9</v>
      </c>
      <c r="P57" s="8" t="s">
        <v>1320</v>
      </c>
      <c r="Q57" s="8"/>
      <c r="R57" s="8" t="s">
        <v>111</v>
      </c>
      <c r="S57" s="8" t="s">
        <v>112</v>
      </c>
      <c r="T57" s="8"/>
      <c r="U57" s="8" t="s">
        <v>45</v>
      </c>
      <c r="V57" s="8" t="s">
        <v>1425</v>
      </c>
    </row>
    <row r="58" spans="1:22" ht="24" x14ac:dyDescent="0.3">
      <c r="A58" s="8" t="s">
        <v>1426</v>
      </c>
      <c r="B58" s="8" t="s">
        <v>9</v>
      </c>
      <c r="C58" s="10">
        <v>292626</v>
      </c>
      <c r="D58" s="8" t="s">
        <v>155</v>
      </c>
      <c r="E58" s="8" t="s">
        <v>9</v>
      </c>
      <c r="F58" s="8" t="s">
        <v>1407</v>
      </c>
      <c r="G58" s="8" t="s">
        <v>486</v>
      </c>
      <c r="H58" s="8" t="s">
        <v>1319</v>
      </c>
      <c r="I58" s="8" t="s">
        <v>9</v>
      </c>
      <c r="J58" s="8" t="s">
        <v>9</v>
      </c>
      <c r="K58" s="8" t="s">
        <v>9</v>
      </c>
      <c r="L58" s="8" t="s">
        <v>1200</v>
      </c>
      <c r="M58" s="8" t="s">
        <v>1172</v>
      </c>
      <c r="N58" s="8" t="s">
        <v>9</v>
      </c>
      <c r="O58" s="8" t="s">
        <v>9</v>
      </c>
      <c r="P58" s="8" t="s">
        <v>1320</v>
      </c>
      <c r="Q58" s="8"/>
      <c r="R58" s="8" t="s">
        <v>111</v>
      </c>
      <c r="S58" s="8" t="s">
        <v>112</v>
      </c>
      <c r="T58" s="8"/>
      <c r="U58" s="8" t="s">
        <v>45</v>
      </c>
      <c r="V58" s="8" t="s">
        <v>1427</v>
      </c>
    </row>
    <row r="59" spans="1:22" ht="24" x14ac:dyDescent="0.3">
      <c r="A59" s="8" t="s">
        <v>1428</v>
      </c>
      <c r="B59" s="8" t="s">
        <v>9</v>
      </c>
      <c r="C59" s="10">
        <v>292626</v>
      </c>
      <c r="D59" s="8" t="s">
        <v>155</v>
      </c>
      <c r="E59" s="8" t="s">
        <v>9</v>
      </c>
      <c r="F59" s="8" t="s">
        <v>1318</v>
      </c>
      <c r="G59" s="8" t="s">
        <v>1032</v>
      </c>
      <c r="H59" s="8" t="s">
        <v>1319</v>
      </c>
      <c r="I59" s="8" t="s">
        <v>9</v>
      </c>
      <c r="J59" s="8" t="s">
        <v>9</v>
      </c>
      <c r="K59" s="8" t="s">
        <v>9</v>
      </c>
      <c r="L59" s="8" t="s">
        <v>1167</v>
      </c>
      <c r="M59" s="8" t="s">
        <v>1172</v>
      </c>
      <c r="N59" s="8" t="s">
        <v>9</v>
      </c>
      <c r="O59" s="8" t="s">
        <v>9</v>
      </c>
      <c r="P59" s="8" t="s">
        <v>1320</v>
      </c>
      <c r="Q59" s="8"/>
      <c r="R59" s="8" t="s">
        <v>111</v>
      </c>
      <c r="S59" s="8" t="s">
        <v>112</v>
      </c>
      <c r="T59" s="8"/>
      <c r="U59" s="8" t="s">
        <v>45</v>
      </c>
      <c r="V59" s="8" t="s">
        <v>1429</v>
      </c>
    </row>
    <row r="60" spans="1:22" ht="24" x14ac:dyDescent="0.3">
      <c r="A60" s="8" t="s">
        <v>1430</v>
      </c>
      <c r="B60" s="8" t="s">
        <v>9</v>
      </c>
      <c r="C60" s="10">
        <v>292626</v>
      </c>
      <c r="D60" s="8" t="s">
        <v>155</v>
      </c>
      <c r="E60" s="8" t="s">
        <v>9</v>
      </c>
      <c r="F60" s="8" t="s">
        <v>1318</v>
      </c>
      <c r="G60" s="8" t="s">
        <v>1041</v>
      </c>
      <c r="H60" s="8" t="s">
        <v>1319</v>
      </c>
      <c r="I60" s="8" t="s">
        <v>9</v>
      </c>
      <c r="J60" s="8" t="s">
        <v>9</v>
      </c>
      <c r="K60" s="8" t="s">
        <v>9</v>
      </c>
      <c r="L60" s="8" t="s">
        <v>1042</v>
      </c>
      <c r="M60" s="8" t="s">
        <v>1172</v>
      </c>
      <c r="N60" s="8" t="s">
        <v>9</v>
      </c>
      <c r="O60" s="8" t="s">
        <v>9</v>
      </c>
      <c r="P60" s="8" t="s">
        <v>1320</v>
      </c>
      <c r="Q60" s="8"/>
      <c r="R60" s="8" t="s">
        <v>111</v>
      </c>
      <c r="S60" s="8" t="s">
        <v>112</v>
      </c>
      <c r="T60" s="8"/>
      <c r="U60" s="8" t="s">
        <v>45</v>
      </c>
      <c r="V60" s="8" t="s">
        <v>1431</v>
      </c>
    </row>
    <row r="61" spans="1:22" ht="24" x14ac:dyDescent="0.3">
      <c r="A61" s="8" t="s">
        <v>1432</v>
      </c>
      <c r="B61" s="8" t="s">
        <v>9</v>
      </c>
      <c r="C61" s="10">
        <v>292626</v>
      </c>
      <c r="D61" s="8" t="s">
        <v>155</v>
      </c>
      <c r="E61" s="8" t="s">
        <v>9</v>
      </c>
      <c r="F61" s="8" t="s">
        <v>1407</v>
      </c>
      <c r="G61" s="8" t="s">
        <v>1191</v>
      </c>
      <c r="H61" s="8" t="s">
        <v>1319</v>
      </c>
      <c r="I61" s="8" t="s">
        <v>9</v>
      </c>
      <c r="J61" s="8" t="s">
        <v>9</v>
      </c>
      <c r="K61" s="8" t="s">
        <v>9</v>
      </c>
      <c r="L61" s="8" t="s">
        <v>1207</v>
      </c>
      <c r="M61" s="8" t="s">
        <v>1172</v>
      </c>
      <c r="N61" s="8" t="s">
        <v>9</v>
      </c>
      <c r="O61" s="8" t="s">
        <v>9</v>
      </c>
      <c r="P61" s="8" t="s">
        <v>1320</v>
      </c>
      <c r="Q61" s="8"/>
      <c r="R61" s="8" t="s">
        <v>111</v>
      </c>
      <c r="S61" s="8" t="s">
        <v>112</v>
      </c>
      <c r="T61" s="8"/>
      <c r="U61" s="8" t="s">
        <v>45</v>
      </c>
      <c r="V61" s="8" t="s">
        <v>1433</v>
      </c>
    </row>
    <row r="62" spans="1:22" ht="24" x14ac:dyDescent="0.3">
      <c r="A62" s="8" t="s">
        <v>1434</v>
      </c>
      <c r="B62" s="8" t="s">
        <v>9</v>
      </c>
      <c r="C62" s="10">
        <v>292626</v>
      </c>
      <c r="D62" s="8" t="s">
        <v>155</v>
      </c>
      <c r="E62" s="8" t="s">
        <v>9</v>
      </c>
      <c r="F62" s="8" t="s">
        <v>1407</v>
      </c>
      <c r="G62" s="8" t="s">
        <v>1191</v>
      </c>
      <c r="H62" s="8" t="s">
        <v>1319</v>
      </c>
      <c r="I62" s="8" t="s">
        <v>9</v>
      </c>
      <c r="J62" s="8" t="s">
        <v>9</v>
      </c>
      <c r="K62" s="8" t="s">
        <v>9</v>
      </c>
      <c r="L62" s="8" t="s">
        <v>1211</v>
      </c>
      <c r="M62" s="8" t="s">
        <v>1172</v>
      </c>
      <c r="N62" s="8" t="s">
        <v>9</v>
      </c>
      <c r="O62" s="8" t="s">
        <v>9</v>
      </c>
      <c r="P62" s="8" t="s">
        <v>1320</v>
      </c>
      <c r="Q62" s="8"/>
      <c r="R62" s="8" t="s">
        <v>111</v>
      </c>
      <c r="S62" s="8" t="s">
        <v>112</v>
      </c>
      <c r="T62" s="8"/>
      <c r="U62" s="8" t="s">
        <v>45</v>
      </c>
      <c r="V62" s="8" t="s">
        <v>1435</v>
      </c>
    </row>
    <row r="63" spans="1:22" ht="36" x14ac:dyDescent="0.3">
      <c r="A63" s="8" t="s">
        <v>1436</v>
      </c>
      <c r="B63" s="8" t="s">
        <v>9</v>
      </c>
      <c r="C63" s="10">
        <v>275412</v>
      </c>
      <c r="D63" s="8" t="s">
        <v>157</v>
      </c>
      <c r="E63" s="8" t="s">
        <v>9</v>
      </c>
      <c r="F63" s="8" t="s">
        <v>1325</v>
      </c>
      <c r="G63" s="8" t="s">
        <v>9</v>
      </c>
      <c r="H63" s="8" t="s">
        <v>9</v>
      </c>
      <c r="I63" s="8" t="s">
        <v>9</v>
      </c>
      <c r="J63" s="8" t="s">
        <v>9</v>
      </c>
      <c r="K63" s="8" t="s">
        <v>9</v>
      </c>
      <c r="L63" s="8" t="s">
        <v>9</v>
      </c>
      <c r="M63" s="8" t="s">
        <v>9</v>
      </c>
      <c r="N63" s="8" t="s">
        <v>9</v>
      </c>
      <c r="O63" s="8" t="s">
        <v>9</v>
      </c>
      <c r="P63" s="8" t="s">
        <v>1320</v>
      </c>
      <c r="Q63" s="8"/>
      <c r="R63" s="8" t="s">
        <v>111</v>
      </c>
      <c r="S63" s="8" t="s">
        <v>112</v>
      </c>
      <c r="T63" s="8"/>
      <c r="U63" s="8" t="s">
        <v>45</v>
      </c>
      <c r="V63" s="8" t="s">
        <v>1336</v>
      </c>
    </row>
    <row r="64" spans="1:22" ht="36" x14ac:dyDescent="0.3">
      <c r="A64" s="8" t="s">
        <v>1437</v>
      </c>
      <c r="B64" s="8" t="s">
        <v>9</v>
      </c>
      <c r="C64" s="10">
        <v>275457</v>
      </c>
      <c r="D64" s="8" t="s">
        <v>159</v>
      </c>
      <c r="E64" s="8" t="s">
        <v>9</v>
      </c>
      <c r="F64" s="8" t="s">
        <v>1325</v>
      </c>
      <c r="G64" s="8" t="s">
        <v>9</v>
      </c>
      <c r="H64" s="8" t="s">
        <v>9</v>
      </c>
      <c r="I64" s="8" t="s">
        <v>9</v>
      </c>
      <c r="J64" s="8" t="s">
        <v>9</v>
      </c>
      <c r="K64" s="8" t="s">
        <v>9</v>
      </c>
      <c r="L64" s="8" t="s">
        <v>9</v>
      </c>
      <c r="M64" s="8" t="s">
        <v>9</v>
      </c>
      <c r="N64" s="8" t="s">
        <v>9</v>
      </c>
      <c r="O64" s="8" t="s">
        <v>9</v>
      </c>
      <c r="P64" s="8" t="s">
        <v>1320</v>
      </c>
      <c r="Q64" s="8"/>
      <c r="R64" s="8" t="s">
        <v>111</v>
      </c>
      <c r="S64" s="8" t="s">
        <v>112</v>
      </c>
      <c r="T64" s="8"/>
      <c r="U64" s="8" t="s">
        <v>45</v>
      </c>
      <c r="V64" s="8" t="s">
        <v>1336</v>
      </c>
    </row>
    <row r="65" spans="1:22" ht="24" x14ac:dyDescent="0.3">
      <c r="A65" s="8" t="s">
        <v>1438</v>
      </c>
      <c r="B65" s="8" t="s">
        <v>9</v>
      </c>
      <c r="C65" s="10">
        <v>319335</v>
      </c>
      <c r="D65" s="8" t="s">
        <v>161</v>
      </c>
      <c r="E65" s="8" t="s">
        <v>9</v>
      </c>
      <c r="F65" s="8" t="s">
        <v>1318</v>
      </c>
      <c r="G65" s="8" t="s">
        <v>1032</v>
      </c>
      <c r="H65" s="8" t="s">
        <v>1319</v>
      </c>
      <c r="I65" s="8" t="s">
        <v>9</v>
      </c>
      <c r="J65" s="8" t="s">
        <v>9</v>
      </c>
      <c r="K65" s="8" t="s">
        <v>9</v>
      </c>
      <c r="L65" s="8" t="s">
        <v>1216</v>
      </c>
      <c r="M65" s="8" t="s">
        <v>1172</v>
      </c>
      <c r="N65" s="8" t="s">
        <v>9</v>
      </c>
      <c r="O65" s="8" t="s">
        <v>9</v>
      </c>
      <c r="P65" s="8" t="s">
        <v>1320</v>
      </c>
      <c r="Q65" s="8"/>
      <c r="R65" s="8" t="s">
        <v>111</v>
      </c>
      <c r="S65" s="8" t="s">
        <v>112</v>
      </c>
      <c r="T65" s="8"/>
      <c r="U65" s="8" t="s">
        <v>45</v>
      </c>
      <c r="V65" s="8" t="s">
        <v>1439</v>
      </c>
    </row>
    <row r="66" spans="1:22" ht="36" x14ac:dyDescent="0.3">
      <c r="A66" s="8" t="s">
        <v>1440</v>
      </c>
      <c r="B66" s="8" t="s">
        <v>9</v>
      </c>
      <c r="C66" s="10">
        <v>319335</v>
      </c>
      <c r="D66" s="8" t="s">
        <v>161</v>
      </c>
      <c r="E66" s="8" t="s">
        <v>9</v>
      </c>
      <c r="F66" s="8" t="s">
        <v>1318</v>
      </c>
      <c r="G66" s="8" t="s">
        <v>1041</v>
      </c>
      <c r="H66" s="8" t="s">
        <v>1319</v>
      </c>
      <c r="I66" s="8" t="s">
        <v>9</v>
      </c>
      <c r="J66" s="8" t="s">
        <v>9</v>
      </c>
      <c r="K66" s="8" t="s">
        <v>9</v>
      </c>
      <c r="L66" s="8" t="s">
        <v>1219</v>
      </c>
      <c r="M66" s="8" t="s">
        <v>1172</v>
      </c>
      <c r="N66" s="8" t="s">
        <v>9</v>
      </c>
      <c r="O66" s="8" t="s">
        <v>9</v>
      </c>
      <c r="P66" s="8" t="s">
        <v>1320</v>
      </c>
      <c r="Q66" s="8"/>
      <c r="R66" s="8" t="s">
        <v>111</v>
      </c>
      <c r="S66" s="8" t="s">
        <v>112</v>
      </c>
      <c r="T66" s="8"/>
      <c r="U66" s="8" t="s">
        <v>45</v>
      </c>
      <c r="V66" s="8" t="s">
        <v>1441</v>
      </c>
    </row>
    <row r="67" spans="1:22" ht="24" x14ac:dyDescent="0.3">
      <c r="A67" s="8" t="s">
        <v>1442</v>
      </c>
      <c r="B67" s="8" t="s">
        <v>9</v>
      </c>
      <c r="C67" s="10">
        <v>319335</v>
      </c>
      <c r="D67" s="8" t="s">
        <v>161</v>
      </c>
      <c r="E67" s="8" t="s">
        <v>9</v>
      </c>
      <c r="F67" s="8" t="s">
        <v>1318</v>
      </c>
      <c r="G67" s="8" t="s">
        <v>1222</v>
      </c>
      <c r="H67" s="8" t="s">
        <v>1319</v>
      </c>
      <c r="I67" s="8" t="s">
        <v>9</v>
      </c>
      <c r="J67" s="8" t="s">
        <v>9</v>
      </c>
      <c r="K67" s="8" t="s">
        <v>9</v>
      </c>
      <c r="L67" s="8" t="b">
        <v>1</v>
      </c>
      <c r="M67" s="8" t="s">
        <v>1172</v>
      </c>
      <c r="N67" s="8" t="s">
        <v>9</v>
      </c>
      <c r="O67" s="8" t="s">
        <v>9</v>
      </c>
      <c r="P67" s="8" t="s">
        <v>1320</v>
      </c>
      <c r="Q67" s="8"/>
      <c r="R67" s="8" t="s">
        <v>111</v>
      </c>
      <c r="S67" s="8" t="s">
        <v>112</v>
      </c>
      <c r="T67" s="8"/>
      <c r="U67" s="8" t="s">
        <v>45</v>
      </c>
      <c r="V67" s="8" t="s">
        <v>1443</v>
      </c>
    </row>
    <row r="68" spans="1:22" ht="24" x14ac:dyDescent="0.3">
      <c r="A68" s="8" t="s">
        <v>1444</v>
      </c>
      <c r="B68" s="8" t="s">
        <v>9</v>
      </c>
      <c r="C68" s="10">
        <v>215655</v>
      </c>
      <c r="D68" s="8" t="s">
        <v>163</v>
      </c>
      <c r="E68" s="8" t="s">
        <v>9</v>
      </c>
      <c r="F68" s="8" t="s">
        <v>1318</v>
      </c>
      <c r="G68" s="8" t="s">
        <v>1032</v>
      </c>
      <c r="H68" s="8" t="s">
        <v>1319</v>
      </c>
      <c r="I68" s="8" t="s">
        <v>9</v>
      </c>
      <c r="J68" s="8" t="s">
        <v>9</v>
      </c>
      <c r="K68" s="8" t="s">
        <v>9</v>
      </c>
      <c r="L68" s="8" t="s">
        <v>1060</v>
      </c>
      <c r="M68" s="8" t="s">
        <v>1172</v>
      </c>
      <c r="N68" s="8" t="s">
        <v>9</v>
      </c>
      <c r="O68" s="8" t="s">
        <v>9</v>
      </c>
      <c r="P68" s="8" t="s">
        <v>1320</v>
      </c>
      <c r="Q68" s="8"/>
      <c r="R68" s="8" t="s">
        <v>111</v>
      </c>
      <c r="S68" s="8" t="s">
        <v>112</v>
      </c>
      <c r="T68" s="8"/>
      <c r="U68" s="8" t="s">
        <v>45</v>
      </c>
      <c r="V68" s="8" t="s">
        <v>1445</v>
      </c>
    </row>
    <row r="69" spans="1:22" ht="36" x14ac:dyDescent="0.3">
      <c r="A69" s="8" t="s">
        <v>1446</v>
      </c>
      <c r="B69" s="8" t="s">
        <v>9</v>
      </c>
      <c r="C69" s="10">
        <v>215655</v>
      </c>
      <c r="D69" s="8" t="s">
        <v>163</v>
      </c>
      <c r="E69" s="8" t="s">
        <v>9</v>
      </c>
      <c r="F69" s="8" t="s">
        <v>1318</v>
      </c>
      <c r="G69" s="8" t="s">
        <v>1041</v>
      </c>
      <c r="H69" s="8" t="s">
        <v>1319</v>
      </c>
      <c r="I69" s="8" t="s">
        <v>9</v>
      </c>
      <c r="J69" s="8" t="s">
        <v>9</v>
      </c>
      <c r="K69" s="8" t="s">
        <v>9</v>
      </c>
      <c r="L69" s="8" t="s">
        <v>1063</v>
      </c>
      <c r="M69" s="8" t="s">
        <v>1172</v>
      </c>
      <c r="N69" s="8" t="s">
        <v>9</v>
      </c>
      <c r="O69" s="8" t="s">
        <v>9</v>
      </c>
      <c r="P69" s="8" t="s">
        <v>1320</v>
      </c>
      <c r="Q69" s="8"/>
      <c r="R69" s="8" t="s">
        <v>111</v>
      </c>
      <c r="S69" s="8" t="s">
        <v>112</v>
      </c>
      <c r="T69" s="8"/>
      <c r="U69" s="8" t="s">
        <v>45</v>
      </c>
      <c r="V69" s="8" t="s">
        <v>1447</v>
      </c>
    </row>
    <row r="70" spans="1:22" ht="24" x14ac:dyDescent="0.3">
      <c r="A70" s="8" t="s">
        <v>1448</v>
      </c>
      <c r="B70" s="8" t="s">
        <v>9</v>
      </c>
      <c r="C70" s="10">
        <v>319957</v>
      </c>
      <c r="D70" s="8" t="s">
        <v>165</v>
      </c>
      <c r="E70" s="8" t="s">
        <v>9</v>
      </c>
      <c r="F70" s="8" t="s">
        <v>1318</v>
      </c>
      <c r="G70" s="8" t="s">
        <v>1032</v>
      </c>
      <c r="H70" s="8" t="s">
        <v>1319</v>
      </c>
      <c r="I70" s="8" t="s">
        <v>9</v>
      </c>
      <c r="J70" s="8" t="s">
        <v>9</v>
      </c>
      <c r="K70" s="8" t="s">
        <v>9</v>
      </c>
      <c r="L70" s="8" t="s">
        <v>1087</v>
      </c>
      <c r="M70" s="8" t="s">
        <v>1172</v>
      </c>
      <c r="N70" s="8" t="s">
        <v>9</v>
      </c>
      <c r="O70" s="8" t="s">
        <v>9</v>
      </c>
      <c r="P70" s="8" t="s">
        <v>1320</v>
      </c>
      <c r="Q70" s="8"/>
      <c r="R70" s="8" t="s">
        <v>111</v>
      </c>
      <c r="S70" s="8" t="s">
        <v>112</v>
      </c>
      <c r="T70" s="8"/>
      <c r="U70" s="8" t="s">
        <v>45</v>
      </c>
      <c r="V70" s="8" t="s">
        <v>1449</v>
      </c>
    </row>
    <row r="71" spans="1:22" ht="36" x14ac:dyDescent="0.3">
      <c r="A71" s="8" t="s">
        <v>1450</v>
      </c>
      <c r="B71" s="8" t="s">
        <v>9</v>
      </c>
      <c r="C71" s="10">
        <v>319957</v>
      </c>
      <c r="D71" s="8" t="s">
        <v>165</v>
      </c>
      <c r="E71" s="8" t="s">
        <v>9</v>
      </c>
      <c r="F71" s="8" t="s">
        <v>1318</v>
      </c>
      <c r="G71" s="8" t="s">
        <v>1041</v>
      </c>
      <c r="H71" s="8" t="s">
        <v>1319</v>
      </c>
      <c r="I71" s="8" t="s">
        <v>9</v>
      </c>
      <c r="J71" s="8" t="s">
        <v>9</v>
      </c>
      <c r="K71" s="8" t="s">
        <v>9</v>
      </c>
      <c r="L71" s="8" t="s">
        <v>1090</v>
      </c>
      <c r="M71" s="8" t="s">
        <v>1172</v>
      </c>
      <c r="N71" s="8" t="s">
        <v>9</v>
      </c>
      <c r="O71" s="8" t="s">
        <v>9</v>
      </c>
      <c r="P71" s="8" t="s">
        <v>1320</v>
      </c>
      <c r="Q71" s="8"/>
      <c r="R71" s="8" t="s">
        <v>111</v>
      </c>
      <c r="S71" s="8" t="s">
        <v>112</v>
      </c>
      <c r="T71" s="8"/>
      <c r="U71" s="8" t="s">
        <v>45</v>
      </c>
      <c r="V71" s="8" t="s">
        <v>1451</v>
      </c>
    </row>
    <row r="72" spans="1:22" ht="24" x14ac:dyDescent="0.3">
      <c r="A72" s="8" t="s">
        <v>1452</v>
      </c>
      <c r="B72" s="8" t="s">
        <v>9</v>
      </c>
      <c r="C72" s="10">
        <v>315940</v>
      </c>
      <c r="D72" s="8" t="s">
        <v>167</v>
      </c>
      <c r="E72" s="8" t="s">
        <v>9</v>
      </c>
      <c r="F72" s="8" t="s">
        <v>1318</v>
      </c>
      <c r="G72" s="8" t="s">
        <v>1032</v>
      </c>
      <c r="H72" s="8" t="s">
        <v>1319</v>
      </c>
      <c r="I72" s="8" t="s">
        <v>9</v>
      </c>
      <c r="J72" s="8" t="s">
        <v>9</v>
      </c>
      <c r="K72" s="8" t="s">
        <v>9</v>
      </c>
      <c r="L72" s="8" t="s">
        <v>1087</v>
      </c>
      <c r="M72" s="8" t="s">
        <v>1172</v>
      </c>
      <c r="N72" s="8" t="s">
        <v>9</v>
      </c>
      <c r="O72" s="8" t="s">
        <v>9</v>
      </c>
      <c r="P72" s="8" t="s">
        <v>1320</v>
      </c>
      <c r="Q72" s="8"/>
      <c r="R72" s="8" t="s">
        <v>111</v>
      </c>
      <c r="S72" s="8" t="s">
        <v>112</v>
      </c>
      <c r="T72" s="8"/>
      <c r="U72" s="8" t="s">
        <v>45</v>
      </c>
      <c r="V72" s="8" t="s">
        <v>1453</v>
      </c>
    </row>
    <row r="73" spans="1:22" ht="36" x14ac:dyDescent="0.3">
      <c r="A73" s="8" t="s">
        <v>1454</v>
      </c>
      <c r="B73" s="8" t="s">
        <v>9</v>
      </c>
      <c r="C73" s="10">
        <v>315940</v>
      </c>
      <c r="D73" s="8" t="s">
        <v>167</v>
      </c>
      <c r="E73" s="8" t="s">
        <v>9</v>
      </c>
      <c r="F73" s="8" t="s">
        <v>1318</v>
      </c>
      <c r="G73" s="8" t="s">
        <v>1041</v>
      </c>
      <c r="H73" s="8" t="s">
        <v>1319</v>
      </c>
      <c r="I73" s="8" t="s">
        <v>9</v>
      </c>
      <c r="J73" s="8" t="s">
        <v>9</v>
      </c>
      <c r="K73" s="8" t="s">
        <v>9</v>
      </c>
      <c r="L73" s="8" t="s">
        <v>1090</v>
      </c>
      <c r="M73" s="8" t="s">
        <v>1172</v>
      </c>
      <c r="N73" s="8" t="s">
        <v>9</v>
      </c>
      <c r="O73" s="8" t="s">
        <v>9</v>
      </c>
      <c r="P73" s="8" t="s">
        <v>1320</v>
      </c>
      <c r="Q73" s="8"/>
      <c r="R73" s="8" t="s">
        <v>111</v>
      </c>
      <c r="S73" s="8" t="s">
        <v>112</v>
      </c>
      <c r="T73" s="8"/>
      <c r="U73" s="8" t="s">
        <v>45</v>
      </c>
      <c r="V73" s="8" t="s">
        <v>1455</v>
      </c>
    </row>
    <row r="74" spans="1:22" ht="24" x14ac:dyDescent="0.3">
      <c r="A74" s="8" t="s">
        <v>1456</v>
      </c>
      <c r="B74" s="8" t="s">
        <v>9</v>
      </c>
      <c r="C74" s="10">
        <v>282625</v>
      </c>
      <c r="D74" s="8" t="s">
        <v>169</v>
      </c>
      <c r="E74" s="8" t="s">
        <v>9</v>
      </c>
      <c r="F74" s="8" t="s">
        <v>1318</v>
      </c>
      <c r="G74" s="8" t="s">
        <v>1032</v>
      </c>
      <c r="H74" s="8" t="s">
        <v>1319</v>
      </c>
      <c r="I74" s="8" t="s">
        <v>9</v>
      </c>
      <c r="J74" s="8" t="s">
        <v>9</v>
      </c>
      <c r="K74" s="8" t="s">
        <v>9</v>
      </c>
      <c r="L74" s="8" t="s">
        <v>1130</v>
      </c>
      <c r="M74" s="8" t="s">
        <v>1172</v>
      </c>
      <c r="N74" s="8" t="s">
        <v>9</v>
      </c>
      <c r="O74" s="8" t="s">
        <v>9</v>
      </c>
      <c r="P74" s="8" t="s">
        <v>1320</v>
      </c>
      <c r="Q74" s="8"/>
      <c r="R74" s="8" t="s">
        <v>111</v>
      </c>
      <c r="S74" s="8" t="s">
        <v>112</v>
      </c>
      <c r="T74" s="8"/>
      <c r="U74" s="8" t="s">
        <v>45</v>
      </c>
      <c r="V74" s="8" t="s">
        <v>1457</v>
      </c>
    </row>
    <row r="75" spans="1:22" ht="24" x14ac:dyDescent="0.3">
      <c r="A75" s="8" t="s">
        <v>1458</v>
      </c>
      <c r="B75" s="8" t="s">
        <v>9</v>
      </c>
      <c r="C75" s="10">
        <v>282625</v>
      </c>
      <c r="D75" s="8" t="s">
        <v>169</v>
      </c>
      <c r="E75" s="8" t="s">
        <v>9</v>
      </c>
      <c r="F75" s="8" t="s">
        <v>1318</v>
      </c>
      <c r="G75" s="8" t="s">
        <v>1041</v>
      </c>
      <c r="H75" s="8" t="s">
        <v>1319</v>
      </c>
      <c r="I75" s="8" t="s">
        <v>9</v>
      </c>
      <c r="J75" s="8" t="s">
        <v>9</v>
      </c>
      <c r="K75" s="8" t="s">
        <v>9</v>
      </c>
      <c r="L75" s="8" t="s">
        <v>1234</v>
      </c>
      <c r="M75" s="8" t="s">
        <v>1172</v>
      </c>
      <c r="N75" s="8" t="s">
        <v>9</v>
      </c>
      <c r="O75" s="8" t="s">
        <v>9</v>
      </c>
      <c r="P75" s="8" t="s">
        <v>1320</v>
      </c>
      <c r="Q75" s="8"/>
      <c r="R75" s="8" t="s">
        <v>111</v>
      </c>
      <c r="S75" s="8" t="s">
        <v>112</v>
      </c>
      <c r="T75" s="8"/>
      <c r="U75" s="8" t="s">
        <v>45</v>
      </c>
      <c r="V75" s="8" t="s">
        <v>1459</v>
      </c>
    </row>
    <row r="76" spans="1:22" ht="24" x14ac:dyDescent="0.3">
      <c r="A76" s="8" t="s">
        <v>1460</v>
      </c>
      <c r="B76" s="8" t="s">
        <v>9</v>
      </c>
      <c r="C76" s="10">
        <v>282625</v>
      </c>
      <c r="D76" s="8" t="s">
        <v>169</v>
      </c>
      <c r="E76" s="8" t="s">
        <v>9</v>
      </c>
      <c r="F76" s="8" t="s">
        <v>1318</v>
      </c>
      <c r="G76" s="8" t="s">
        <v>1079</v>
      </c>
      <c r="H76" s="8" t="s">
        <v>1319</v>
      </c>
      <c r="I76" s="8" t="s">
        <v>9</v>
      </c>
      <c r="J76" s="8" t="s">
        <v>9</v>
      </c>
      <c r="K76" s="8" t="s">
        <v>9</v>
      </c>
      <c r="L76" s="8" t="s">
        <v>1237</v>
      </c>
      <c r="M76" s="8" t="s">
        <v>1172</v>
      </c>
      <c r="N76" s="8" t="s">
        <v>9</v>
      </c>
      <c r="O76" s="8" t="s">
        <v>9</v>
      </c>
      <c r="P76" s="8" t="s">
        <v>1320</v>
      </c>
      <c r="Q76" s="8"/>
      <c r="R76" s="8" t="s">
        <v>111</v>
      </c>
      <c r="S76" s="8" t="s">
        <v>112</v>
      </c>
      <c r="T76" s="8"/>
      <c r="U76" s="8" t="s">
        <v>45</v>
      </c>
      <c r="V76" s="8" t="s">
        <v>1461</v>
      </c>
    </row>
    <row r="77" spans="1:22" ht="36" x14ac:dyDescent="0.3">
      <c r="A77" s="8" t="s">
        <v>1462</v>
      </c>
      <c r="B77" s="8" t="s">
        <v>9</v>
      </c>
      <c r="C77" s="10">
        <v>332726</v>
      </c>
      <c r="D77" s="8" t="s">
        <v>171</v>
      </c>
      <c r="E77" s="8" t="s">
        <v>9</v>
      </c>
      <c r="F77" s="8" t="s">
        <v>1325</v>
      </c>
      <c r="G77" s="8" t="s">
        <v>9</v>
      </c>
      <c r="H77" s="8" t="s">
        <v>9</v>
      </c>
      <c r="I77" s="8" t="s">
        <v>9</v>
      </c>
      <c r="J77" s="8" t="s">
        <v>9</v>
      </c>
      <c r="K77" s="8" t="s">
        <v>9</v>
      </c>
      <c r="L77" s="8" t="s">
        <v>9</v>
      </c>
      <c r="M77" s="8" t="s">
        <v>9</v>
      </c>
      <c r="N77" s="8" t="s">
        <v>9</v>
      </c>
      <c r="O77" s="8" t="s">
        <v>9</v>
      </c>
      <c r="P77" s="8" t="s">
        <v>1320</v>
      </c>
      <c r="Q77" s="8"/>
      <c r="R77" s="8" t="s">
        <v>111</v>
      </c>
      <c r="S77" s="8" t="s">
        <v>112</v>
      </c>
      <c r="T77" s="8"/>
      <c r="U77" s="8" t="s">
        <v>45</v>
      </c>
      <c r="V77" s="8" t="s">
        <v>1336</v>
      </c>
    </row>
    <row r="78" spans="1:22" ht="24" x14ac:dyDescent="0.3">
      <c r="A78" s="8" t="s">
        <v>1463</v>
      </c>
      <c r="B78" s="8" t="s">
        <v>9</v>
      </c>
      <c r="C78" s="10">
        <v>319734</v>
      </c>
      <c r="D78" s="8" t="s">
        <v>173</v>
      </c>
      <c r="E78" s="8" t="s">
        <v>9</v>
      </c>
      <c r="F78" s="8" t="s">
        <v>1318</v>
      </c>
      <c r="G78" s="8" t="s">
        <v>1032</v>
      </c>
      <c r="H78" s="8" t="s">
        <v>1319</v>
      </c>
      <c r="I78" s="8" t="s">
        <v>9</v>
      </c>
      <c r="J78" s="8" t="s">
        <v>9</v>
      </c>
      <c r="K78" s="8" t="s">
        <v>9</v>
      </c>
      <c r="L78" s="8" t="s">
        <v>1054</v>
      </c>
      <c r="M78" s="8" t="s">
        <v>1172</v>
      </c>
      <c r="N78" s="8" t="s">
        <v>9</v>
      </c>
      <c r="O78" s="8" t="s">
        <v>9</v>
      </c>
      <c r="P78" s="8" t="s">
        <v>1320</v>
      </c>
      <c r="Q78" s="8"/>
      <c r="R78" s="8" t="s">
        <v>111</v>
      </c>
      <c r="S78" s="8" t="s">
        <v>112</v>
      </c>
      <c r="T78" s="8"/>
      <c r="U78" s="8" t="s">
        <v>45</v>
      </c>
      <c r="V78" s="8" t="s">
        <v>1464</v>
      </c>
    </row>
    <row r="79" spans="1:22" ht="24" x14ac:dyDescent="0.3">
      <c r="A79" s="8" t="s">
        <v>1465</v>
      </c>
      <c r="B79" s="8" t="s">
        <v>9</v>
      </c>
      <c r="C79" s="10">
        <v>319734</v>
      </c>
      <c r="D79" s="8" t="s">
        <v>173</v>
      </c>
      <c r="E79" s="8" t="s">
        <v>9</v>
      </c>
      <c r="F79" s="8" t="s">
        <v>1318</v>
      </c>
      <c r="G79" s="8" t="s">
        <v>1041</v>
      </c>
      <c r="H79" s="8" t="s">
        <v>1319</v>
      </c>
      <c r="I79" s="8" t="s">
        <v>9</v>
      </c>
      <c r="J79" s="8" t="s">
        <v>9</v>
      </c>
      <c r="K79" s="8" t="s">
        <v>9</v>
      </c>
      <c r="L79" s="8" t="s">
        <v>1057</v>
      </c>
      <c r="M79" s="8" t="s">
        <v>1172</v>
      </c>
      <c r="N79" s="8" t="s">
        <v>9</v>
      </c>
      <c r="O79" s="8" t="s">
        <v>9</v>
      </c>
      <c r="P79" s="8" t="s">
        <v>1320</v>
      </c>
      <c r="Q79" s="8"/>
      <c r="R79" s="8" t="s">
        <v>111</v>
      </c>
      <c r="S79" s="8" t="s">
        <v>112</v>
      </c>
      <c r="T79" s="8"/>
      <c r="U79" s="8" t="s">
        <v>45</v>
      </c>
      <c r="V79" s="8" t="s">
        <v>1466</v>
      </c>
    </row>
    <row r="80" spans="1:22" ht="24" x14ac:dyDescent="0.3">
      <c r="A80" s="8" t="s">
        <v>1467</v>
      </c>
      <c r="B80" s="8" t="s">
        <v>9</v>
      </c>
      <c r="C80" s="10">
        <v>266572</v>
      </c>
      <c r="D80" s="8" t="s">
        <v>175</v>
      </c>
      <c r="E80" s="8" t="s">
        <v>9</v>
      </c>
      <c r="F80" s="8" t="s">
        <v>1318</v>
      </c>
      <c r="G80" s="8" t="s">
        <v>1032</v>
      </c>
      <c r="H80" s="8" t="s">
        <v>1319</v>
      </c>
      <c r="I80" s="8" t="s">
        <v>9</v>
      </c>
      <c r="J80" s="8" t="s">
        <v>9</v>
      </c>
      <c r="K80" s="8" t="s">
        <v>9</v>
      </c>
      <c r="L80" s="8" t="s">
        <v>1130</v>
      </c>
      <c r="M80" s="8" t="s">
        <v>1172</v>
      </c>
      <c r="N80" s="8" t="s">
        <v>9</v>
      </c>
      <c r="O80" s="8" t="s">
        <v>9</v>
      </c>
      <c r="P80" s="8" t="s">
        <v>1320</v>
      </c>
      <c r="Q80" s="8"/>
      <c r="R80" s="8" t="s">
        <v>111</v>
      </c>
      <c r="S80" s="8" t="s">
        <v>112</v>
      </c>
      <c r="T80" s="8"/>
      <c r="U80" s="8" t="s">
        <v>45</v>
      </c>
      <c r="V80" s="8" t="s">
        <v>1468</v>
      </c>
    </row>
    <row r="81" spans="1:22" ht="36" x14ac:dyDescent="0.3">
      <c r="A81" s="8" t="s">
        <v>1469</v>
      </c>
      <c r="B81" s="8" t="s">
        <v>9</v>
      </c>
      <c r="C81" s="10">
        <v>266572</v>
      </c>
      <c r="D81" s="8" t="s">
        <v>175</v>
      </c>
      <c r="E81" s="8" t="s">
        <v>9</v>
      </c>
      <c r="F81" s="8" t="s">
        <v>1318</v>
      </c>
      <c r="G81" s="8" t="s">
        <v>1041</v>
      </c>
      <c r="H81" s="8" t="s">
        <v>1319</v>
      </c>
      <c r="I81" s="8" t="s">
        <v>9</v>
      </c>
      <c r="J81" s="8" t="s">
        <v>9</v>
      </c>
      <c r="K81" s="8" t="s">
        <v>9</v>
      </c>
      <c r="L81" s="8" t="s">
        <v>1244</v>
      </c>
      <c r="M81" s="8" t="s">
        <v>1172</v>
      </c>
      <c r="N81" s="8" t="s">
        <v>9</v>
      </c>
      <c r="O81" s="8" t="s">
        <v>9</v>
      </c>
      <c r="P81" s="8" t="s">
        <v>1320</v>
      </c>
      <c r="Q81" s="8"/>
      <c r="R81" s="8" t="s">
        <v>111</v>
      </c>
      <c r="S81" s="8" t="s">
        <v>112</v>
      </c>
      <c r="T81" s="8"/>
      <c r="U81" s="8" t="s">
        <v>45</v>
      </c>
      <c r="V81" s="8" t="s">
        <v>1470</v>
      </c>
    </row>
    <row r="82" spans="1:22" ht="24" x14ac:dyDescent="0.3">
      <c r="A82" s="8" t="s">
        <v>1471</v>
      </c>
      <c r="B82" s="8" t="s">
        <v>9</v>
      </c>
      <c r="C82" s="10">
        <v>264528</v>
      </c>
      <c r="D82" s="8" t="s">
        <v>177</v>
      </c>
      <c r="E82" s="8" t="s">
        <v>9</v>
      </c>
      <c r="F82" s="8" t="s">
        <v>1318</v>
      </c>
      <c r="G82" s="8" t="s">
        <v>1079</v>
      </c>
      <c r="H82" s="8" t="s">
        <v>1319</v>
      </c>
      <c r="I82" s="8" t="s">
        <v>9</v>
      </c>
      <c r="J82" s="8" t="s">
        <v>9</v>
      </c>
      <c r="K82" s="8" t="s">
        <v>9</v>
      </c>
      <c r="L82" s="8" t="s">
        <v>1248</v>
      </c>
      <c r="M82" s="8" t="s">
        <v>1172</v>
      </c>
      <c r="N82" s="8" t="s">
        <v>9</v>
      </c>
      <c r="O82" s="8" t="s">
        <v>9</v>
      </c>
      <c r="P82" s="8" t="s">
        <v>1320</v>
      </c>
      <c r="Q82" s="8"/>
      <c r="R82" s="8" t="s">
        <v>111</v>
      </c>
      <c r="S82" s="8" t="s">
        <v>112</v>
      </c>
      <c r="T82" s="8"/>
      <c r="U82" s="8" t="s">
        <v>45</v>
      </c>
      <c r="V82" s="8" t="s">
        <v>1472</v>
      </c>
    </row>
    <row r="83" spans="1:22" ht="24" x14ac:dyDescent="0.3">
      <c r="A83" s="8" t="s">
        <v>1473</v>
      </c>
      <c r="B83" s="8" t="s">
        <v>9</v>
      </c>
      <c r="C83" s="10">
        <v>264528</v>
      </c>
      <c r="D83" s="8" t="s">
        <v>177</v>
      </c>
      <c r="E83" s="8" t="s">
        <v>9</v>
      </c>
      <c r="F83" s="8" t="s">
        <v>1318</v>
      </c>
      <c r="G83" s="8" t="s">
        <v>1032</v>
      </c>
      <c r="H83" s="8" t="s">
        <v>1319</v>
      </c>
      <c r="I83" s="8" t="s">
        <v>9</v>
      </c>
      <c r="J83" s="8" t="s">
        <v>9</v>
      </c>
      <c r="K83" s="8" t="s">
        <v>9</v>
      </c>
      <c r="L83" s="8" t="s">
        <v>1251</v>
      </c>
      <c r="M83" s="8" t="s">
        <v>1172</v>
      </c>
      <c r="N83" s="8" t="s">
        <v>9</v>
      </c>
      <c r="O83" s="8" t="s">
        <v>9</v>
      </c>
      <c r="P83" s="8" t="s">
        <v>1320</v>
      </c>
      <c r="Q83" s="8"/>
      <c r="R83" s="8" t="s">
        <v>111</v>
      </c>
      <c r="S83" s="8" t="s">
        <v>112</v>
      </c>
      <c r="T83" s="8"/>
      <c r="U83" s="8" t="s">
        <v>45</v>
      </c>
      <c r="V83" s="8" t="s">
        <v>1474</v>
      </c>
    </row>
    <row r="84" spans="1:22" ht="48" x14ac:dyDescent="0.3">
      <c r="A84" s="8" t="s">
        <v>1475</v>
      </c>
      <c r="B84" s="8" t="s">
        <v>9</v>
      </c>
      <c r="C84" s="10">
        <v>264528</v>
      </c>
      <c r="D84" s="8" t="s">
        <v>177</v>
      </c>
      <c r="E84" s="8" t="s">
        <v>9</v>
      </c>
      <c r="F84" s="8" t="s">
        <v>1318</v>
      </c>
      <c r="G84" s="8" t="s">
        <v>1041</v>
      </c>
      <c r="H84" s="8" t="s">
        <v>1319</v>
      </c>
      <c r="I84" s="8" t="s">
        <v>9</v>
      </c>
      <c r="J84" s="8" t="s">
        <v>9</v>
      </c>
      <c r="K84" s="8" t="s">
        <v>9</v>
      </c>
      <c r="L84" s="8" t="s">
        <v>1254</v>
      </c>
      <c r="M84" s="8" t="s">
        <v>1172</v>
      </c>
      <c r="N84" s="8" t="s">
        <v>9</v>
      </c>
      <c r="O84" s="8" t="s">
        <v>9</v>
      </c>
      <c r="P84" s="8" t="s">
        <v>1320</v>
      </c>
      <c r="Q84" s="8"/>
      <c r="R84" s="8" t="s">
        <v>111</v>
      </c>
      <c r="S84" s="8" t="s">
        <v>112</v>
      </c>
      <c r="T84" s="8"/>
      <c r="U84" s="8" t="s">
        <v>45</v>
      </c>
      <c r="V84" s="8" t="s">
        <v>1476</v>
      </c>
    </row>
    <row r="85" spans="1:22" ht="24" x14ac:dyDescent="0.3">
      <c r="A85" s="8" t="s">
        <v>1477</v>
      </c>
      <c r="B85" s="8" t="s">
        <v>9</v>
      </c>
      <c r="C85" s="10">
        <v>265784</v>
      </c>
      <c r="D85" s="8" t="s">
        <v>179</v>
      </c>
      <c r="E85" s="8" t="s">
        <v>9</v>
      </c>
      <c r="F85" s="8" t="s">
        <v>1318</v>
      </c>
      <c r="G85" s="8" t="s">
        <v>1032</v>
      </c>
      <c r="H85" s="8" t="s">
        <v>1319</v>
      </c>
      <c r="I85" s="8" t="s">
        <v>9</v>
      </c>
      <c r="J85" s="8" t="s">
        <v>9</v>
      </c>
      <c r="K85" s="8" t="s">
        <v>9</v>
      </c>
      <c r="L85" s="8" t="s">
        <v>1130</v>
      </c>
      <c r="M85" s="8" t="s">
        <v>1172</v>
      </c>
      <c r="N85" s="8" t="s">
        <v>9</v>
      </c>
      <c r="O85" s="8" t="s">
        <v>9</v>
      </c>
      <c r="P85" s="8" t="s">
        <v>1320</v>
      </c>
      <c r="Q85" s="8"/>
      <c r="R85" s="8" t="s">
        <v>111</v>
      </c>
      <c r="S85" s="8" t="s">
        <v>112</v>
      </c>
      <c r="T85" s="8"/>
      <c r="U85" s="8" t="s">
        <v>45</v>
      </c>
      <c r="V85" s="8" t="s">
        <v>1478</v>
      </c>
    </row>
    <row r="86" spans="1:22" ht="36" x14ac:dyDescent="0.3">
      <c r="A86" s="8" t="s">
        <v>1479</v>
      </c>
      <c r="B86" s="8" t="s">
        <v>9</v>
      </c>
      <c r="C86" s="10">
        <v>265784</v>
      </c>
      <c r="D86" s="8" t="s">
        <v>179</v>
      </c>
      <c r="E86" s="8" t="s">
        <v>9</v>
      </c>
      <c r="F86" s="8" t="s">
        <v>1318</v>
      </c>
      <c r="G86" s="8" t="s">
        <v>1041</v>
      </c>
      <c r="H86" s="8" t="s">
        <v>1319</v>
      </c>
      <c r="I86" s="8" t="s">
        <v>9</v>
      </c>
      <c r="J86" s="8" t="s">
        <v>9</v>
      </c>
      <c r="K86" s="8" t="s">
        <v>9</v>
      </c>
      <c r="L86" s="8" t="s">
        <v>1258</v>
      </c>
      <c r="M86" s="8" t="s">
        <v>1172</v>
      </c>
      <c r="N86" s="8" t="s">
        <v>9</v>
      </c>
      <c r="O86" s="8" t="s">
        <v>9</v>
      </c>
      <c r="P86" s="8" t="s">
        <v>1320</v>
      </c>
      <c r="Q86" s="8"/>
      <c r="R86" s="8" t="s">
        <v>111</v>
      </c>
      <c r="S86" s="8" t="s">
        <v>112</v>
      </c>
      <c r="T86" s="8"/>
      <c r="U86" s="8" t="s">
        <v>45</v>
      </c>
      <c r="V86" s="8" t="s">
        <v>1480</v>
      </c>
    </row>
    <row r="87" spans="1:22" ht="24" x14ac:dyDescent="0.3">
      <c r="A87" s="8" t="s">
        <v>1481</v>
      </c>
      <c r="B87" s="8" t="s">
        <v>9</v>
      </c>
      <c r="C87" s="10">
        <v>264292</v>
      </c>
      <c r="D87" s="8" t="s">
        <v>181</v>
      </c>
      <c r="E87" s="8" t="s">
        <v>9</v>
      </c>
      <c r="F87" s="8" t="s">
        <v>1318</v>
      </c>
      <c r="G87" s="8" t="s">
        <v>1032</v>
      </c>
      <c r="H87" s="8" t="s">
        <v>1319</v>
      </c>
      <c r="I87" s="8" t="s">
        <v>9</v>
      </c>
      <c r="J87" s="8" t="s">
        <v>9</v>
      </c>
      <c r="K87" s="8" t="s">
        <v>9</v>
      </c>
      <c r="L87" s="8" t="s">
        <v>1251</v>
      </c>
      <c r="M87" s="8" t="s">
        <v>1172</v>
      </c>
      <c r="N87" s="8" t="s">
        <v>9</v>
      </c>
      <c r="O87" s="8" t="s">
        <v>9</v>
      </c>
      <c r="P87" s="8" t="s">
        <v>1320</v>
      </c>
      <c r="Q87" s="8"/>
      <c r="R87" s="8" t="s">
        <v>111</v>
      </c>
      <c r="S87" s="8" t="s">
        <v>112</v>
      </c>
      <c r="T87" s="8"/>
      <c r="U87" s="8" t="s">
        <v>45</v>
      </c>
      <c r="V87" s="8" t="s">
        <v>1482</v>
      </c>
    </row>
    <row r="88" spans="1:22" ht="36" x14ac:dyDescent="0.3">
      <c r="A88" s="8" t="s">
        <v>1483</v>
      </c>
      <c r="B88" s="8" t="s">
        <v>9</v>
      </c>
      <c r="C88" s="10">
        <v>264292</v>
      </c>
      <c r="D88" s="8" t="s">
        <v>181</v>
      </c>
      <c r="E88" s="8" t="s">
        <v>9</v>
      </c>
      <c r="F88" s="8" t="s">
        <v>1318</v>
      </c>
      <c r="G88" s="8" t="s">
        <v>1041</v>
      </c>
      <c r="H88" s="8" t="s">
        <v>1319</v>
      </c>
      <c r="I88" s="8" t="s">
        <v>9</v>
      </c>
      <c r="J88" s="8" t="s">
        <v>9</v>
      </c>
      <c r="K88" s="8" t="s">
        <v>9</v>
      </c>
      <c r="L88" s="8" t="s">
        <v>1258</v>
      </c>
      <c r="M88" s="8" t="s">
        <v>1172</v>
      </c>
      <c r="N88" s="8" t="s">
        <v>9</v>
      </c>
      <c r="O88" s="8" t="s">
        <v>9</v>
      </c>
      <c r="P88" s="8" t="s">
        <v>1320</v>
      </c>
      <c r="Q88" s="8"/>
      <c r="R88" s="8" t="s">
        <v>111</v>
      </c>
      <c r="S88" s="8" t="s">
        <v>112</v>
      </c>
      <c r="T88" s="8"/>
      <c r="U88" s="8" t="s">
        <v>45</v>
      </c>
      <c r="V88" s="8" t="s">
        <v>1484</v>
      </c>
    </row>
    <row r="89" spans="1:22" ht="24" x14ac:dyDescent="0.3">
      <c r="A89" s="8" t="s">
        <v>1485</v>
      </c>
      <c r="B89" s="8" t="s">
        <v>9</v>
      </c>
      <c r="C89" s="10">
        <v>329797</v>
      </c>
      <c r="D89" s="8" t="s">
        <v>183</v>
      </c>
      <c r="E89" s="8" t="s">
        <v>9</v>
      </c>
      <c r="F89" s="8" t="s">
        <v>1318</v>
      </c>
      <c r="G89" s="8" t="s">
        <v>1032</v>
      </c>
      <c r="H89" s="8" t="s">
        <v>1319</v>
      </c>
      <c r="I89" s="8" t="s">
        <v>9</v>
      </c>
      <c r="J89" s="8" t="s">
        <v>9</v>
      </c>
      <c r="K89" s="8" t="s">
        <v>9</v>
      </c>
      <c r="L89" s="8" t="s">
        <v>1265</v>
      </c>
      <c r="M89" s="8" t="s">
        <v>1172</v>
      </c>
      <c r="N89" s="8" t="s">
        <v>9</v>
      </c>
      <c r="O89" s="8" t="s">
        <v>9</v>
      </c>
      <c r="P89" s="8" t="s">
        <v>1320</v>
      </c>
      <c r="Q89" s="8"/>
      <c r="R89" s="8" t="s">
        <v>111</v>
      </c>
      <c r="S89" s="8" t="s">
        <v>112</v>
      </c>
      <c r="T89" s="8"/>
      <c r="U89" s="8" t="s">
        <v>45</v>
      </c>
      <c r="V89" s="8" t="s">
        <v>1486</v>
      </c>
    </row>
    <row r="90" spans="1:22" ht="24" x14ac:dyDescent="0.3">
      <c r="A90" s="8" t="s">
        <v>1487</v>
      </c>
      <c r="B90" s="8" t="s">
        <v>9</v>
      </c>
      <c r="C90" s="10">
        <v>329797</v>
      </c>
      <c r="D90" s="8" t="s">
        <v>183</v>
      </c>
      <c r="E90" s="8" t="s">
        <v>9</v>
      </c>
      <c r="F90" s="8" t="s">
        <v>1318</v>
      </c>
      <c r="G90" s="8" t="s">
        <v>1041</v>
      </c>
      <c r="H90" s="8" t="s">
        <v>1319</v>
      </c>
      <c r="I90" s="8" t="s">
        <v>9</v>
      </c>
      <c r="J90" s="8" t="s">
        <v>9</v>
      </c>
      <c r="K90" s="8" t="s">
        <v>9</v>
      </c>
      <c r="L90" s="8" t="s">
        <v>1268</v>
      </c>
      <c r="M90" s="8" t="s">
        <v>1172</v>
      </c>
      <c r="N90" s="8" t="s">
        <v>9</v>
      </c>
      <c r="O90" s="8" t="s">
        <v>9</v>
      </c>
      <c r="P90" s="8" t="s">
        <v>1320</v>
      </c>
      <c r="Q90" s="8"/>
      <c r="R90" s="8" t="s">
        <v>111</v>
      </c>
      <c r="S90" s="8" t="s">
        <v>112</v>
      </c>
      <c r="T90" s="8"/>
      <c r="U90" s="8" t="s">
        <v>45</v>
      </c>
      <c r="V90" s="8" t="s">
        <v>1488</v>
      </c>
    </row>
    <row r="91" spans="1:22" ht="36" x14ac:dyDescent="0.3">
      <c r="A91" s="8" t="s">
        <v>1489</v>
      </c>
      <c r="B91" s="8" t="s">
        <v>9</v>
      </c>
      <c r="C91" s="10">
        <v>320521</v>
      </c>
      <c r="D91" s="8" t="s">
        <v>185</v>
      </c>
      <c r="E91" s="8" t="s">
        <v>9</v>
      </c>
      <c r="F91" s="8" t="s">
        <v>1325</v>
      </c>
      <c r="G91" s="8" t="s">
        <v>9</v>
      </c>
      <c r="H91" s="8" t="s">
        <v>9</v>
      </c>
      <c r="I91" s="8" t="s">
        <v>9</v>
      </c>
      <c r="J91" s="8" t="s">
        <v>9</v>
      </c>
      <c r="K91" s="8" t="s">
        <v>9</v>
      </c>
      <c r="L91" s="8" t="s">
        <v>9</v>
      </c>
      <c r="M91" s="8" t="s">
        <v>9</v>
      </c>
      <c r="N91" s="8" t="s">
        <v>9</v>
      </c>
      <c r="O91" s="8" t="s">
        <v>9</v>
      </c>
      <c r="P91" s="8" t="s">
        <v>1320</v>
      </c>
      <c r="Q91" s="8"/>
      <c r="R91" s="8" t="s">
        <v>111</v>
      </c>
      <c r="S91" s="8" t="s">
        <v>112</v>
      </c>
      <c r="T91" s="8"/>
      <c r="U91" s="8" t="s">
        <v>45</v>
      </c>
      <c r="V91" s="8" t="s">
        <v>1336</v>
      </c>
    </row>
    <row r="92" spans="1:22" ht="24" x14ac:dyDescent="0.3">
      <c r="A92" s="8" t="s">
        <v>1490</v>
      </c>
      <c r="B92" s="8" t="s">
        <v>9</v>
      </c>
      <c r="C92" s="10">
        <v>332626</v>
      </c>
      <c r="D92" s="8" t="s">
        <v>187</v>
      </c>
      <c r="E92" s="8" t="s">
        <v>9</v>
      </c>
      <c r="F92" s="8" t="s">
        <v>1325</v>
      </c>
      <c r="G92" s="8" t="s">
        <v>1047</v>
      </c>
      <c r="H92" s="8" t="s">
        <v>1319</v>
      </c>
      <c r="I92" s="8" t="s">
        <v>9</v>
      </c>
      <c r="J92" s="8" t="s">
        <v>9</v>
      </c>
      <c r="K92" s="8" t="s">
        <v>9</v>
      </c>
      <c r="L92" s="8" t="s">
        <v>1273</v>
      </c>
      <c r="M92" s="8" t="s">
        <v>1172</v>
      </c>
      <c r="N92" s="8" t="s">
        <v>9</v>
      </c>
      <c r="O92" s="8" t="s">
        <v>9</v>
      </c>
      <c r="P92" s="8" t="s">
        <v>1320</v>
      </c>
      <c r="Q92" s="8"/>
      <c r="R92" s="8" t="s">
        <v>111</v>
      </c>
      <c r="S92" s="8" t="s">
        <v>112</v>
      </c>
      <c r="T92" s="8"/>
      <c r="U92" s="8" t="s">
        <v>45</v>
      </c>
      <c r="V92" s="8" t="s">
        <v>1491</v>
      </c>
    </row>
    <row r="93" spans="1:22" ht="24" x14ac:dyDescent="0.3">
      <c r="A93" s="8" t="s">
        <v>1492</v>
      </c>
      <c r="B93" s="8" t="s">
        <v>9</v>
      </c>
      <c r="C93" s="10">
        <v>332626</v>
      </c>
      <c r="D93" s="8" t="s">
        <v>187</v>
      </c>
      <c r="E93" s="8" t="s">
        <v>9</v>
      </c>
      <c r="F93" s="8" t="s">
        <v>1325</v>
      </c>
      <c r="G93" s="8" t="s">
        <v>1047</v>
      </c>
      <c r="H93" s="8" t="s">
        <v>1319</v>
      </c>
      <c r="I93" s="8" t="s">
        <v>9</v>
      </c>
      <c r="J93" s="8" t="s">
        <v>9</v>
      </c>
      <c r="K93" s="8" t="s">
        <v>9</v>
      </c>
      <c r="L93" s="8" t="s">
        <v>1277</v>
      </c>
      <c r="M93" s="8" t="s">
        <v>1172</v>
      </c>
      <c r="N93" s="8" t="s">
        <v>9</v>
      </c>
      <c r="O93" s="8" t="s">
        <v>9</v>
      </c>
      <c r="P93" s="8" t="s">
        <v>1320</v>
      </c>
      <c r="Q93" s="8"/>
      <c r="R93" s="8" t="s">
        <v>111</v>
      </c>
      <c r="S93" s="8" t="s">
        <v>112</v>
      </c>
      <c r="T93" s="8"/>
      <c r="U93" s="8" t="s">
        <v>45</v>
      </c>
      <c r="V93" s="8" t="s">
        <v>1493</v>
      </c>
    </row>
    <row r="94" spans="1:22" ht="24" x14ac:dyDescent="0.3">
      <c r="A94" s="8" t="s">
        <v>1494</v>
      </c>
      <c r="B94" s="8" t="s">
        <v>9</v>
      </c>
      <c r="C94" s="10">
        <v>332626</v>
      </c>
      <c r="D94" s="8" t="s">
        <v>187</v>
      </c>
      <c r="E94" s="8" t="s">
        <v>9</v>
      </c>
      <c r="F94" s="8" t="s">
        <v>1318</v>
      </c>
      <c r="G94" s="8" t="s">
        <v>1032</v>
      </c>
      <c r="H94" s="8" t="s">
        <v>1319</v>
      </c>
      <c r="I94" s="8" t="s">
        <v>9</v>
      </c>
      <c r="J94" s="8" t="s">
        <v>9</v>
      </c>
      <c r="K94" s="8" t="s">
        <v>9</v>
      </c>
      <c r="L94" s="8" t="s">
        <v>1054</v>
      </c>
      <c r="M94" s="8" t="s">
        <v>1172</v>
      </c>
      <c r="N94" s="8" t="s">
        <v>9</v>
      </c>
      <c r="O94" s="8" t="s">
        <v>9</v>
      </c>
      <c r="P94" s="8" t="s">
        <v>1320</v>
      </c>
      <c r="Q94" s="8"/>
      <c r="R94" s="8" t="s">
        <v>111</v>
      </c>
      <c r="S94" s="8" t="s">
        <v>112</v>
      </c>
      <c r="T94" s="8"/>
      <c r="U94" s="8" t="s">
        <v>45</v>
      </c>
      <c r="V94" s="8" t="s">
        <v>1495</v>
      </c>
    </row>
    <row r="95" spans="1:22" ht="24" x14ac:dyDescent="0.3">
      <c r="A95" s="8" t="s">
        <v>1496</v>
      </c>
      <c r="B95" s="8" t="s">
        <v>9</v>
      </c>
      <c r="C95" s="10">
        <v>332626</v>
      </c>
      <c r="D95" s="8" t="s">
        <v>187</v>
      </c>
      <c r="E95" s="8" t="s">
        <v>9</v>
      </c>
      <c r="F95" s="8" t="s">
        <v>1318</v>
      </c>
      <c r="G95" s="8" t="s">
        <v>1041</v>
      </c>
      <c r="H95" s="8" t="s">
        <v>1319</v>
      </c>
      <c r="I95" s="8" t="s">
        <v>9</v>
      </c>
      <c r="J95" s="8" t="s">
        <v>9</v>
      </c>
      <c r="K95" s="8" t="s">
        <v>9</v>
      </c>
      <c r="L95" s="8" t="s">
        <v>1042</v>
      </c>
      <c r="M95" s="8" t="s">
        <v>1172</v>
      </c>
      <c r="N95" s="8" t="s">
        <v>9</v>
      </c>
      <c r="O95" s="8" t="s">
        <v>9</v>
      </c>
      <c r="P95" s="8" t="s">
        <v>1320</v>
      </c>
      <c r="Q95" s="8"/>
      <c r="R95" s="8" t="s">
        <v>111</v>
      </c>
      <c r="S95" s="8" t="s">
        <v>112</v>
      </c>
      <c r="T95" s="8"/>
      <c r="U95" s="8" t="s">
        <v>45</v>
      </c>
      <c r="V95" s="8" t="s">
        <v>1497</v>
      </c>
    </row>
    <row r="96" spans="1:22" ht="24" x14ac:dyDescent="0.3">
      <c r="A96" s="8" t="s">
        <v>1498</v>
      </c>
      <c r="B96" s="8" t="s">
        <v>9</v>
      </c>
      <c r="C96" s="10">
        <v>290127</v>
      </c>
      <c r="D96" s="8" t="s">
        <v>189</v>
      </c>
      <c r="E96" s="8" t="s">
        <v>9</v>
      </c>
      <c r="F96" s="8" t="s">
        <v>1318</v>
      </c>
      <c r="G96" s="8" t="s">
        <v>1032</v>
      </c>
      <c r="H96" s="8" t="s">
        <v>1319</v>
      </c>
      <c r="I96" s="8" t="s">
        <v>9</v>
      </c>
      <c r="J96" s="8" t="s">
        <v>9</v>
      </c>
      <c r="K96" s="8" t="s">
        <v>9</v>
      </c>
      <c r="L96" s="8" t="s">
        <v>1167</v>
      </c>
      <c r="M96" s="8" t="s">
        <v>1172</v>
      </c>
      <c r="N96" s="8" t="s">
        <v>9</v>
      </c>
      <c r="O96" s="8" t="s">
        <v>9</v>
      </c>
      <c r="P96" s="8" t="s">
        <v>1320</v>
      </c>
      <c r="Q96" s="8"/>
      <c r="R96" s="8" t="s">
        <v>111</v>
      </c>
      <c r="S96" s="8" t="s">
        <v>112</v>
      </c>
      <c r="T96" s="8"/>
      <c r="U96" s="8" t="s">
        <v>45</v>
      </c>
      <c r="V96" s="8" t="s">
        <v>1499</v>
      </c>
    </row>
    <row r="97" spans="1:22" ht="24" x14ac:dyDescent="0.3">
      <c r="A97" s="8" t="s">
        <v>1500</v>
      </c>
      <c r="B97" s="8" t="s">
        <v>9</v>
      </c>
      <c r="C97" s="10">
        <v>290127</v>
      </c>
      <c r="D97" s="8" t="s">
        <v>189</v>
      </c>
      <c r="E97" s="8" t="s">
        <v>9</v>
      </c>
      <c r="F97" s="8" t="s">
        <v>1318</v>
      </c>
      <c r="G97" s="8" t="s">
        <v>1041</v>
      </c>
      <c r="H97" s="8" t="s">
        <v>1319</v>
      </c>
      <c r="I97" s="8" t="s">
        <v>9</v>
      </c>
      <c r="J97" s="8" t="s">
        <v>9</v>
      </c>
      <c r="K97" s="8" t="s">
        <v>9</v>
      </c>
      <c r="L97" s="8" t="s">
        <v>1283</v>
      </c>
      <c r="M97" s="8" t="s">
        <v>1172</v>
      </c>
      <c r="N97" s="8" t="s">
        <v>9</v>
      </c>
      <c r="O97" s="8" t="s">
        <v>9</v>
      </c>
      <c r="P97" s="8" t="s">
        <v>1320</v>
      </c>
      <c r="Q97" s="8"/>
      <c r="R97" s="8" t="s">
        <v>111</v>
      </c>
      <c r="S97" s="8" t="s">
        <v>112</v>
      </c>
      <c r="T97" s="8"/>
      <c r="U97" s="8" t="s">
        <v>45</v>
      </c>
      <c r="V97" s="8" t="s">
        <v>1501</v>
      </c>
    </row>
    <row r="98" spans="1:22" ht="24" x14ac:dyDescent="0.3">
      <c r="A98" s="8" t="s">
        <v>1502</v>
      </c>
      <c r="B98" s="8" t="s">
        <v>9</v>
      </c>
      <c r="C98" s="10">
        <v>292722</v>
      </c>
      <c r="D98" s="8" t="s">
        <v>191</v>
      </c>
      <c r="E98" s="8" t="s">
        <v>9</v>
      </c>
      <c r="F98" s="8" t="s">
        <v>1318</v>
      </c>
      <c r="G98" s="8" t="s">
        <v>1032</v>
      </c>
      <c r="H98" s="8" t="s">
        <v>1319</v>
      </c>
      <c r="I98" s="8" t="s">
        <v>9</v>
      </c>
      <c r="J98" s="8" t="s">
        <v>9</v>
      </c>
      <c r="K98" s="8" t="s">
        <v>9</v>
      </c>
      <c r="L98" s="8" t="s">
        <v>1130</v>
      </c>
      <c r="M98" s="8" t="s">
        <v>1172</v>
      </c>
      <c r="N98" s="8" t="s">
        <v>9</v>
      </c>
      <c r="O98" s="8" t="s">
        <v>9</v>
      </c>
      <c r="P98" s="8" t="s">
        <v>1320</v>
      </c>
      <c r="Q98" s="8"/>
      <c r="R98" s="8" t="s">
        <v>111</v>
      </c>
      <c r="S98" s="8" t="s">
        <v>112</v>
      </c>
      <c r="T98" s="8"/>
      <c r="U98" s="8" t="s">
        <v>45</v>
      </c>
      <c r="V98" s="8" t="s">
        <v>1503</v>
      </c>
    </row>
    <row r="99" spans="1:22" ht="24" x14ac:dyDescent="0.3">
      <c r="A99" s="8" t="s">
        <v>1504</v>
      </c>
      <c r="B99" s="8" t="s">
        <v>9</v>
      </c>
      <c r="C99" s="10">
        <v>292722</v>
      </c>
      <c r="D99" s="8" t="s">
        <v>191</v>
      </c>
      <c r="E99" s="8" t="s">
        <v>9</v>
      </c>
      <c r="F99" s="8" t="s">
        <v>1318</v>
      </c>
      <c r="G99" s="8" t="s">
        <v>1041</v>
      </c>
      <c r="H99" s="8" t="s">
        <v>1319</v>
      </c>
      <c r="I99" s="8" t="s">
        <v>9</v>
      </c>
      <c r="J99" s="8" t="s">
        <v>9</v>
      </c>
      <c r="K99" s="8" t="s">
        <v>9</v>
      </c>
      <c r="L99" s="8" t="s">
        <v>1042</v>
      </c>
      <c r="M99" s="8" t="s">
        <v>1172</v>
      </c>
      <c r="N99" s="8" t="s">
        <v>9</v>
      </c>
      <c r="O99" s="8" t="s">
        <v>9</v>
      </c>
      <c r="P99" s="8" t="s">
        <v>1320</v>
      </c>
      <c r="Q99" s="8"/>
      <c r="R99" s="8" t="s">
        <v>111</v>
      </c>
      <c r="S99" s="8" t="s">
        <v>112</v>
      </c>
      <c r="T99" s="8"/>
      <c r="U99" s="8" t="s">
        <v>45</v>
      </c>
      <c r="V99" s="8" t="s">
        <v>1505</v>
      </c>
    </row>
    <row r="100" spans="1:22" ht="24" x14ac:dyDescent="0.3">
      <c r="A100" s="8" t="s">
        <v>1506</v>
      </c>
      <c r="B100" s="8" t="s">
        <v>9</v>
      </c>
      <c r="C100" s="10">
        <v>292722</v>
      </c>
      <c r="D100" s="8" t="s">
        <v>191</v>
      </c>
      <c r="E100" s="8" t="s">
        <v>9</v>
      </c>
      <c r="F100" s="8" t="s">
        <v>1318</v>
      </c>
      <c r="G100" s="8" t="s">
        <v>1079</v>
      </c>
      <c r="H100" s="8" t="s">
        <v>1319</v>
      </c>
      <c r="I100" s="8" t="s">
        <v>9</v>
      </c>
      <c r="J100" s="8" t="s">
        <v>9</v>
      </c>
      <c r="K100" s="8" t="s">
        <v>9</v>
      </c>
      <c r="L100" s="8" t="s">
        <v>1073</v>
      </c>
      <c r="M100" s="8" t="s">
        <v>1172</v>
      </c>
      <c r="N100" s="8" t="s">
        <v>9</v>
      </c>
      <c r="O100" s="8" t="s">
        <v>9</v>
      </c>
      <c r="P100" s="8" t="s">
        <v>1320</v>
      </c>
      <c r="Q100" s="8"/>
      <c r="R100" s="8" t="s">
        <v>111</v>
      </c>
      <c r="S100" s="8" t="s">
        <v>112</v>
      </c>
      <c r="T100" s="8"/>
      <c r="U100" s="8" t="s">
        <v>45</v>
      </c>
      <c r="V100" s="8" t="s">
        <v>1507</v>
      </c>
    </row>
    <row r="101" spans="1:22" ht="24" x14ac:dyDescent="0.3">
      <c r="A101" s="8" t="s">
        <v>1508</v>
      </c>
      <c r="B101" s="8" t="s">
        <v>9</v>
      </c>
      <c r="C101" s="10">
        <v>292722</v>
      </c>
      <c r="D101" s="8" t="s">
        <v>191</v>
      </c>
      <c r="E101" s="8" t="s">
        <v>9</v>
      </c>
      <c r="F101" s="8" t="s">
        <v>1318</v>
      </c>
      <c r="G101" s="8" t="s">
        <v>1032</v>
      </c>
      <c r="H101" s="8" t="s">
        <v>1319</v>
      </c>
      <c r="I101" s="8" t="s">
        <v>9</v>
      </c>
      <c r="J101" s="8" t="s">
        <v>9</v>
      </c>
      <c r="K101" s="8" t="s">
        <v>9</v>
      </c>
      <c r="L101" s="8" t="s">
        <v>1073</v>
      </c>
      <c r="M101" s="8" t="s">
        <v>1172</v>
      </c>
      <c r="N101" s="8" t="s">
        <v>9</v>
      </c>
      <c r="O101" s="8" t="s">
        <v>9</v>
      </c>
      <c r="P101" s="8" t="s">
        <v>1320</v>
      </c>
      <c r="Q101" s="8"/>
      <c r="R101" s="8" t="s">
        <v>111</v>
      </c>
      <c r="S101" s="8" t="s">
        <v>112</v>
      </c>
      <c r="T101" s="8"/>
      <c r="U101" s="8" t="s">
        <v>45</v>
      </c>
      <c r="V101" s="8" t="s">
        <v>1509</v>
      </c>
    </row>
    <row r="102" spans="1:22" ht="36" x14ac:dyDescent="0.3">
      <c r="A102" s="8" t="s">
        <v>1510</v>
      </c>
      <c r="B102" s="8" t="s">
        <v>9</v>
      </c>
      <c r="C102" s="10">
        <v>303264</v>
      </c>
      <c r="D102" s="8" t="s">
        <v>193</v>
      </c>
      <c r="E102" s="8" t="s">
        <v>9</v>
      </c>
      <c r="F102" s="8" t="s">
        <v>1325</v>
      </c>
      <c r="G102" s="8" t="s">
        <v>9</v>
      </c>
      <c r="H102" s="8" t="s">
        <v>9</v>
      </c>
      <c r="I102" s="8" t="s">
        <v>9</v>
      </c>
      <c r="J102" s="8" t="s">
        <v>9</v>
      </c>
      <c r="K102" s="8" t="s">
        <v>9</v>
      </c>
      <c r="L102" s="8" t="s">
        <v>9</v>
      </c>
      <c r="M102" s="8" t="s">
        <v>9</v>
      </c>
      <c r="N102" s="8" t="s">
        <v>9</v>
      </c>
      <c r="O102" s="8" t="s">
        <v>9</v>
      </c>
      <c r="P102" s="8" t="s">
        <v>1320</v>
      </c>
      <c r="Q102" s="8"/>
      <c r="R102" s="8" t="s">
        <v>111</v>
      </c>
      <c r="S102" s="8" t="s">
        <v>112</v>
      </c>
      <c r="T102" s="8"/>
      <c r="U102" s="8" t="s">
        <v>45</v>
      </c>
      <c r="V102" s="8" t="s">
        <v>1336</v>
      </c>
    </row>
    <row r="103" spans="1:22" ht="24" x14ac:dyDescent="0.3">
      <c r="A103" s="8" t="s">
        <v>1511</v>
      </c>
      <c r="B103" s="8" t="s">
        <v>9</v>
      </c>
      <c r="C103" s="10">
        <v>305162</v>
      </c>
      <c r="D103" s="8" t="s">
        <v>195</v>
      </c>
      <c r="E103" s="8" t="s">
        <v>9</v>
      </c>
      <c r="F103" s="8" t="s">
        <v>1353</v>
      </c>
      <c r="G103" s="8" t="s">
        <v>1292</v>
      </c>
      <c r="H103" s="8" t="s">
        <v>1319</v>
      </c>
      <c r="I103" s="8" t="s">
        <v>9</v>
      </c>
      <c r="J103" s="8" t="s">
        <v>9</v>
      </c>
      <c r="K103" s="8" t="s">
        <v>9</v>
      </c>
      <c r="L103" s="8" t="s">
        <v>9</v>
      </c>
      <c r="M103" s="8" t="s">
        <v>1172</v>
      </c>
      <c r="N103" s="8" t="s">
        <v>9</v>
      </c>
      <c r="O103" s="8" t="s">
        <v>9</v>
      </c>
      <c r="P103" s="8" t="s">
        <v>1320</v>
      </c>
      <c r="Q103" s="8"/>
      <c r="R103" s="8" t="s">
        <v>111</v>
      </c>
      <c r="S103" s="8" t="s">
        <v>112</v>
      </c>
      <c r="T103" s="8"/>
      <c r="U103" s="8" t="s">
        <v>45</v>
      </c>
      <c r="V103" s="8" t="s">
        <v>1512</v>
      </c>
    </row>
    <row r="104" spans="1:22" ht="24" x14ac:dyDescent="0.3">
      <c r="A104" s="8" t="s">
        <v>1513</v>
      </c>
      <c r="B104" s="8" t="s">
        <v>9</v>
      </c>
      <c r="C104" s="10">
        <v>305162</v>
      </c>
      <c r="D104" s="8" t="s">
        <v>195</v>
      </c>
      <c r="E104" s="8" t="s">
        <v>9</v>
      </c>
      <c r="F104" s="8" t="s">
        <v>1353</v>
      </c>
      <c r="G104" s="8" t="s">
        <v>1292</v>
      </c>
      <c r="H104" s="8" t="s">
        <v>1319</v>
      </c>
      <c r="I104" s="8" t="s">
        <v>9</v>
      </c>
      <c r="J104" s="8" t="s">
        <v>9</v>
      </c>
      <c r="K104" s="8" t="s">
        <v>9</v>
      </c>
      <c r="L104" s="8" t="s">
        <v>9</v>
      </c>
      <c r="M104" s="8" t="s">
        <v>1172</v>
      </c>
      <c r="N104" s="8" t="s">
        <v>9</v>
      </c>
      <c r="O104" s="8" t="s">
        <v>9</v>
      </c>
      <c r="P104" s="8" t="s">
        <v>1320</v>
      </c>
      <c r="Q104" s="8"/>
      <c r="R104" s="8" t="s">
        <v>111</v>
      </c>
      <c r="S104" s="8" t="s">
        <v>112</v>
      </c>
      <c r="T104" s="8"/>
      <c r="U104" s="8" t="s">
        <v>45</v>
      </c>
      <c r="V104" s="8" t="s">
        <v>1514</v>
      </c>
    </row>
    <row r="105" spans="1:22" ht="24" x14ac:dyDescent="0.3">
      <c r="A105" s="8" t="s">
        <v>1515</v>
      </c>
      <c r="B105" s="8" t="s">
        <v>9</v>
      </c>
      <c r="C105" s="10">
        <v>289953</v>
      </c>
      <c r="D105" s="8" t="s">
        <v>197</v>
      </c>
      <c r="E105" s="8" t="s">
        <v>9</v>
      </c>
      <c r="F105" s="8" t="s">
        <v>1318</v>
      </c>
      <c r="G105" s="8" t="s">
        <v>1032</v>
      </c>
      <c r="H105" s="8" t="s">
        <v>1319</v>
      </c>
      <c r="I105" s="8" t="s">
        <v>9</v>
      </c>
      <c r="J105" s="8" t="s">
        <v>9</v>
      </c>
      <c r="K105" s="8" t="s">
        <v>9</v>
      </c>
      <c r="L105" s="8" t="s">
        <v>1297</v>
      </c>
      <c r="M105" s="8" t="s">
        <v>1172</v>
      </c>
      <c r="N105" s="8" t="s">
        <v>9</v>
      </c>
      <c r="O105" s="8" t="s">
        <v>9</v>
      </c>
      <c r="P105" s="8" t="s">
        <v>1320</v>
      </c>
      <c r="Q105" s="8"/>
      <c r="R105" s="8" t="s">
        <v>111</v>
      </c>
      <c r="S105" s="8" t="s">
        <v>112</v>
      </c>
      <c r="T105" s="8"/>
      <c r="U105" s="8" t="s">
        <v>45</v>
      </c>
      <c r="V105" s="8" t="s">
        <v>1516</v>
      </c>
    </row>
    <row r="106" spans="1:22" ht="24" x14ac:dyDescent="0.3">
      <c r="A106" s="8" t="s">
        <v>1517</v>
      </c>
      <c r="B106" s="8" t="s">
        <v>9</v>
      </c>
      <c r="C106" s="10">
        <v>289953</v>
      </c>
      <c r="D106" s="8" t="s">
        <v>197</v>
      </c>
      <c r="E106" s="8" t="s">
        <v>9</v>
      </c>
      <c r="F106" s="8" t="s">
        <v>1318</v>
      </c>
      <c r="G106" s="8" t="s">
        <v>1041</v>
      </c>
      <c r="H106" s="8" t="s">
        <v>1319</v>
      </c>
      <c r="I106" s="8" t="s">
        <v>9</v>
      </c>
      <c r="J106" s="8" t="s">
        <v>9</v>
      </c>
      <c r="K106" s="8" t="s">
        <v>9</v>
      </c>
      <c r="L106" s="8" t="s">
        <v>1042</v>
      </c>
      <c r="M106" s="8" t="s">
        <v>1172</v>
      </c>
      <c r="N106" s="8" t="s">
        <v>9</v>
      </c>
      <c r="O106" s="8" t="s">
        <v>9</v>
      </c>
      <c r="P106" s="8" t="s">
        <v>1320</v>
      </c>
      <c r="Q106" s="8"/>
      <c r="R106" s="8" t="s">
        <v>111</v>
      </c>
      <c r="S106" s="8" t="s">
        <v>112</v>
      </c>
      <c r="T106" s="8"/>
      <c r="U106" s="8" t="s">
        <v>45</v>
      </c>
      <c r="V106" s="8" t="s">
        <v>1518</v>
      </c>
    </row>
    <row r="107" spans="1:22" ht="24" x14ac:dyDescent="0.3">
      <c r="A107" s="8" t="s">
        <v>1519</v>
      </c>
      <c r="B107" s="8" t="s">
        <v>9</v>
      </c>
      <c r="C107" s="10">
        <v>319331</v>
      </c>
      <c r="D107" s="8" t="s">
        <v>199</v>
      </c>
      <c r="E107" s="8" t="s">
        <v>9</v>
      </c>
      <c r="F107" s="8" t="s">
        <v>1318</v>
      </c>
      <c r="G107" s="8" t="s">
        <v>1032</v>
      </c>
      <c r="H107" s="8" t="s">
        <v>1319</v>
      </c>
      <c r="I107" s="8" t="s">
        <v>9</v>
      </c>
      <c r="J107" s="8" t="s">
        <v>9</v>
      </c>
      <c r="K107" s="8" t="s">
        <v>9</v>
      </c>
      <c r="L107" s="8" t="s">
        <v>1054</v>
      </c>
      <c r="M107" s="8" t="s">
        <v>1172</v>
      </c>
      <c r="N107" s="8" t="s">
        <v>9</v>
      </c>
      <c r="O107" s="8" t="s">
        <v>9</v>
      </c>
      <c r="P107" s="8" t="s">
        <v>1320</v>
      </c>
      <c r="Q107" s="8"/>
      <c r="R107" s="8" t="s">
        <v>111</v>
      </c>
      <c r="S107" s="8" t="s">
        <v>112</v>
      </c>
      <c r="T107" s="8"/>
      <c r="U107" s="8" t="s">
        <v>45</v>
      </c>
      <c r="V107" s="8" t="s">
        <v>1520</v>
      </c>
    </row>
    <row r="108" spans="1:22" ht="24" x14ac:dyDescent="0.3">
      <c r="A108" s="8" t="s">
        <v>1521</v>
      </c>
      <c r="B108" s="8" t="s">
        <v>9</v>
      </c>
      <c r="C108" s="10">
        <v>319331</v>
      </c>
      <c r="D108" s="8" t="s">
        <v>199</v>
      </c>
      <c r="E108" s="8" t="s">
        <v>9</v>
      </c>
      <c r="F108" s="8" t="s">
        <v>1318</v>
      </c>
      <c r="G108" s="8" t="s">
        <v>1041</v>
      </c>
      <c r="H108" s="8" t="s">
        <v>1319</v>
      </c>
      <c r="I108" s="8" t="s">
        <v>9</v>
      </c>
      <c r="J108" s="8" t="s">
        <v>9</v>
      </c>
      <c r="K108" s="8" t="s">
        <v>9</v>
      </c>
      <c r="L108" s="8" t="s">
        <v>1057</v>
      </c>
      <c r="M108" s="8" t="s">
        <v>1172</v>
      </c>
      <c r="N108" s="8" t="s">
        <v>9</v>
      </c>
      <c r="O108" s="8" t="s">
        <v>9</v>
      </c>
      <c r="P108" s="8" t="s">
        <v>1320</v>
      </c>
      <c r="Q108" s="8"/>
      <c r="R108" s="8" t="s">
        <v>111</v>
      </c>
      <c r="S108" s="8" t="s">
        <v>112</v>
      </c>
      <c r="T108" s="8"/>
      <c r="U108" s="8" t="s">
        <v>45</v>
      </c>
      <c r="V108" s="8" t="s">
        <v>1522</v>
      </c>
    </row>
  </sheetData>
  <mergeCells count="2">
    <mergeCell ref="A1:V1"/>
    <mergeCell ref="A2:V2"/>
  </mergeCells>
  <conditionalFormatting sqref="S5:S208">
    <cfRule type="cellIs" dxfId="101" priority="1" stopIfTrue="1" operator="equal">
      <formula>"Pass"</formula>
    </cfRule>
    <cfRule type="cellIs" dxfId="100" priority="2" stopIfTrue="1" operator="equal">
      <formula>"Fail"</formula>
    </cfRule>
    <cfRule type="cellIs" dxfId="99" priority="3" stopIfTrue="1" operator="equal">
      <formula>"Blocked"</formula>
    </cfRule>
    <cfRule type="cellIs" dxfId="98" priority="4" stopIfTrue="1" operator="equal">
      <formula>"In Progress"</formula>
    </cfRule>
    <cfRule type="cellIs" dxfId="97" priority="5" stopIfTrue="1" operator="equal">
      <formula>"Not Started"</formula>
    </cfRule>
    <cfRule type="cellIs" dxfId="96" priority="6" stopIfTrue="1" operator="equal">
      <formula>"N/A"</formula>
    </cfRule>
    <cfRule type="cellIs" dxfId="95" priority="7" stopIfTrue="1" operator="equal">
      <formula>"Ready"</formula>
    </cfRule>
    <cfRule type="cellIs" dxfId="94" priority="8" stopIfTrue="1" operator="equal">
      <formula>"Not Ready"</formula>
    </cfRule>
  </conditionalFormatting>
  <dataValidations count="3">
    <dataValidation type="list" allowBlank="1" showInputMessage="1" showErrorMessage="1" errorTitle="Invalid selection" error="Select a value from the dropdown list." sqref="F5:F208" xr:uid="{442D6135-8E5A-4B2F-9CB6-849B2A82DA8D}">
      <formula1>"Mbox Parameter,Profile Parameter,Identity,Page Context,Product Context,Application Context,Consent,Other"</formula1>
    </dataValidation>
    <dataValidation type="list" allowBlank="1" showInputMessage="1" showErrorMessage="1" errorTitle="Invalid selection" error="Select a value from the dropdown list." sqref="R5:R208" xr:uid="{16F7C09F-D494-440B-B4A6-AEA56984DD51}">
      <formula1>"Not Tested,Match,Mismatch,Blocked,N/A"</formula1>
    </dataValidation>
    <dataValidation type="list" allowBlank="1" showInputMessage="1" showErrorMessage="1" errorTitle="Invalid selection" error="Select a value from the dropdown list." sqref="S5:S208" xr:uid="{E5EA9C92-E409-4E71-9EEF-C038BB9C344E}">
      <formula1>"Not Started,In Progress,Pass,Fail,Blocked,N/A"</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CA9B4-0059-4815-9025-24BC67622451}">
  <dimension ref="A1:T117"/>
  <sheetViews>
    <sheetView showGridLines="0" zoomScale="70" zoomScaleNormal="70" workbookViewId="0">
      <pane xSplit="5" ySplit="4" topLeftCell="F5" activePane="bottomRight" state="frozenSplit"/>
      <selection pane="bottomLeft" activeCell="A5" sqref="A5"/>
      <selection pane="topRight" activeCell="F1" sqref="F1"/>
      <selection pane="bottomRight"/>
    </sheetView>
  </sheetViews>
  <sheetFormatPr defaultRowHeight="14.4" x14ac:dyDescent="0.3"/>
  <cols>
    <col min="1" max="1" width="16.77734375" customWidth="1"/>
    <col min="2" max="2" width="14.77734375" style="11" customWidth="1"/>
    <col min="3" max="3" width="34.77734375" customWidth="1"/>
    <col min="4" max="4" width="14.77734375" style="11" customWidth="1"/>
    <col min="5" max="5" width="30.77734375" customWidth="1"/>
    <col min="6" max="6" width="16.77734375" customWidth="1"/>
    <col min="7" max="7" width="48.77734375" customWidth="1"/>
    <col min="8" max="8" width="30.77734375" customWidth="1"/>
    <col min="9" max="9" width="18.77734375" customWidth="1"/>
    <col min="10" max="10" width="28.77734375" customWidth="1"/>
    <col min="11" max="11" width="22.77734375" customWidth="1"/>
    <col min="12" max="13" width="30.77734375" customWidth="1"/>
    <col min="14" max="15" width="42.77734375" customWidth="1"/>
    <col min="16" max="17" width="36.77734375" customWidth="1"/>
    <col min="18" max="18" width="16.77734375" customWidth="1"/>
    <col min="19" max="19" width="30.77734375" customWidth="1"/>
    <col min="20" max="20" width="42.77734375" customWidth="1"/>
  </cols>
  <sheetData>
    <row r="1" spans="1:20" ht="30" customHeight="1" x14ac:dyDescent="0.3">
      <c r="A1" s="1" t="s">
        <v>1006</v>
      </c>
      <c r="B1" s="1"/>
      <c r="C1" s="1"/>
      <c r="D1" s="1"/>
      <c r="E1" s="1"/>
      <c r="F1" s="1"/>
      <c r="G1" s="1"/>
      <c r="H1" s="1"/>
      <c r="I1" s="1"/>
      <c r="J1" s="1"/>
      <c r="K1" s="1"/>
      <c r="L1" s="1"/>
      <c r="M1" s="1"/>
      <c r="N1" s="1"/>
      <c r="O1" s="1"/>
      <c r="P1" s="1"/>
      <c r="Q1" s="1"/>
      <c r="R1" s="1"/>
      <c r="S1" s="1"/>
      <c r="T1" s="1"/>
    </row>
    <row r="2" spans="1:20" ht="28.05" customHeight="1" x14ac:dyDescent="0.3">
      <c r="A2" s="2" t="s">
        <v>1007</v>
      </c>
      <c r="B2" s="2"/>
      <c r="C2" s="2"/>
      <c r="D2" s="2"/>
      <c r="E2" s="2"/>
      <c r="F2" s="2"/>
      <c r="G2" s="2"/>
      <c r="H2" s="2"/>
      <c r="I2" s="2"/>
      <c r="J2" s="2"/>
      <c r="K2" s="2"/>
      <c r="L2" s="2"/>
      <c r="M2" s="2"/>
      <c r="N2" s="2"/>
      <c r="O2" s="2"/>
      <c r="P2" s="2"/>
      <c r="Q2" s="2"/>
      <c r="R2" s="2"/>
      <c r="S2" s="2"/>
      <c r="T2" s="2"/>
    </row>
    <row r="4" spans="1:20" ht="42" customHeight="1" x14ac:dyDescent="0.3">
      <c r="A4" s="7" t="s">
        <v>219</v>
      </c>
      <c r="B4" s="9" t="s">
        <v>92</v>
      </c>
      <c r="C4" s="7" t="s">
        <v>93</v>
      </c>
      <c r="D4" s="9" t="s">
        <v>1008</v>
      </c>
      <c r="E4" s="7" t="s">
        <v>1009</v>
      </c>
      <c r="F4" s="7" t="s">
        <v>1010</v>
      </c>
      <c r="G4" s="7" t="s">
        <v>1011</v>
      </c>
      <c r="H4" s="7" t="s">
        <v>1012</v>
      </c>
      <c r="I4" s="7" t="s">
        <v>1013</v>
      </c>
      <c r="J4" s="7" t="s">
        <v>1014</v>
      </c>
      <c r="K4" s="7" t="s">
        <v>1015</v>
      </c>
      <c r="L4" s="7" t="s">
        <v>1016</v>
      </c>
      <c r="M4" s="7" t="s">
        <v>1017</v>
      </c>
      <c r="N4" s="7" t="s">
        <v>1018</v>
      </c>
      <c r="O4" s="7" t="s">
        <v>1019</v>
      </c>
      <c r="P4" s="7" t="s">
        <v>1020</v>
      </c>
      <c r="Q4" s="7" t="s">
        <v>1021</v>
      </c>
      <c r="R4" s="7" t="s">
        <v>25</v>
      </c>
      <c r="S4" s="7" t="s">
        <v>107</v>
      </c>
      <c r="T4" s="7" t="s">
        <v>7</v>
      </c>
    </row>
    <row r="5" spans="1:20" ht="24" x14ac:dyDescent="0.3">
      <c r="A5" s="8" t="s">
        <v>1022</v>
      </c>
      <c r="B5" s="10">
        <v>238801</v>
      </c>
      <c r="C5" s="8" t="s">
        <v>110</v>
      </c>
      <c r="D5" s="10">
        <v>2625515</v>
      </c>
      <c r="E5" s="8" t="s">
        <v>1023</v>
      </c>
      <c r="F5" s="8" t="s">
        <v>1024</v>
      </c>
      <c r="G5" s="8" t="s">
        <v>9</v>
      </c>
      <c r="H5" s="8" t="s">
        <v>9</v>
      </c>
      <c r="I5" s="8" t="s">
        <v>9</v>
      </c>
      <c r="J5" s="8" t="s">
        <v>9</v>
      </c>
      <c r="K5" s="8" t="s">
        <v>9</v>
      </c>
      <c r="L5" s="8" t="s">
        <v>9</v>
      </c>
      <c r="M5" s="8" t="s">
        <v>9</v>
      </c>
      <c r="N5" s="8" t="s">
        <v>1025</v>
      </c>
      <c r="O5" s="8" t="s">
        <v>1026</v>
      </c>
      <c r="P5" s="8"/>
      <c r="Q5" s="8"/>
      <c r="R5" s="8" t="s">
        <v>112</v>
      </c>
      <c r="S5" s="8"/>
      <c r="T5" s="8" t="s">
        <v>1027</v>
      </c>
    </row>
    <row r="6" spans="1:20" ht="36" x14ac:dyDescent="0.3">
      <c r="A6" s="8" t="s">
        <v>1028</v>
      </c>
      <c r="B6" s="10">
        <v>238801</v>
      </c>
      <c r="C6" s="8" t="s">
        <v>110</v>
      </c>
      <c r="D6" s="10">
        <v>2625516</v>
      </c>
      <c r="E6" s="8" t="s">
        <v>1029</v>
      </c>
      <c r="F6" s="8" t="s">
        <v>1030</v>
      </c>
      <c r="G6" s="8" t="s">
        <v>1031</v>
      </c>
      <c r="H6" s="8" t="s">
        <v>1032</v>
      </c>
      <c r="I6" s="8" t="s">
        <v>1033</v>
      </c>
      <c r="J6" s="8" t="s">
        <v>1034</v>
      </c>
      <c r="K6" s="8" t="s">
        <v>1035</v>
      </c>
      <c r="L6" s="8" t="s">
        <v>9</v>
      </c>
      <c r="M6" s="8" t="s">
        <v>9</v>
      </c>
      <c r="N6" s="8" t="s">
        <v>1036</v>
      </c>
      <c r="O6" s="8" t="s">
        <v>1037</v>
      </c>
      <c r="P6" s="8"/>
      <c r="Q6" s="8"/>
      <c r="R6" s="8" t="s">
        <v>112</v>
      </c>
      <c r="S6" s="8"/>
      <c r="T6" s="8" t="s">
        <v>1038</v>
      </c>
    </row>
    <row r="7" spans="1:20" ht="36" x14ac:dyDescent="0.3">
      <c r="A7" s="8" t="s">
        <v>1039</v>
      </c>
      <c r="B7" s="10">
        <v>238801</v>
      </c>
      <c r="C7" s="8" t="s">
        <v>110</v>
      </c>
      <c r="D7" s="10">
        <v>2625516</v>
      </c>
      <c r="E7" s="8" t="s">
        <v>1029</v>
      </c>
      <c r="F7" s="8" t="s">
        <v>1030</v>
      </c>
      <c r="G7" s="8" t="s">
        <v>1040</v>
      </c>
      <c r="H7" s="8" t="s">
        <v>1041</v>
      </c>
      <c r="I7" s="8" t="s">
        <v>1033</v>
      </c>
      <c r="J7" s="8" t="s">
        <v>1042</v>
      </c>
      <c r="K7" s="8" t="s">
        <v>1035</v>
      </c>
      <c r="L7" s="8" t="s">
        <v>9</v>
      </c>
      <c r="M7" s="8" t="s">
        <v>9</v>
      </c>
      <c r="N7" s="8" t="s">
        <v>1036</v>
      </c>
      <c r="O7" s="8" t="s">
        <v>1037</v>
      </c>
      <c r="P7" s="8"/>
      <c r="Q7" s="8"/>
      <c r="R7" s="8" t="s">
        <v>112</v>
      </c>
      <c r="S7" s="8"/>
      <c r="T7" s="8" t="s">
        <v>1043</v>
      </c>
    </row>
    <row r="8" spans="1:20" ht="36" x14ac:dyDescent="0.3">
      <c r="A8" s="8" t="s">
        <v>1044</v>
      </c>
      <c r="B8" s="10">
        <v>238801</v>
      </c>
      <c r="C8" s="8" t="s">
        <v>110</v>
      </c>
      <c r="D8" s="10">
        <v>2625532</v>
      </c>
      <c r="E8" s="8" t="s">
        <v>1045</v>
      </c>
      <c r="F8" s="8" t="s">
        <v>1024</v>
      </c>
      <c r="G8" s="8" t="s">
        <v>1046</v>
      </c>
      <c r="H8" s="8" t="s">
        <v>1047</v>
      </c>
      <c r="I8" s="8" t="s">
        <v>1048</v>
      </c>
      <c r="J8" s="8" t="s">
        <v>1049</v>
      </c>
      <c r="K8" s="8" t="s">
        <v>1035</v>
      </c>
      <c r="L8" s="8" t="s">
        <v>9</v>
      </c>
      <c r="M8" s="8" t="s">
        <v>9</v>
      </c>
      <c r="N8" s="8" t="s">
        <v>1036</v>
      </c>
      <c r="O8" s="8" t="s">
        <v>1037</v>
      </c>
      <c r="P8" s="8"/>
      <c r="Q8" s="8"/>
      <c r="R8" s="8" t="s">
        <v>112</v>
      </c>
      <c r="S8" s="8"/>
      <c r="T8" s="8" t="s">
        <v>1050</v>
      </c>
    </row>
    <row r="9" spans="1:20" ht="36" x14ac:dyDescent="0.3">
      <c r="A9" s="8" t="s">
        <v>1051</v>
      </c>
      <c r="B9" s="10">
        <v>319925</v>
      </c>
      <c r="C9" s="8" t="s">
        <v>116</v>
      </c>
      <c r="D9" s="10">
        <v>3628737</v>
      </c>
      <c r="E9" s="8" t="s">
        <v>1052</v>
      </c>
      <c r="F9" s="8" t="s">
        <v>1030</v>
      </c>
      <c r="G9" s="8" t="s">
        <v>1053</v>
      </c>
      <c r="H9" s="8" t="s">
        <v>1032</v>
      </c>
      <c r="I9" s="8" t="s">
        <v>1033</v>
      </c>
      <c r="J9" s="8" t="s">
        <v>1054</v>
      </c>
      <c r="K9" s="8" t="s">
        <v>1035</v>
      </c>
      <c r="L9" s="8" t="s">
        <v>9</v>
      </c>
      <c r="M9" s="8" t="s">
        <v>9</v>
      </c>
      <c r="N9" s="8" t="s">
        <v>1036</v>
      </c>
      <c r="O9" s="8" t="s">
        <v>1037</v>
      </c>
      <c r="P9" s="8"/>
      <c r="Q9" s="8"/>
      <c r="R9" s="8" t="s">
        <v>112</v>
      </c>
      <c r="S9" s="8"/>
      <c r="T9" s="8" t="s">
        <v>1038</v>
      </c>
    </row>
    <row r="10" spans="1:20" ht="36" x14ac:dyDescent="0.3">
      <c r="A10" s="8" t="s">
        <v>1055</v>
      </c>
      <c r="B10" s="10">
        <v>319925</v>
      </c>
      <c r="C10" s="8" t="s">
        <v>116</v>
      </c>
      <c r="D10" s="10">
        <v>3628737</v>
      </c>
      <c r="E10" s="8" t="s">
        <v>1052</v>
      </c>
      <c r="F10" s="8" t="s">
        <v>1030</v>
      </c>
      <c r="G10" s="8" t="s">
        <v>1056</v>
      </c>
      <c r="H10" s="8" t="s">
        <v>1041</v>
      </c>
      <c r="I10" s="8" t="s">
        <v>1033</v>
      </c>
      <c r="J10" s="8" t="s">
        <v>1057</v>
      </c>
      <c r="K10" s="8" t="s">
        <v>1035</v>
      </c>
      <c r="L10" s="8" t="s">
        <v>9</v>
      </c>
      <c r="M10" s="8" t="s">
        <v>9</v>
      </c>
      <c r="N10" s="8" t="s">
        <v>1036</v>
      </c>
      <c r="O10" s="8" t="s">
        <v>1037</v>
      </c>
      <c r="P10" s="8"/>
      <c r="Q10" s="8"/>
      <c r="R10" s="8" t="s">
        <v>112</v>
      </c>
      <c r="S10" s="8"/>
      <c r="T10" s="8" t="s">
        <v>1043</v>
      </c>
    </row>
    <row r="11" spans="1:20" ht="36" x14ac:dyDescent="0.3">
      <c r="A11" s="8" t="s">
        <v>1058</v>
      </c>
      <c r="B11" s="10">
        <v>215656</v>
      </c>
      <c r="C11" s="8" t="s">
        <v>118</v>
      </c>
      <c r="D11" s="10">
        <v>2321320</v>
      </c>
      <c r="E11" s="8" t="s">
        <v>1029</v>
      </c>
      <c r="F11" s="8" t="s">
        <v>1030</v>
      </c>
      <c r="G11" s="8" t="s">
        <v>1059</v>
      </c>
      <c r="H11" s="8" t="s">
        <v>1032</v>
      </c>
      <c r="I11" s="8" t="s">
        <v>1033</v>
      </c>
      <c r="J11" s="8" t="s">
        <v>1060</v>
      </c>
      <c r="K11" s="8" t="s">
        <v>1035</v>
      </c>
      <c r="L11" s="8" t="s">
        <v>9</v>
      </c>
      <c r="M11" s="8" t="s">
        <v>9</v>
      </c>
      <c r="N11" s="8" t="s">
        <v>1036</v>
      </c>
      <c r="O11" s="8" t="s">
        <v>1037</v>
      </c>
      <c r="P11" s="8"/>
      <c r="Q11" s="8"/>
      <c r="R11" s="8" t="s">
        <v>112</v>
      </c>
      <c r="S11" s="8"/>
      <c r="T11" s="8" t="s">
        <v>1038</v>
      </c>
    </row>
    <row r="12" spans="1:20" ht="36" x14ac:dyDescent="0.3">
      <c r="A12" s="8" t="s">
        <v>1061</v>
      </c>
      <c r="B12" s="10">
        <v>215656</v>
      </c>
      <c r="C12" s="8" t="s">
        <v>118</v>
      </c>
      <c r="D12" s="10">
        <v>2321320</v>
      </c>
      <c r="E12" s="8" t="s">
        <v>1029</v>
      </c>
      <c r="F12" s="8" t="s">
        <v>1030</v>
      </c>
      <c r="G12" s="8" t="s">
        <v>1062</v>
      </c>
      <c r="H12" s="8" t="s">
        <v>1041</v>
      </c>
      <c r="I12" s="8" t="s">
        <v>1033</v>
      </c>
      <c r="J12" s="8" t="s">
        <v>1063</v>
      </c>
      <c r="K12" s="8" t="s">
        <v>1035</v>
      </c>
      <c r="L12" s="8" t="s">
        <v>9</v>
      </c>
      <c r="M12" s="8" t="s">
        <v>9</v>
      </c>
      <c r="N12" s="8" t="s">
        <v>1036</v>
      </c>
      <c r="O12" s="8" t="s">
        <v>1037</v>
      </c>
      <c r="P12" s="8"/>
      <c r="Q12" s="8"/>
      <c r="R12" s="8" t="s">
        <v>112</v>
      </c>
      <c r="S12" s="8"/>
      <c r="T12" s="8" t="s">
        <v>1043</v>
      </c>
    </row>
    <row r="13" spans="1:20" ht="24" x14ac:dyDescent="0.3">
      <c r="A13" s="8" t="s">
        <v>1064</v>
      </c>
      <c r="B13" s="10">
        <v>215656</v>
      </c>
      <c r="C13" s="8" t="s">
        <v>118</v>
      </c>
      <c r="D13" s="10">
        <v>2321342</v>
      </c>
      <c r="E13" s="8" t="s">
        <v>1065</v>
      </c>
      <c r="F13" s="8" t="s">
        <v>1024</v>
      </c>
      <c r="G13" s="8" t="s">
        <v>9</v>
      </c>
      <c r="H13" s="8" t="s">
        <v>9</v>
      </c>
      <c r="I13" s="8" t="s">
        <v>9</v>
      </c>
      <c r="J13" s="8" t="s">
        <v>9</v>
      </c>
      <c r="K13" s="8" t="s">
        <v>9</v>
      </c>
      <c r="L13" s="8" t="s">
        <v>9</v>
      </c>
      <c r="M13" s="8" t="s">
        <v>9</v>
      </c>
      <c r="N13" s="8" t="s">
        <v>1025</v>
      </c>
      <c r="O13" s="8" t="s">
        <v>1026</v>
      </c>
      <c r="P13" s="8"/>
      <c r="Q13" s="8"/>
      <c r="R13" s="8" t="s">
        <v>112</v>
      </c>
      <c r="S13" s="8"/>
      <c r="T13" s="8" t="s">
        <v>1027</v>
      </c>
    </row>
    <row r="14" spans="1:20" ht="24" x14ac:dyDescent="0.3">
      <c r="A14" s="8" t="s">
        <v>1066</v>
      </c>
      <c r="B14" s="10">
        <v>215656</v>
      </c>
      <c r="C14" s="8" t="s">
        <v>118</v>
      </c>
      <c r="D14" s="10">
        <v>2321343</v>
      </c>
      <c r="E14" s="8" t="s">
        <v>1067</v>
      </c>
      <c r="F14" s="8" t="s">
        <v>1024</v>
      </c>
      <c r="G14" s="8" t="s">
        <v>9</v>
      </c>
      <c r="H14" s="8" t="s">
        <v>9</v>
      </c>
      <c r="I14" s="8" t="s">
        <v>9</v>
      </c>
      <c r="J14" s="8" t="s">
        <v>9</v>
      </c>
      <c r="K14" s="8" t="s">
        <v>9</v>
      </c>
      <c r="L14" s="8" t="s">
        <v>9</v>
      </c>
      <c r="M14" s="8" t="s">
        <v>9</v>
      </c>
      <c r="N14" s="8" t="s">
        <v>1025</v>
      </c>
      <c r="O14" s="8" t="s">
        <v>1026</v>
      </c>
      <c r="P14" s="8"/>
      <c r="Q14" s="8"/>
      <c r="R14" s="8" t="s">
        <v>112</v>
      </c>
      <c r="S14" s="8"/>
      <c r="T14" s="8" t="s">
        <v>1027</v>
      </c>
    </row>
    <row r="15" spans="1:20" ht="24" x14ac:dyDescent="0.3">
      <c r="A15" s="8" t="s">
        <v>1068</v>
      </c>
      <c r="B15" s="10">
        <v>319918</v>
      </c>
      <c r="C15" s="8" t="s">
        <v>120</v>
      </c>
      <c r="D15" s="10" t="s">
        <v>9</v>
      </c>
      <c r="E15" s="8" t="s">
        <v>9</v>
      </c>
      <c r="F15" s="8" t="s">
        <v>1069</v>
      </c>
      <c r="G15" s="8" t="s">
        <v>9</v>
      </c>
      <c r="H15" s="8" t="s">
        <v>9</v>
      </c>
      <c r="I15" s="8" t="s">
        <v>9</v>
      </c>
      <c r="J15" s="8" t="s">
        <v>9</v>
      </c>
      <c r="K15" s="8" t="s">
        <v>9</v>
      </c>
      <c r="L15" s="8" t="s">
        <v>9</v>
      </c>
      <c r="M15" s="8" t="s">
        <v>9</v>
      </c>
      <c r="N15" s="8" t="s">
        <v>1025</v>
      </c>
      <c r="O15" s="8" t="s">
        <v>1026</v>
      </c>
      <c r="P15" s="8"/>
      <c r="Q15" s="8"/>
      <c r="R15" s="8" t="s">
        <v>112</v>
      </c>
      <c r="S15" s="8"/>
      <c r="T15" s="8" t="s">
        <v>1070</v>
      </c>
    </row>
    <row r="16" spans="1:20" ht="36" x14ac:dyDescent="0.3">
      <c r="A16" s="8" t="s">
        <v>1071</v>
      </c>
      <c r="B16" s="10">
        <v>276577</v>
      </c>
      <c r="C16" s="8" t="s">
        <v>123</v>
      </c>
      <c r="D16" s="10">
        <v>3113043</v>
      </c>
      <c r="E16" s="8" t="s">
        <v>1052</v>
      </c>
      <c r="F16" s="8" t="s">
        <v>1030</v>
      </c>
      <c r="G16" s="8" t="s">
        <v>1072</v>
      </c>
      <c r="H16" s="8" t="s">
        <v>1032</v>
      </c>
      <c r="I16" s="8" t="s">
        <v>1033</v>
      </c>
      <c r="J16" s="8" t="s">
        <v>1073</v>
      </c>
      <c r="K16" s="8" t="s">
        <v>1035</v>
      </c>
      <c r="L16" s="8" t="s">
        <v>9</v>
      </c>
      <c r="M16" s="8" t="s">
        <v>9</v>
      </c>
      <c r="N16" s="8" t="s">
        <v>1036</v>
      </c>
      <c r="O16" s="8" t="s">
        <v>1037</v>
      </c>
      <c r="P16" s="8"/>
      <c r="Q16" s="8"/>
      <c r="R16" s="8" t="s">
        <v>112</v>
      </c>
      <c r="S16" s="8"/>
      <c r="T16" s="8" t="s">
        <v>1074</v>
      </c>
    </row>
    <row r="17" spans="1:20" ht="36" x14ac:dyDescent="0.3">
      <c r="A17" s="8" t="s">
        <v>1075</v>
      </c>
      <c r="B17" s="10">
        <v>276577</v>
      </c>
      <c r="C17" s="8" t="s">
        <v>123</v>
      </c>
      <c r="D17" s="10">
        <v>3113043</v>
      </c>
      <c r="E17" s="8" t="s">
        <v>1052</v>
      </c>
      <c r="F17" s="8" t="s">
        <v>1030</v>
      </c>
      <c r="G17" s="8" t="s">
        <v>1040</v>
      </c>
      <c r="H17" s="8" t="s">
        <v>1041</v>
      </c>
      <c r="I17" s="8" t="s">
        <v>1033</v>
      </c>
      <c r="J17" s="8" t="s">
        <v>1042</v>
      </c>
      <c r="K17" s="8" t="s">
        <v>1035</v>
      </c>
      <c r="L17" s="8" t="s">
        <v>9</v>
      </c>
      <c r="M17" s="8" t="s">
        <v>9</v>
      </c>
      <c r="N17" s="8" t="s">
        <v>1036</v>
      </c>
      <c r="O17" s="8" t="s">
        <v>1037</v>
      </c>
      <c r="P17" s="8"/>
      <c r="Q17" s="8"/>
      <c r="R17" s="8" t="s">
        <v>112</v>
      </c>
      <c r="S17" s="8"/>
      <c r="T17" s="8" t="s">
        <v>1076</v>
      </c>
    </row>
    <row r="18" spans="1:20" ht="36" x14ac:dyDescent="0.3">
      <c r="A18" s="8" t="s">
        <v>1077</v>
      </c>
      <c r="B18" s="10">
        <v>276577</v>
      </c>
      <c r="C18" s="8" t="s">
        <v>123</v>
      </c>
      <c r="D18" s="10">
        <v>3113043</v>
      </c>
      <c r="E18" s="8" t="s">
        <v>1052</v>
      </c>
      <c r="F18" s="8" t="s">
        <v>1030</v>
      </c>
      <c r="G18" s="8" t="s">
        <v>1078</v>
      </c>
      <c r="H18" s="8" t="s">
        <v>1079</v>
      </c>
      <c r="I18" s="8" t="s">
        <v>1080</v>
      </c>
      <c r="J18" s="8" t="s">
        <v>1073</v>
      </c>
      <c r="K18" s="8" t="s">
        <v>1035</v>
      </c>
      <c r="L18" s="8" t="s">
        <v>9</v>
      </c>
      <c r="M18" s="8" t="s">
        <v>9</v>
      </c>
      <c r="N18" s="8" t="s">
        <v>1036</v>
      </c>
      <c r="O18" s="8" t="s">
        <v>1037</v>
      </c>
      <c r="P18" s="8"/>
      <c r="Q18" s="8"/>
      <c r="R18" s="8" t="s">
        <v>112</v>
      </c>
      <c r="S18" s="8"/>
      <c r="T18" s="8" t="s">
        <v>1081</v>
      </c>
    </row>
    <row r="19" spans="1:20" ht="24" x14ac:dyDescent="0.3">
      <c r="A19" s="8" t="s">
        <v>1082</v>
      </c>
      <c r="B19" s="10">
        <v>320308</v>
      </c>
      <c r="C19" s="8" t="s">
        <v>125</v>
      </c>
      <c r="D19" s="10" t="s">
        <v>9</v>
      </c>
      <c r="E19" s="8" t="s">
        <v>9</v>
      </c>
      <c r="F19" s="8" t="s">
        <v>1069</v>
      </c>
      <c r="G19" s="8" t="s">
        <v>9</v>
      </c>
      <c r="H19" s="8" t="s">
        <v>9</v>
      </c>
      <c r="I19" s="8" t="s">
        <v>9</v>
      </c>
      <c r="J19" s="8" t="s">
        <v>9</v>
      </c>
      <c r="K19" s="8" t="s">
        <v>9</v>
      </c>
      <c r="L19" s="8" t="s">
        <v>9</v>
      </c>
      <c r="M19" s="8" t="s">
        <v>9</v>
      </c>
      <c r="N19" s="8" t="s">
        <v>1025</v>
      </c>
      <c r="O19" s="8" t="s">
        <v>1026</v>
      </c>
      <c r="P19" s="8"/>
      <c r="Q19" s="8"/>
      <c r="R19" s="8" t="s">
        <v>112</v>
      </c>
      <c r="S19" s="8"/>
      <c r="T19" s="8" t="s">
        <v>1070</v>
      </c>
    </row>
    <row r="20" spans="1:20" ht="24" x14ac:dyDescent="0.3">
      <c r="A20" s="8" t="s">
        <v>1083</v>
      </c>
      <c r="B20" s="10">
        <v>315721</v>
      </c>
      <c r="C20" s="8" t="s">
        <v>127</v>
      </c>
      <c r="D20" s="10">
        <v>3579933</v>
      </c>
      <c r="E20" s="8" t="s">
        <v>1084</v>
      </c>
      <c r="F20" s="8" t="s">
        <v>1024</v>
      </c>
      <c r="G20" s="8" t="s">
        <v>9</v>
      </c>
      <c r="H20" s="8" t="s">
        <v>9</v>
      </c>
      <c r="I20" s="8" t="s">
        <v>9</v>
      </c>
      <c r="J20" s="8" t="s">
        <v>9</v>
      </c>
      <c r="K20" s="8" t="s">
        <v>9</v>
      </c>
      <c r="L20" s="8" t="s">
        <v>9</v>
      </c>
      <c r="M20" s="8" t="s">
        <v>9</v>
      </c>
      <c r="N20" s="8" t="s">
        <v>1025</v>
      </c>
      <c r="O20" s="8" t="s">
        <v>1026</v>
      </c>
      <c r="P20" s="8"/>
      <c r="Q20" s="8"/>
      <c r="R20" s="8" t="s">
        <v>112</v>
      </c>
      <c r="S20" s="8"/>
      <c r="T20" s="8" t="s">
        <v>1027</v>
      </c>
    </row>
    <row r="21" spans="1:20" ht="36" x14ac:dyDescent="0.3">
      <c r="A21" s="8" t="s">
        <v>1085</v>
      </c>
      <c r="B21" s="10">
        <v>315721</v>
      </c>
      <c r="C21" s="8" t="s">
        <v>127</v>
      </c>
      <c r="D21" s="10">
        <v>3579967</v>
      </c>
      <c r="E21" s="8" t="s">
        <v>1052</v>
      </c>
      <c r="F21" s="8" t="s">
        <v>1030</v>
      </c>
      <c r="G21" s="8" t="s">
        <v>1086</v>
      </c>
      <c r="H21" s="8" t="s">
        <v>1032</v>
      </c>
      <c r="I21" s="8" t="s">
        <v>1033</v>
      </c>
      <c r="J21" s="8" t="s">
        <v>1087</v>
      </c>
      <c r="K21" s="8" t="s">
        <v>1035</v>
      </c>
      <c r="L21" s="8" t="s">
        <v>9</v>
      </c>
      <c r="M21" s="8" t="s">
        <v>9</v>
      </c>
      <c r="N21" s="8" t="s">
        <v>1036</v>
      </c>
      <c r="O21" s="8" t="s">
        <v>1037</v>
      </c>
      <c r="P21" s="8"/>
      <c r="Q21" s="8"/>
      <c r="R21" s="8" t="s">
        <v>112</v>
      </c>
      <c r="S21" s="8"/>
      <c r="T21" s="8" t="s">
        <v>1038</v>
      </c>
    </row>
    <row r="22" spans="1:20" ht="36" x14ac:dyDescent="0.3">
      <c r="A22" s="8" t="s">
        <v>1088</v>
      </c>
      <c r="B22" s="10">
        <v>315721</v>
      </c>
      <c r="C22" s="8" t="s">
        <v>127</v>
      </c>
      <c r="D22" s="10">
        <v>3579967</v>
      </c>
      <c r="E22" s="8" t="s">
        <v>1052</v>
      </c>
      <c r="F22" s="8" t="s">
        <v>1030</v>
      </c>
      <c r="G22" s="8" t="s">
        <v>1089</v>
      </c>
      <c r="H22" s="8" t="s">
        <v>1041</v>
      </c>
      <c r="I22" s="8" t="s">
        <v>1033</v>
      </c>
      <c r="J22" s="8" t="s">
        <v>1090</v>
      </c>
      <c r="K22" s="8" t="s">
        <v>1035</v>
      </c>
      <c r="L22" s="8" t="s">
        <v>9</v>
      </c>
      <c r="M22" s="8" t="s">
        <v>9</v>
      </c>
      <c r="N22" s="8" t="s">
        <v>1036</v>
      </c>
      <c r="O22" s="8" t="s">
        <v>1037</v>
      </c>
      <c r="P22" s="8"/>
      <c r="Q22" s="8"/>
      <c r="R22" s="8" t="s">
        <v>112</v>
      </c>
      <c r="S22" s="8"/>
      <c r="T22" s="8" t="s">
        <v>1043</v>
      </c>
    </row>
    <row r="23" spans="1:20" ht="24" x14ac:dyDescent="0.3">
      <c r="A23" s="8" t="s">
        <v>1091</v>
      </c>
      <c r="B23" s="10">
        <v>315721</v>
      </c>
      <c r="C23" s="8" t="s">
        <v>127</v>
      </c>
      <c r="D23" s="10">
        <v>3590354</v>
      </c>
      <c r="E23" s="8" t="s">
        <v>1092</v>
      </c>
      <c r="F23" s="8" t="s">
        <v>1024</v>
      </c>
      <c r="G23" s="8" t="s">
        <v>9</v>
      </c>
      <c r="H23" s="8" t="s">
        <v>9</v>
      </c>
      <c r="I23" s="8" t="s">
        <v>9</v>
      </c>
      <c r="J23" s="8" t="s">
        <v>9</v>
      </c>
      <c r="K23" s="8" t="s">
        <v>9</v>
      </c>
      <c r="L23" s="8" t="s">
        <v>9</v>
      </c>
      <c r="M23" s="8" t="s">
        <v>9</v>
      </c>
      <c r="N23" s="8" t="s">
        <v>1025</v>
      </c>
      <c r="O23" s="8" t="s">
        <v>1026</v>
      </c>
      <c r="P23" s="8"/>
      <c r="Q23" s="8"/>
      <c r="R23" s="8" t="s">
        <v>112</v>
      </c>
      <c r="S23" s="8"/>
      <c r="T23" s="8" t="s">
        <v>1027</v>
      </c>
    </row>
    <row r="24" spans="1:20" ht="24" x14ac:dyDescent="0.3">
      <c r="A24" s="8" t="s">
        <v>1093</v>
      </c>
      <c r="B24" s="10">
        <v>315721</v>
      </c>
      <c r="C24" s="8" t="s">
        <v>127</v>
      </c>
      <c r="D24" s="10">
        <v>3590357</v>
      </c>
      <c r="E24" s="8" t="s">
        <v>1094</v>
      </c>
      <c r="F24" s="8" t="s">
        <v>1024</v>
      </c>
      <c r="G24" s="8" t="s">
        <v>9</v>
      </c>
      <c r="H24" s="8" t="s">
        <v>9</v>
      </c>
      <c r="I24" s="8" t="s">
        <v>9</v>
      </c>
      <c r="J24" s="8" t="s">
        <v>9</v>
      </c>
      <c r="K24" s="8" t="s">
        <v>9</v>
      </c>
      <c r="L24" s="8" t="s">
        <v>9</v>
      </c>
      <c r="M24" s="8" t="s">
        <v>9</v>
      </c>
      <c r="N24" s="8" t="s">
        <v>1025</v>
      </c>
      <c r="O24" s="8" t="s">
        <v>1026</v>
      </c>
      <c r="P24" s="8"/>
      <c r="Q24" s="8"/>
      <c r="R24" s="8" t="s">
        <v>112</v>
      </c>
      <c r="S24" s="8"/>
      <c r="T24" s="8" t="s">
        <v>1027</v>
      </c>
    </row>
    <row r="25" spans="1:20" ht="24" x14ac:dyDescent="0.3">
      <c r="A25" s="8" t="s">
        <v>1095</v>
      </c>
      <c r="B25" s="10">
        <v>315721</v>
      </c>
      <c r="C25" s="8" t="s">
        <v>127</v>
      </c>
      <c r="D25" s="10">
        <v>3592993</v>
      </c>
      <c r="E25" s="8" t="s">
        <v>1096</v>
      </c>
      <c r="F25" s="8" t="s">
        <v>1024</v>
      </c>
      <c r="G25" s="8" t="s">
        <v>9</v>
      </c>
      <c r="H25" s="8" t="s">
        <v>9</v>
      </c>
      <c r="I25" s="8" t="s">
        <v>9</v>
      </c>
      <c r="J25" s="8" t="s">
        <v>9</v>
      </c>
      <c r="K25" s="8" t="s">
        <v>9</v>
      </c>
      <c r="L25" s="8" t="s">
        <v>9</v>
      </c>
      <c r="M25" s="8" t="s">
        <v>9</v>
      </c>
      <c r="N25" s="8" t="s">
        <v>1025</v>
      </c>
      <c r="O25" s="8" t="s">
        <v>1026</v>
      </c>
      <c r="P25" s="8"/>
      <c r="Q25" s="8"/>
      <c r="R25" s="8" t="s">
        <v>112</v>
      </c>
      <c r="S25" s="8"/>
      <c r="T25" s="8" t="s">
        <v>1027</v>
      </c>
    </row>
    <row r="26" spans="1:20" ht="36" x14ac:dyDescent="0.3">
      <c r="A26" s="8" t="s">
        <v>1097</v>
      </c>
      <c r="B26" s="10">
        <v>273952</v>
      </c>
      <c r="C26" s="8" t="s">
        <v>129</v>
      </c>
      <c r="D26" s="10">
        <v>3077294</v>
      </c>
      <c r="E26" s="8" t="s">
        <v>1052</v>
      </c>
      <c r="F26" s="8" t="s">
        <v>1030</v>
      </c>
      <c r="G26" s="8" t="s">
        <v>1098</v>
      </c>
      <c r="H26" s="8" t="s">
        <v>1032</v>
      </c>
      <c r="I26" s="8" t="s">
        <v>1033</v>
      </c>
      <c r="J26" s="8" t="s">
        <v>1099</v>
      </c>
      <c r="K26" s="8" t="s">
        <v>1035</v>
      </c>
      <c r="L26" s="8" t="s">
        <v>9</v>
      </c>
      <c r="M26" s="8" t="s">
        <v>9</v>
      </c>
      <c r="N26" s="8" t="s">
        <v>1036</v>
      </c>
      <c r="O26" s="8" t="s">
        <v>1037</v>
      </c>
      <c r="P26" s="8"/>
      <c r="Q26" s="8"/>
      <c r="R26" s="8" t="s">
        <v>112</v>
      </c>
      <c r="S26" s="8"/>
      <c r="T26" s="8" t="s">
        <v>1038</v>
      </c>
    </row>
    <row r="27" spans="1:20" ht="36" x14ac:dyDescent="0.3">
      <c r="A27" s="8" t="s">
        <v>1100</v>
      </c>
      <c r="B27" s="10">
        <v>273952</v>
      </c>
      <c r="C27" s="8" t="s">
        <v>129</v>
      </c>
      <c r="D27" s="10">
        <v>3077294</v>
      </c>
      <c r="E27" s="8" t="s">
        <v>1052</v>
      </c>
      <c r="F27" s="8" t="s">
        <v>1030</v>
      </c>
      <c r="G27" s="8" t="s">
        <v>1040</v>
      </c>
      <c r="H27" s="8" t="s">
        <v>1041</v>
      </c>
      <c r="I27" s="8" t="s">
        <v>1033</v>
      </c>
      <c r="J27" s="8" t="s">
        <v>1042</v>
      </c>
      <c r="K27" s="8" t="s">
        <v>1035</v>
      </c>
      <c r="L27" s="8" t="s">
        <v>9</v>
      </c>
      <c r="M27" s="8" t="s">
        <v>9</v>
      </c>
      <c r="N27" s="8" t="s">
        <v>1036</v>
      </c>
      <c r="O27" s="8" t="s">
        <v>1037</v>
      </c>
      <c r="P27" s="8"/>
      <c r="Q27" s="8"/>
      <c r="R27" s="8" t="s">
        <v>112</v>
      </c>
      <c r="S27" s="8"/>
      <c r="T27" s="8" t="s">
        <v>1043</v>
      </c>
    </row>
    <row r="28" spans="1:20" ht="36" x14ac:dyDescent="0.3">
      <c r="A28" s="8" t="s">
        <v>1101</v>
      </c>
      <c r="B28" s="10">
        <v>273952</v>
      </c>
      <c r="C28" s="8" t="s">
        <v>129</v>
      </c>
      <c r="D28" s="10">
        <v>3077299</v>
      </c>
      <c r="E28" s="8" t="s">
        <v>1102</v>
      </c>
      <c r="F28" s="8" t="s">
        <v>1030</v>
      </c>
      <c r="G28" s="8" t="s">
        <v>1103</v>
      </c>
      <c r="H28" s="8" t="s">
        <v>1104</v>
      </c>
      <c r="I28" s="8" t="s">
        <v>1105</v>
      </c>
      <c r="J28" s="8"/>
      <c r="K28" s="8" t="s">
        <v>1035</v>
      </c>
      <c r="L28" s="8" t="s">
        <v>9</v>
      </c>
      <c r="M28" s="8" t="s">
        <v>9</v>
      </c>
      <c r="N28" s="8" t="s">
        <v>1036</v>
      </c>
      <c r="O28" s="8" t="s">
        <v>1037</v>
      </c>
      <c r="P28" s="8"/>
      <c r="Q28" s="8"/>
      <c r="R28" s="8" t="s">
        <v>112</v>
      </c>
      <c r="S28" s="8"/>
      <c r="T28" s="8" t="s">
        <v>1050</v>
      </c>
    </row>
    <row r="29" spans="1:20" ht="36" x14ac:dyDescent="0.3">
      <c r="A29" s="8" t="s">
        <v>1106</v>
      </c>
      <c r="B29" s="10">
        <v>297212</v>
      </c>
      <c r="C29" s="8" t="s">
        <v>131</v>
      </c>
      <c r="D29" s="10">
        <v>3366129</v>
      </c>
      <c r="E29" s="8" t="s">
        <v>1052</v>
      </c>
      <c r="F29" s="8" t="s">
        <v>1030</v>
      </c>
      <c r="G29" s="8" t="s">
        <v>1107</v>
      </c>
      <c r="H29" s="8" t="s">
        <v>1032</v>
      </c>
      <c r="I29" s="8" t="s">
        <v>1033</v>
      </c>
      <c r="J29" s="8" t="s">
        <v>1108</v>
      </c>
      <c r="K29" s="8" t="s">
        <v>1035</v>
      </c>
      <c r="L29" s="8" t="s">
        <v>9</v>
      </c>
      <c r="M29" s="8" t="s">
        <v>9</v>
      </c>
      <c r="N29" s="8" t="s">
        <v>1036</v>
      </c>
      <c r="O29" s="8" t="s">
        <v>1037</v>
      </c>
      <c r="P29" s="8"/>
      <c r="Q29" s="8"/>
      <c r="R29" s="8" t="s">
        <v>112</v>
      </c>
      <c r="S29" s="8"/>
      <c r="T29" s="8" t="s">
        <v>1038</v>
      </c>
    </row>
    <row r="30" spans="1:20" ht="36" x14ac:dyDescent="0.3">
      <c r="A30" s="8" t="s">
        <v>1109</v>
      </c>
      <c r="B30" s="10">
        <v>297212</v>
      </c>
      <c r="C30" s="8" t="s">
        <v>131</v>
      </c>
      <c r="D30" s="10">
        <v>3366129</v>
      </c>
      <c r="E30" s="8" t="s">
        <v>1052</v>
      </c>
      <c r="F30" s="8" t="s">
        <v>1030</v>
      </c>
      <c r="G30" s="8" t="s">
        <v>1040</v>
      </c>
      <c r="H30" s="8" t="s">
        <v>1041</v>
      </c>
      <c r="I30" s="8" t="s">
        <v>1033</v>
      </c>
      <c r="J30" s="8" t="s">
        <v>1042</v>
      </c>
      <c r="K30" s="8" t="s">
        <v>1035</v>
      </c>
      <c r="L30" s="8" t="s">
        <v>9</v>
      </c>
      <c r="M30" s="8" t="s">
        <v>9</v>
      </c>
      <c r="N30" s="8" t="s">
        <v>1036</v>
      </c>
      <c r="O30" s="8" t="s">
        <v>1037</v>
      </c>
      <c r="P30" s="8"/>
      <c r="Q30" s="8"/>
      <c r="R30" s="8" t="s">
        <v>112</v>
      </c>
      <c r="S30" s="8"/>
      <c r="T30" s="8" t="s">
        <v>1043</v>
      </c>
    </row>
    <row r="31" spans="1:20" ht="36" x14ac:dyDescent="0.3">
      <c r="A31" s="8" t="s">
        <v>1110</v>
      </c>
      <c r="B31" s="10">
        <v>300954</v>
      </c>
      <c r="C31" s="8" t="s">
        <v>133</v>
      </c>
      <c r="D31" s="10">
        <v>3327195</v>
      </c>
      <c r="E31" s="8" t="s">
        <v>1111</v>
      </c>
      <c r="F31" s="8" t="s">
        <v>1024</v>
      </c>
      <c r="G31" s="8" t="s">
        <v>1112</v>
      </c>
      <c r="H31" s="8" t="s">
        <v>1113</v>
      </c>
      <c r="I31" s="8" t="s">
        <v>1105</v>
      </c>
      <c r="J31" s="8"/>
      <c r="K31" s="8" t="s">
        <v>1035</v>
      </c>
      <c r="L31" s="8" t="s">
        <v>9</v>
      </c>
      <c r="M31" s="8" t="s">
        <v>9</v>
      </c>
      <c r="N31" s="8" t="s">
        <v>1036</v>
      </c>
      <c r="O31" s="8" t="s">
        <v>1037</v>
      </c>
      <c r="P31" s="8"/>
      <c r="Q31" s="8"/>
      <c r="R31" s="8" t="s">
        <v>112</v>
      </c>
      <c r="S31" s="8"/>
      <c r="T31" s="8" t="s">
        <v>1114</v>
      </c>
    </row>
    <row r="32" spans="1:20" ht="36" x14ac:dyDescent="0.3">
      <c r="A32" s="8" t="s">
        <v>1115</v>
      </c>
      <c r="B32" s="10">
        <v>300954</v>
      </c>
      <c r="C32" s="8" t="s">
        <v>133</v>
      </c>
      <c r="D32" s="10">
        <v>3327195</v>
      </c>
      <c r="E32" s="8" t="s">
        <v>1111</v>
      </c>
      <c r="F32" s="8" t="s">
        <v>1024</v>
      </c>
      <c r="G32" s="8" t="s">
        <v>1116</v>
      </c>
      <c r="H32" s="8" t="s">
        <v>1113</v>
      </c>
      <c r="I32" s="8" t="s">
        <v>1105</v>
      </c>
      <c r="J32" s="8"/>
      <c r="K32" s="8" t="s">
        <v>1035</v>
      </c>
      <c r="L32" s="8" t="s">
        <v>9</v>
      </c>
      <c r="M32" s="8" t="s">
        <v>9</v>
      </c>
      <c r="N32" s="8" t="s">
        <v>1036</v>
      </c>
      <c r="O32" s="8" t="s">
        <v>1037</v>
      </c>
      <c r="P32" s="8"/>
      <c r="Q32" s="8"/>
      <c r="R32" s="8" t="s">
        <v>112</v>
      </c>
      <c r="S32" s="8"/>
      <c r="T32" s="8" t="s">
        <v>1081</v>
      </c>
    </row>
    <row r="33" spans="1:20" ht="36" x14ac:dyDescent="0.3">
      <c r="A33" s="8" t="s">
        <v>1117</v>
      </c>
      <c r="B33" s="10">
        <v>300954</v>
      </c>
      <c r="C33" s="8" t="s">
        <v>133</v>
      </c>
      <c r="D33" s="10">
        <v>3327196</v>
      </c>
      <c r="E33" s="8" t="s">
        <v>1118</v>
      </c>
      <c r="F33" s="8" t="s">
        <v>1024</v>
      </c>
      <c r="G33" s="8" t="s">
        <v>1112</v>
      </c>
      <c r="H33" s="8" t="s">
        <v>1113</v>
      </c>
      <c r="I33" s="8" t="s">
        <v>1105</v>
      </c>
      <c r="J33" s="8"/>
      <c r="K33" s="8" t="s">
        <v>1035</v>
      </c>
      <c r="L33" s="8" t="s">
        <v>9</v>
      </c>
      <c r="M33" s="8" t="s">
        <v>9</v>
      </c>
      <c r="N33" s="8" t="s">
        <v>1036</v>
      </c>
      <c r="O33" s="8" t="s">
        <v>1037</v>
      </c>
      <c r="P33" s="8"/>
      <c r="Q33" s="8"/>
      <c r="R33" s="8" t="s">
        <v>112</v>
      </c>
      <c r="S33" s="8"/>
      <c r="T33" s="8" t="s">
        <v>1114</v>
      </c>
    </row>
    <row r="34" spans="1:20" ht="36" x14ac:dyDescent="0.3">
      <c r="A34" s="8" t="s">
        <v>1119</v>
      </c>
      <c r="B34" s="10">
        <v>300954</v>
      </c>
      <c r="C34" s="8" t="s">
        <v>133</v>
      </c>
      <c r="D34" s="10">
        <v>3327196</v>
      </c>
      <c r="E34" s="8" t="s">
        <v>1118</v>
      </c>
      <c r="F34" s="8" t="s">
        <v>1024</v>
      </c>
      <c r="G34" s="8" t="s">
        <v>1116</v>
      </c>
      <c r="H34" s="8" t="s">
        <v>1113</v>
      </c>
      <c r="I34" s="8" t="s">
        <v>1105</v>
      </c>
      <c r="J34" s="8"/>
      <c r="K34" s="8" t="s">
        <v>1035</v>
      </c>
      <c r="L34" s="8" t="s">
        <v>9</v>
      </c>
      <c r="M34" s="8" t="s">
        <v>9</v>
      </c>
      <c r="N34" s="8" t="s">
        <v>1036</v>
      </c>
      <c r="O34" s="8" t="s">
        <v>1037</v>
      </c>
      <c r="P34" s="8"/>
      <c r="Q34" s="8"/>
      <c r="R34" s="8" t="s">
        <v>112</v>
      </c>
      <c r="S34" s="8"/>
      <c r="T34" s="8" t="s">
        <v>1081</v>
      </c>
    </row>
    <row r="35" spans="1:20" ht="36" x14ac:dyDescent="0.3">
      <c r="A35" s="8" t="s">
        <v>1120</v>
      </c>
      <c r="B35" s="10">
        <v>234366</v>
      </c>
      <c r="C35" s="8" t="s">
        <v>135</v>
      </c>
      <c r="D35" s="10">
        <v>2567148</v>
      </c>
      <c r="E35" s="8" t="s">
        <v>1029</v>
      </c>
      <c r="F35" s="8" t="s">
        <v>1030</v>
      </c>
      <c r="G35" s="8" t="s">
        <v>1121</v>
      </c>
      <c r="H35" s="8" t="s">
        <v>1032</v>
      </c>
      <c r="I35" s="8" t="s">
        <v>1033</v>
      </c>
      <c r="J35" s="8" t="s">
        <v>1122</v>
      </c>
      <c r="K35" s="8" t="s">
        <v>1035</v>
      </c>
      <c r="L35" s="8" t="s">
        <v>9</v>
      </c>
      <c r="M35" s="8" t="s">
        <v>9</v>
      </c>
      <c r="N35" s="8" t="s">
        <v>1036</v>
      </c>
      <c r="O35" s="8" t="s">
        <v>1037</v>
      </c>
      <c r="P35" s="8"/>
      <c r="Q35" s="8"/>
      <c r="R35" s="8" t="s">
        <v>112</v>
      </c>
      <c r="S35" s="8"/>
      <c r="T35" s="8" t="s">
        <v>1074</v>
      </c>
    </row>
    <row r="36" spans="1:20" ht="36" x14ac:dyDescent="0.3">
      <c r="A36" s="8" t="s">
        <v>1123</v>
      </c>
      <c r="B36" s="10">
        <v>234366</v>
      </c>
      <c r="C36" s="8" t="s">
        <v>135</v>
      </c>
      <c r="D36" s="10">
        <v>2567148</v>
      </c>
      <c r="E36" s="8" t="s">
        <v>1029</v>
      </c>
      <c r="F36" s="8" t="s">
        <v>1030</v>
      </c>
      <c r="G36" s="8" t="s">
        <v>1124</v>
      </c>
      <c r="H36" s="8" t="s">
        <v>1041</v>
      </c>
      <c r="I36" s="8" t="s">
        <v>1033</v>
      </c>
      <c r="J36" s="8" t="s">
        <v>1125</v>
      </c>
      <c r="K36" s="8" t="s">
        <v>1035</v>
      </c>
      <c r="L36" s="8" t="s">
        <v>9</v>
      </c>
      <c r="M36" s="8" t="s">
        <v>9</v>
      </c>
      <c r="N36" s="8" t="s">
        <v>1036</v>
      </c>
      <c r="O36" s="8" t="s">
        <v>1037</v>
      </c>
      <c r="P36" s="8"/>
      <c r="Q36" s="8"/>
      <c r="R36" s="8" t="s">
        <v>112</v>
      </c>
      <c r="S36" s="8"/>
      <c r="T36" s="8" t="s">
        <v>1076</v>
      </c>
    </row>
    <row r="37" spans="1:20" ht="36" x14ac:dyDescent="0.3">
      <c r="A37" s="8" t="s">
        <v>1126</v>
      </c>
      <c r="B37" s="10">
        <v>234366</v>
      </c>
      <c r="C37" s="8" t="s">
        <v>135</v>
      </c>
      <c r="D37" s="10">
        <v>2567148</v>
      </c>
      <c r="E37" s="8" t="s">
        <v>1029</v>
      </c>
      <c r="F37" s="8" t="s">
        <v>1030</v>
      </c>
      <c r="G37" s="8" t="s">
        <v>1127</v>
      </c>
      <c r="H37" s="8" t="s">
        <v>1079</v>
      </c>
      <c r="I37" s="8" t="s">
        <v>1105</v>
      </c>
      <c r="J37" s="8"/>
      <c r="K37" s="8" t="s">
        <v>1035</v>
      </c>
      <c r="L37" s="8" t="s">
        <v>9</v>
      </c>
      <c r="M37" s="8" t="s">
        <v>9</v>
      </c>
      <c r="N37" s="8" t="s">
        <v>1036</v>
      </c>
      <c r="O37" s="8" t="s">
        <v>1037</v>
      </c>
      <c r="P37" s="8"/>
      <c r="Q37" s="8"/>
      <c r="R37" s="8" t="s">
        <v>112</v>
      </c>
      <c r="S37" s="8"/>
      <c r="T37" s="8" t="s">
        <v>1081</v>
      </c>
    </row>
    <row r="38" spans="1:20" ht="36" x14ac:dyDescent="0.3">
      <c r="A38" s="8" t="s">
        <v>1128</v>
      </c>
      <c r="B38" s="10">
        <v>293981</v>
      </c>
      <c r="C38" s="8" t="s">
        <v>137</v>
      </c>
      <c r="D38" s="10">
        <v>3331104</v>
      </c>
      <c r="E38" s="8" t="s">
        <v>1052</v>
      </c>
      <c r="F38" s="8" t="s">
        <v>1030</v>
      </c>
      <c r="G38" s="8" t="s">
        <v>1129</v>
      </c>
      <c r="H38" s="8" t="s">
        <v>1032</v>
      </c>
      <c r="I38" s="8" t="s">
        <v>1033</v>
      </c>
      <c r="J38" s="8" t="s">
        <v>1130</v>
      </c>
      <c r="K38" s="8" t="s">
        <v>1035</v>
      </c>
      <c r="L38" s="8" t="s">
        <v>9</v>
      </c>
      <c r="M38" s="8" t="s">
        <v>9</v>
      </c>
      <c r="N38" s="8" t="s">
        <v>1036</v>
      </c>
      <c r="O38" s="8" t="s">
        <v>1037</v>
      </c>
      <c r="P38" s="8"/>
      <c r="Q38" s="8"/>
      <c r="R38" s="8" t="s">
        <v>112</v>
      </c>
      <c r="S38" s="8"/>
      <c r="T38" s="8" t="s">
        <v>1074</v>
      </c>
    </row>
    <row r="39" spans="1:20" ht="36" x14ac:dyDescent="0.3">
      <c r="A39" s="8" t="s">
        <v>1131</v>
      </c>
      <c r="B39" s="10">
        <v>293981</v>
      </c>
      <c r="C39" s="8" t="s">
        <v>137</v>
      </c>
      <c r="D39" s="10">
        <v>3331104</v>
      </c>
      <c r="E39" s="8" t="s">
        <v>1052</v>
      </c>
      <c r="F39" s="8" t="s">
        <v>1030</v>
      </c>
      <c r="G39" s="8" t="s">
        <v>1040</v>
      </c>
      <c r="H39" s="8" t="s">
        <v>1041</v>
      </c>
      <c r="I39" s="8" t="s">
        <v>1033</v>
      </c>
      <c r="J39" s="8" t="s">
        <v>1042</v>
      </c>
      <c r="K39" s="8" t="s">
        <v>1035</v>
      </c>
      <c r="L39" s="8" t="s">
        <v>9</v>
      </c>
      <c r="M39" s="8" t="s">
        <v>9</v>
      </c>
      <c r="N39" s="8" t="s">
        <v>1036</v>
      </c>
      <c r="O39" s="8" t="s">
        <v>1037</v>
      </c>
      <c r="P39" s="8"/>
      <c r="Q39" s="8"/>
      <c r="R39" s="8" t="s">
        <v>112</v>
      </c>
      <c r="S39" s="8"/>
      <c r="T39" s="8" t="s">
        <v>1076</v>
      </c>
    </row>
    <row r="40" spans="1:20" ht="36" x14ac:dyDescent="0.3">
      <c r="A40" s="8" t="s">
        <v>1132</v>
      </c>
      <c r="B40" s="10">
        <v>293981</v>
      </c>
      <c r="C40" s="8" t="s">
        <v>137</v>
      </c>
      <c r="D40" s="10">
        <v>3331104</v>
      </c>
      <c r="E40" s="8" t="s">
        <v>1052</v>
      </c>
      <c r="F40" s="8" t="s">
        <v>1030</v>
      </c>
      <c r="G40" s="8" t="s">
        <v>1133</v>
      </c>
      <c r="H40" s="8" t="s">
        <v>1079</v>
      </c>
      <c r="I40" s="8" t="s">
        <v>1080</v>
      </c>
      <c r="J40" s="8" t="s">
        <v>1130</v>
      </c>
      <c r="K40" s="8" t="s">
        <v>1035</v>
      </c>
      <c r="L40" s="8" t="s">
        <v>9</v>
      </c>
      <c r="M40" s="8" t="s">
        <v>9</v>
      </c>
      <c r="N40" s="8" t="s">
        <v>1036</v>
      </c>
      <c r="O40" s="8" t="s">
        <v>1037</v>
      </c>
      <c r="P40" s="8"/>
      <c r="Q40" s="8"/>
      <c r="R40" s="8" t="s">
        <v>112</v>
      </c>
      <c r="S40" s="8"/>
      <c r="T40" s="8" t="s">
        <v>1081</v>
      </c>
    </row>
    <row r="41" spans="1:20" ht="36" x14ac:dyDescent="0.3">
      <c r="A41" s="8" t="s">
        <v>1134</v>
      </c>
      <c r="B41" s="10">
        <v>293981</v>
      </c>
      <c r="C41" s="8" t="s">
        <v>137</v>
      </c>
      <c r="D41" s="10">
        <v>3331549</v>
      </c>
      <c r="E41" s="8" t="s">
        <v>1135</v>
      </c>
      <c r="F41" s="8" t="s">
        <v>1030</v>
      </c>
      <c r="G41" s="8" t="s">
        <v>1136</v>
      </c>
      <c r="H41" s="8" t="s">
        <v>1137</v>
      </c>
      <c r="I41" s="8" t="s">
        <v>1048</v>
      </c>
      <c r="J41" s="8" t="s">
        <v>1138</v>
      </c>
      <c r="K41" s="8" t="s">
        <v>1035</v>
      </c>
      <c r="L41" s="8" t="s">
        <v>9</v>
      </c>
      <c r="M41" s="8" t="s">
        <v>9</v>
      </c>
      <c r="N41" s="8" t="s">
        <v>1036</v>
      </c>
      <c r="O41" s="8" t="s">
        <v>1037</v>
      </c>
      <c r="P41" s="8"/>
      <c r="Q41" s="8"/>
      <c r="R41" s="8" t="s">
        <v>112</v>
      </c>
      <c r="S41" s="8"/>
      <c r="T41" s="8" t="s">
        <v>1038</v>
      </c>
    </row>
    <row r="42" spans="1:20" ht="36" x14ac:dyDescent="0.3">
      <c r="A42" s="8" t="s">
        <v>1139</v>
      </c>
      <c r="B42" s="10">
        <v>293981</v>
      </c>
      <c r="C42" s="8" t="s">
        <v>137</v>
      </c>
      <c r="D42" s="10">
        <v>3331549</v>
      </c>
      <c r="E42" s="8" t="s">
        <v>1135</v>
      </c>
      <c r="F42" s="8" t="s">
        <v>1030</v>
      </c>
      <c r="G42" s="8" t="s">
        <v>1140</v>
      </c>
      <c r="H42" s="8" t="s">
        <v>1041</v>
      </c>
      <c r="I42" s="8" t="s">
        <v>1080</v>
      </c>
      <c r="J42" s="8" t="s">
        <v>1141</v>
      </c>
      <c r="K42" s="8" t="s">
        <v>1035</v>
      </c>
      <c r="L42" s="8" t="s">
        <v>9</v>
      </c>
      <c r="M42" s="8" t="s">
        <v>9</v>
      </c>
      <c r="N42" s="8" t="s">
        <v>1036</v>
      </c>
      <c r="O42" s="8" t="s">
        <v>1037</v>
      </c>
      <c r="P42" s="8"/>
      <c r="Q42" s="8"/>
      <c r="R42" s="8" t="s">
        <v>112</v>
      </c>
      <c r="S42" s="8"/>
      <c r="T42" s="8" t="s">
        <v>1043</v>
      </c>
    </row>
    <row r="43" spans="1:20" ht="36" x14ac:dyDescent="0.3">
      <c r="A43" s="8" t="s">
        <v>1142</v>
      </c>
      <c r="B43" s="10">
        <v>293981</v>
      </c>
      <c r="C43" s="8" t="s">
        <v>137</v>
      </c>
      <c r="D43" s="10">
        <v>3331549</v>
      </c>
      <c r="E43" s="8" t="s">
        <v>1135</v>
      </c>
      <c r="F43" s="8" t="s">
        <v>1030</v>
      </c>
      <c r="G43" s="8" t="s">
        <v>1143</v>
      </c>
      <c r="H43" s="8" t="s">
        <v>1041</v>
      </c>
      <c r="I43" s="8" t="s">
        <v>1080</v>
      </c>
      <c r="J43" s="8" t="s">
        <v>1144</v>
      </c>
      <c r="K43" s="8" t="s">
        <v>1035</v>
      </c>
      <c r="L43" s="8" t="s">
        <v>9</v>
      </c>
      <c r="M43" s="8" t="s">
        <v>9</v>
      </c>
      <c r="N43" s="8" t="s">
        <v>1036</v>
      </c>
      <c r="O43" s="8" t="s">
        <v>1037</v>
      </c>
      <c r="P43" s="8"/>
      <c r="Q43" s="8"/>
      <c r="R43" s="8" t="s">
        <v>112</v>
      </c>
      <c r="S43" s="8"/>
      <c r="T43" s="8" t="s">
        <v>1145</v>
      </c>
    </row>
    <row r="44" spans="1:20" ht="36" x14ac:dyDescent="0.3">
      <c r="A44" s="8" t="s">
        <v>1146</v>
      </c>
      <c r="B44" s="10">
        <v>292990</v>
      </c>
      <c r="C44" s="8" t="s">
        <v>139</v>
      </c>
      <c r="D44" s="10">
        <v>3319837</v>
      </c>
      <c r="E44" s="8" t="s">
        <v>1147</v>
      </c>
      <c r="F44" s="8" t="s">
        <v>1024</v>
      </c>
      <c r="G44" s="8" t="s">
        <v>1148</v>
      </c>
      <c r="H44" s="8" t="s">
        <v>1079</v>
      </c>
      <c r="I44" s="8" t="s">
        <v>1080</v>
      </c>
      <c r="J44" s="8" t="s">
        <v>1149</v>
      </c>
      <c r="K44" s="8" t="s">
        <v>1035</v>
      </c>
      <c r="L44" s="8" t="s">
        <v>9</v>
      </c>
      <c r="M44" s="8" t="s">
        <v>9</v>
      </c>
      <c r="N44" s="8" t="s">
        <v>1036</v>
      </c>
      <c r="O44" s="8" t="s">
        <v>1037</v>
      </c>
      <c r="P44" s="8"/>
      <c r="Q44" s="8"/>
      <c r="R44" s="8" t="s">
        <v>112</v>
      </c>
      <c r="S44" s="8"/>
      <c r="T44" s="8" t="s">
        <v>1050</v>
      </c>
    </row>
    <row r="45" spans="1:20" ht="36" x14ac:dyDescent="0.3">
      <c r="A45" s="8" t="s">
        <v>1150</v>
      </c>
      <c r="B45" s="10">
        <v>292990</v>
      </c>
      <c r="C45" s="8" t="s">
        <v>139</v>
      </c>
      <c r="D45" s="10">
        <v>3319837</v>
      </c>
      <c r="E45" s="8" t="s">
        <v>1147</v>
      </c>
      <c r="F45" s="8" t="s">
        <v>1030</v>
      </c>
      <c r="G45" s="8" t="s">
        <v>1148</v>
      </c>
      <c r="H45" s="8" t="s">
        <v>1079</v>
      </c>
      <c r="I45" s="8" t="s">
        <v>1080</v>
      </c>
      <c r="J45" s="8" t="s">
        <v>1149</v>
      </c>
      <c r="K45" s="8" t="s">
        <v>1035</v>
      </c>
      <c r="L45" s="8" t="s">
        <v>9</v>
      </c>
      <c r="M45" s="8" t="s">
        <v>9</v>
      </c>
      <c r="N45" s="8" t="s">
        <v>1036</v>
      </c>
      <c r="O45" s="8" t="s">
        <v>1037</v>
      </c>
      <c r="P45" s="8"/>
      <c r="Q45" s="8"/>
      <c r="R45" s="8" t="s">
        <v>112</v>
      </c>
      <c r="S45" s="8"/>
      <c r="T45" s="8" t="s">
        <v>1050</v>
      </c>
    </row>
    <row r="46" spans="1:20" ht="36" x14ac:dyDescent="0.3">
      <c r="A46" s="8" t="s">
        <v>1151</v>
      </c>
      <c r="B46" s="10">
        <v>293148</v>
      </c>
      <c r="C46" s="8" t="s">
        <v>141</v>
      </c>
      <c r="D46" s="10">
        <v>3319837</v>
      </c>
      <c r="E46" s="8" t="s">
        <v>1147</v>
      </c>
      <c r="F46" s="8" t="s">
        <v>1030</v>
      </c>
      <c r="G46" s="8" t="s">
        <v>1148</v>
      </c>
      <c r="H46" s="8" t="s">
        <v>1079</v>
      </c>
      <c r="I46" s="8" t="s">
        <v>1080</v>
      </c>
      <c r="J46" s="8" t="s">
        <v>1149</v>
      </c>
      <c r="K46" s="8" t="s">
        <v>1035</v>
      </c>
      <c r="L46" s="8" t="s">
        <v>9</v>
      </c>
      <c r="M46" s="8" t="s">
        <v>9</v>
      </c>
      <c r="N46" s="8" t="s">
        <v>1036</v>
      </c>
      <c r="O46" s="8" t="s">
        <v>1037</v>
      </c>
      <c r="P46" s="8"/>
      <c r="Q46" s="8"/>
      <c r="R46" s="8" t="s">
        <v>112</v>
      </c>
      <c r="S46" s="8"/>
      <c r="T46" s="8" t="s">
        <v>1050</v>
      </c>
    </row>
    <row r="47" spans="1:20" ht="36" x14ac:dyDescent="0.3">
      <c r="A47" s="8" t="s">
        <v>1152</v>
      </c>
      <c r="B47" s="10">
        <v>293148</v>
      </c>
      <c r="C47" s="8" t="s">
        <v>141</v>
      </c>
      <c r="D47" s="10">
        <v>3321305</v>
      </c>
      <c r="E47" s="8" t="s">
        <v>1052</v>
      </c>
      <c r="F47" s="8" t="s">
        <v>1030</v>
      </c>
      <c r="G47" s="8" t="s">
        <v>1129</v>
      </c>
      <c r="H47" s="8" t="s">
        <v>1032</v>
      </c>
      <c r="I47" s="8" t="s">
        <v>1033</v>
      </c>
      <c r="J47" s="8" t="s">
        <v>1130</v>
      </c>
      <c r="K47" s="8" t="s">
        <v>1035</v>
      </c>
      <c r="L47" s="8" t="s">
        <v>9</v>
      </c>
      <c r="M47" s="8" t="s">
        <v>9</v>
      </c>
      <c r="N47" s="8" t="s">
        <v>1036</v>
      </c>
      <c r="O47" s="8" t="s">
        <v>1037</v>
      </c>
      <c r="P47" s="8"/>
      <c r="Q47" s="8"/>
      <c r="R47" s="8" t="s">
        <v>112</v>
      </c>
      <c r="S47" s="8"/>
      <c r="T47" s="8" t="s">
        <v>1074</v>
      </c>
    </row>
    <row r="48" spans="1:20" ht="36" x14ac:dyDescent="0.3">
      <c r="A48" s="8" t="s">
        <v>1153</v>
      </c>
      <c r="B48" s="10">
        <v>293148</v>
      </c>
      <c r="C48" s="8" t="s">
        <v>141</v>
      </c>
      <c r="D48" s="10">
        <v>3321305</v>
      </c>
      <c r="E48" s="8" t="s">
        <v>1052</v>
      </c>
      <c r="F48" s="8" t="s">
        <v>1030</v>
      </c>
      <c r="G48" s="8" t="s">
        <v>1040</v>
      </c>
      <c r="H48" s="8" t="s">
        <v>1041</v>
      </c>
      <c r="I48" s="8" t="s">
        <v>1033</v>
      </c>
      <c r="J48" s="8" t="s">
        <v>1042</v>
      </c>
      <c r="K48" s="8" t="s">
        <v>1035</v>
      </c>
      <c r="L48" s="8" t="s">
        <v>9</v>
      </c>
      <c r="M48" s="8" t="s">
        <v>9</v>
      </c>
      <c r="N48" s="8" t="s">
        <v>1036</v>
      </c>
      <c r="O48" s="8" t="s">
        <v>1037</v>
      </c>
      <c r="P48" s="8"/>
      <c r="Q48" s="8"/>
      <c r="R48" s="8" t="s">
        <v>112</v>
      </c>
      <c r="S48" s="8"/>
      <c r="T48" s="8" t="s">
        <v>1076</v>
      </c>
    </row>
    <row r="49" spans="1:20" ht="36" x14ac:dyDescent="0.3">
      <c r="A49" s="8" t="s">
        <v>1154</v>
      </c>
      <c r="B49" s="10">
        <v>293148</v>
      </c>
      <c r="C49" s="8" t="s">
        <v>141</v>
      </c>
      <c r="D49" s="10">
        <v>3321305</v>
      </c>
      <c r="E49" s="8" t="s">
        <v>1052</v>
      </c>
      <c r="F49" s="8" t="s">
        <v>1030</v>
      </c>
      <c r="G49" s="8" t="s">
        <v>1155</v>
      </c>
      <c r="H49" s="8" t="s">
        <v>1079</v>
      </c>
      <c r="I49" s="8" t="s">
        <v>1080</v>
      </c>
      <c r="J49" s="8" t="s">
        <v>1156</v>
      </c>
      <c r="K49" s="8" t="s">
        <v>1035</v>
      </c>
      <c r="L49" s="8" t="s">
        <v>9</v>
      </c>
      <c r="M49" s="8" t="s">
        <v>9</v>
      </c>
      <c r="N49" s="8" t="s">
        <v>1036</v>
      </c>
      <c r="O49" s="8" t="s">
        <v>1037</v>
      </c>
      <c r="P49" s="8"/>
      <c r="Q49" s="8"/>
      <c r="R49" s="8" t="s">
        <v>112</v>
      </c>
      <c r="S49" s="8"/>
      <c r="T49" s="8" t="s">
        <v>1157</v>
      </c>
    </row>
    <row r="50" spans="1:20" ht="36" x14ac:dyDescent="0.3">
      <c r="A50" s="8" t="s">
        <v>1158</v>
      </c>
      <c r="B50" s="10">
        <v>293148</v>
      </c>
      <c r="C50" s="8" t="s">
        <v>141</v>
      </c>
      <c r="D50" s="10">
        <v>3321305</v>
      </c>
      <c r="E50" s="8" t="s">
        <v>1052</v>
      </c>
      <c r="F50" s="8" t="s">
        <v>1030</v>
      </c>
      <c r="G50" s="8" t="s">
        <v>1133</v>
      </c>
      <c r="H50" s="8" t="s">
        <v>1079</v>
      </c>
      <c r="I50" s="8" t="s">
        <v>1080</v>
      </c>
      <c r="J50" s="8" t="s">
        <v>1130</v>
      </c>
      <c r="K50" s="8" t="s">
        <v>1035</v>
      </c>
      <c r="L50" s="8" t="s">
        <v>9</v>
      </c>
      <c r="M50" s="8" t="s">
        <v>9</v>
      </c>
      <c r="N50" s="8" t="s">
        <v>1036</v>
      </c>
      <c r="O50" s="8" t="s">
        <v>1037</v>
      </c>
      <c r="P50" s="8"/>
      <c r="Q50" s="8"/>
      <c r="R50" s="8" t="s">
        <v>112</v>
      </c>
      <c r="S50" s="8"/>
      <c r="T50" s="8" t="s">
        <v>1159</v>
      </c>
    </row>
    <row r="51" spans="1:20" ht="36" x14ac:dyDescent="0.3">
      <c r="A51" s="8" t="s">
        <v>1160</v>
      </c>
      <c r="B51" s="10">
        <v>292739</v>
      </c>
      <c r="C51" s="8" t="s">
        <v>143</v>
      </c>
      <c r="D51" s="10">
        <v>3317210</v>
      </c>
      <c r="E51" s="8" t="s">
        <v>1161</v>
      </c>
      <c r="F51" s="8" t="s">
        <v>1024</v>
      </c>
      <c r="G51" s="8" t="s">
        <v>1162</v>
      </c>
      <c r="H51" s="8" t="s">
        <v>1032</v>
      </c>
      <c r="I51" s="8" t="s">
        <v>1080</v>
      </c>
      <c r="J51" s="8" t="s">
        <v>1073</v>
      </c>
      <c r="K51" s="8" t="s">
        <v>1035</v>
      </c>
      <c r="L51" s="8" t="s">
        <v>9</v>
      </c>
      <c r="M51" s="8" t="s">
        <v>9</v>
      </c>
      <c r="N51" s="8" t="s">
        <v>1036</v>
      </c>
      <c r="O51" s="8" t="s">
        <v>1037</v>
      </c>
      <c r="P51" s="8"/>
      <c r="Q51" s="8"/>
      <c r="R51" s="8" t="s">
        <v>112</v>
      </c>
      <c r="S51" s="8"/>
      <c r="T51" s="8" t="s">
        <v>1050</v>
      </c>
    </row>
    <row r="52" spans="1:20" ht="36" x14ac:dyDescent="0.3">
      <c r="A52" s="8" t="s">
        <v>1163</v>
      </c>
      <c r="B52" s="10">
        <v>292589</v>
      </c>
      <c r="C52" s="8" t="s">
        <v>145</v>
      </c>
      <c r="D52" s="10">
        <v>3315731</v>
      </c>
      <c r="E52" s="8" t="s">
        <v>1052</v>
      </c>
      <c r="F52" s="8" t="s">
        <v>1030</v>
      </c>
      <c r="G52" s="8" t="s">
        <v>1129</v>
      </c>
      <c r="H52" s="8" t="s">
        <v>1032</v>
      </c>
      <c r="I52" s="8" t="s">
        <v>1033</v>
      </c>
      <c r="J52" s="8" t="s">
        <v>1130</v>
      </c>
      <c r="K52" s="8" t="s">
        <v>1035</v>
      </c>
      <c r="L52" s="8" t="s">
        <v>9</v>
      </c>
      <c r="M52" s="8" t="s">
        <v>9</v>
      </c>
      <c r="N52" s="8" t="s">
        <v>1036</v>
      </c>
      <c r="O52" s="8" t="s">
        <v>1037</v>
      </c>
      <c r="P52" s="8"/>
      <c r="Q52" s="8"/>
      <c r="R52" s="8" t="s">
        <v>112</v>
      </c>
      <c r="S52" s="8"/>
      <c r="T52" s="8" t="s">
        <v>1074</v>
      </c>
    </row>
    <row r="53" spans="1:20" ht="36" x14ac:dyDescent="0.3">
      <c r="A53" s="8" t="s">
        <v>1164</v>
      </c>
      <c r="B53" s="10">
        <v>292589</v>
      </c>
      <c r="C53" s="8" t="s">
        <v>145</v>
      </c>
      <c r="D53" s="10">
        <v>3315731</v>
      </c>
      <c r="E53" s="8" t="s">
        <v>1052</v>
      </c>
      <c r="F53" s="8" t="s">
        <v>1030</v>
      </c>
      <c r="G53" s="8" t="s">
        <v>1040</v>
      </c>
      <c r="H53" s="8" t="s">
        <v>1041</v>
      </c>
      <c r="I53" s="8" t="s">
        <v>1033</v>
      </c>
      <c r="J53" s="8" t="s">
        <v>1042</v>
      </c>
      <c r="K53" s="8" t="s">
        <v>1035</v>
      </c>
      <c r="L53" s="8" t="s">
        <v>9</v>
      </c>
      <c r="M53" s="8" t="s">
        <v>9</v>
      </c>
      <c r="N53" s="8" t="s">
        <v>1036</v>
      </c>
      <c r="O53" s="8" t="s">
        <v>1037</v>
      </c>
      <c r="P53" s="8"/>
      <c r="Q53" s="8"/>
      <c r="R53" s="8" t="s">
        <v>112</v>
      </c>
      <c r="S53" s="8"/>
      <c r="T53" s="8" t="s">
        <v>1076</v>
      </c>
    </row>
    <row r="54" spans="1:20" ht="36" x14ac:dyDescent="0.3">
      <c r="A54" s="8" t="s">
        <v>1165</v>
      </c>
      <c r="B54" s="10">
        <v>292589</v>
      </c>
      <c r="C54" s="8" t="s">
        <v>145</v>
      </c>
      <c r="D54" s="10">
        <v>3315731</v>
      </c>
      <c r="E54" s="8" t="s">
        <v>1052</v>
      </c>
      <c r="F54" s="8" t="s">
        <v>1030</v>
      </c>
      <c r="G54" s="8" t="s">
        <v>1166</v>
      </c>
      <c r="H54" s="8" t="s">
        <v>1079</v>
      </c>
      <c r="I54" s="8" t="s">
        <v>1080</v>
      </c>
      <c r="J54" s="8" t="s">
        <v>1167</v>
      </c>
      <c r="K54" s="8" t="s">
        <v>1035</v>
      </c>
      <c r="L54" s="8" t="s">
        <v>9</v>
      </c>
      <c r="M54" s="8" t="s">
        <v>9</v>
      </c>
      <c r="N54" s="8" t="s">
        <v>1036</v>
      </c>
      <c r="O54" s="8" t="s">
        <v>1037</v>
      </c>
      <c r="P54" s="8"/>
      <c r="Q54" s="8"/>
      <c r="R54" s="8" t="s">
        <v>112</v>
      </c>
      <c r="S54" s="8"/>
      <c r="T54" s="8" t="s">
        <v>1081</v>
      </c>
    </row>
    <row r="55" spans="1:20" ht="36" x14ac:dyDescent="0.3">
      <c r="A55" s="8" t="s">
        <v>1168</v>
      </c>
      <c r="B55" s="10">
        <v>292589</v>
      </c>
      <c r="C55" s="8" t="s">
        <v>145</v>
      </c>
      <c r="D55" s="10">
        <v>3318542</v>
      </c>
      <c r="E55" s="8" t="s">
        <v>1169</v>
      </c>
      <c r="F55" s="8" t="s">
        <v>1030</v>
      </c>
      <c r="G55" s="8" t="s">
        <v>1170</v>
      </c>
      <c r="H55" s="8" t="s">
        <v>1171</v>
      </c>
      <c r="I55" s="8" t="s">
        <v>1033</v>
      </c>
      <c r="J55" s="8" t="b">
        <v>1</v>
      </c>
      <c r="K55" s="8" t="s">
        <v>1172</v>
      </c>
      <c r="L55" s="8" t="s">
        <v>9</v>
      </c>
      <c r="M55" s="8" t="s">
        <v>9</v>
      </c>
      <c r="N55" s="8" t="s">
        <v>1036</v>
      </c>
      <c r="O55" s="8" t="s">
        <v>1037</v>
      </c>
      <c r="P55" s="8"/>
      <c r="Q55" s="8"/>
      <c r="R55" s="8" t="s">
        <v>112</v>
      </c>
      <c r="S55" s="8"/>
      <c r="T55" s="8" t="s">
        <v>1050</v>
      </c>
    </row>
    <row r="56" spans="1:20" ht="36" x14ac:dyDescent="0.3">
      <c r="A56" s="8" t="s">
        <v>1173</v>
      </c>
      <c r="B56" s="10">
        <v>245616</v>
      </c>
      <c r="C56" s="8" t="s">
        <v>147</v>
      </c>
      <c r="D56" s="10">
        <v>2717218</v>
      </c>
      <c r="E56" s="8" t="s">
        <v>1029</v>
      </c>
      <c r="F56" s="8" t="s">
        <v>1030</v>
      </c>
      <c r="G56" s="8" t="s">
        <v>1174</v>
      </c>
      <c r="H56" s="8" t="s">
        <v>1032</v>
      </c>
      <c r="I56" s="8" t="s">
        <v>1033</v>
      </c>
      <c r="J56" s="8" t="s">
        <v>1175</v>
      </c>
      <c r="K56" s="8" t="s">
        <v>1035</v>
      </c>
      <c r="L56" s="8" t="s">
        <v>9</v>
      </c>
      <c r="M56" s="8" t="s">
        <v>9</v>
      </c>
      <c r="N56" s="8" t="s">
        <v>1036</v>
      </c>
      <c r="O56" s="8" t="s">
        <v>1037</v>
      </c>
      <c r="P56" s="8"/>
      <c r="Q56" s="8"/>
      <c r="R56" s="8" t="s">
        <v>112</v>
      </c>
      <c r="S56" s="8"/>
      <c r="T56" s="8" t="s">
        <v>1038</v>
      </c>
    </row>
    <row r="57" spans="1:20" ht="36" x14ac:dyDescent="0.3">
      <c r="A57" s="8" t="s">
        <v>1176</v>
      </c>
      <c r="B57" s="10">
        <v>245616</v>
      </c>
      <c r="C57" s="8" t="s">
        <v>147</v>
      </c>
      <c r="D57" s="10">
        <v>2717218</v>
      </c>
      <c r="E57" s="8" t="s">
        <v>1029</v>
      </c>
      <c r="F57" s="8" t="s">
        <v>1030</v>
      </c>
      <c r="G57" s="8" t="s">
        <v>1177</v>
      </c>
      <c r="H57" s="8" t="s">
        <v>1041</v>
      </c>
      <c r="I57" s="8" t="s">
        <v>1033</v>
      </c>
      <c r="J57" s="8" t="s">
        <v>1178</v>
      </c>
      <c r="K57" s="8" t="s">
        <v>1035</v>
      </c>
      <c r="L57" s="8" t="s">
        <v>9</v>
      </c>
      <c r="M57" s="8" t="s">
        <v>9</v>
      </c>
      <c r="N57" s="8" t="s">
        <v>1036</v>
      </c>
      <c r="O57" s="8" t="s">
        <v>1037</v>
      </c>
      <c r="P57" s="8"/>
      <c r="Q57" s="8"/>
      <c r="R57" s="8" t="s">
        <v>112</v>
      </c>
      <c r="S57" s="8"/>
      <c r="T57" s="8" t="s">
        <v>1043</v>
      </c>
    </row>
    <row r="58" spans="1:20" ht="36" x14ac:dyDescent="0.3">
      <c r="A58" s="8" t="s">
        <v>1179</v>
      </c>
      <c r="B58" s="10">
        <v>258825</v>
      </c>
      <c r="C58" s="8" t="s">
        <v>149</v>
      </c>
      <c r="D58" s="10">
        <v>2887171</v>
      </c>
      <c r="E58" s="8" t="s">
        <v>1029</v>
      </c>
      <c r="F58" s="8" t="s">
        <v>1030</v>
      </c>
      <c r="G58" s="8" t="s">
        <v>1174</v>
      </c>
      <c r="H58" s="8" t="s">
        <v>1032</v>
      </c>
      <c r="I58" s="8" t="s">
        <v>1033</v>
      </c>
      <c r="J58" s="8" t="s">
        <v>1175</v>
      </c>
      <c r="K58" s="8" t="s">
        <v>1035</v>
      </c>
      <c r="L58" s="8" t="s">
        <v>9</v>
      </c>
      <c r="M58" s="8" t="s">
        <v>9</v>
      </c>
      <c r="N58" s="8" t="s">
        <v>1036</v>
      </c>
      <c r="O58" s="8" t="s">
        <v>1037</v>
      </c>
      <c r="P58" s="8"/>
      <c r="Q58" s="8"/>
      <c r="R58" s="8" t="s">
        <v>112</v>
      </c>
      <c r="S58" s="8"/>
      <c r="T58" s="8" t="s">
        <v>1038</v>
      </c>
    </row>
    <row r="59" spans="1:20" ht="36" x14ac:dyDescent="0.3">
      <c r="A59" s="8" t="s">
        <v>1180</v>
      </c>
      <c r="B59" s="10">
        <v>258825</v>
      </c>
      <c r="C59" s="8" t="s">
        <v>149</v>
      </c>
      <c r="D59" s="10">
        <v>2887171</v>
      </c>
      <c r="E59" s="8" t="s">
        <v>1029</v>
      </c>
      <c r="F59" s="8" t="s">
        <v>1030</v>
      </c>
      <c r="G59" s="8" t="s">
        <v>1181</v>
      </c>
      <c r="H59" s="8" t="s">
        <v>1041</v>
      </c>
      <c r="I59" s="8" t="s">
        <v>1033</v>
      </c>
      <c r="J59" s="8" t="s">
        <v>1182</v>
      </c>
      <c r="K59" s="8" t="s">
        <v>1035</v>
      </c>
      <c r="L59" s="8" t="s">
        <v>9</v>
      </c>
      <c r="M59" s="8" t="s">
        <v>9</v>
      </c>
      <c r="N59" s="8" t="s">
        <v>1036</v>
      </c>
      <c r="O59" s="8" t="s">
        <v>1037</v>
      </c>
      <c r="P59" s="8"/>
      <c r="Q59" s="8"/>
      <c r="R59" s="8" t="s">
        <v>112</v>
      </c>
      <c r="S59" s="8"/>
      <c r="T59" s="8" t="s">
        <v>1043</v>
      </c>
    </row>
    <row r="60" spans="1:20" ht="36" x14ac:dyDescent="0.3">
      <c r="A60" s="8" t="s">
        <v>1183</v>
      </c>
      <c r="B60" s="10">
        <v>280257</v>
      </c>
      <c r="C60" s="8" t="s">
        <v>151</v>
      </c>
      <c r="D60" s="10">
        <v>3158903</v>
      </c>
      <c r="E60" s="8" t="s">
        <v>1184</v>
      </c>
      <c r="F60" s="8" t="s">
        <v>1030</v>
      </c>
      <c r="G60" s="8" t="s">
        <v>1185</v>
      </c>
      <c r="H60" s="8" t="s">
        <v>1186</v>
      </c>
      <c r="I60" s="8" t="s">
        <v>1105</v>
      </c>
      <c r="J60" s="8"/>
      <c r="K60" s="8" t="s">
        <v>1035</v>
      </c>
      <c r="L60" s="8" t="s">
        <v>9</v>
      </c>
      <c r="M60" s="8" t="s">
        <v>9</v>
      </c>
      <c r="N60" s="8" t="s">
        <v>1036</v>
      </c>
      <c r="O60" s="8" t="s">
        <v>1037</v>
      </c>
      <c r="P60" s="8"/>
      <c r="Q60" s="8"/>
      <c r="R60" s="8" t="s">
        <v>112</v>
      </c>
      <c r="S60" s="8"/>
      <c r="T60" s="8" t="s">
        <v>1050</v>
      </c>
    </row>
    <row r="61" spans="1:20" ht="24" x14ac:dyDescent="0.3">
      <c r="A61" s="8" t="s">
        <v>1187</v>
      </c>
      <c r="B61" s="10">
        <v>290338</v>
      </c>
      <c r="C61" s="8" t="s">
        <v>153</v>
      </c>
      <c r="D61" s="10" t="s">
        <v>9</v>
      </c>
      <c r="E61" s="8" t="s">
        <v>9</v>
      </c>
      <c r="F61" s="8" t="s">
        <v>1069</v>
      </c>
      <c r="G61" s="8" t="s">
        <v>9</v>
      </c>
      <c r="H61" s="8" t="s">
        <v>9</v>
      </c>
      <c r="I61" s="8" t="s">
        <v>9</v>
      </c>
      <c r="J61" s="8" t="s">
        <v>9</v>
      </c>
      <c r="K61" s="8" t="s">
        <v>9</v>
      </c>
      <c r="L61" s="8" t="s">
        <v>9</v>
      </c>
      <c r="M61" s="8" t="s">
        <v>9</v>
      </c>
      <c r="N61" s="8" t="s">
        <v>1025</v>
      </c>
      <c r="O61" s="8" t="s">
        <v>1026</v>
      </c>
      <c r="P61" s="8"/>
      <c r="Q61" s="8"/>
      <c r="R61" s="8" t="s">
        <v>112</v>
      </c>
      <c r="S61" s="8"/>
      <c r="T61" s="8" t="s">
        <v>1070</v>
      </c>
    </row>
    <row r="62" spans="1:20" ht="36" x14ac:dyDescent="0.3">
      <c r="A62" s="8" t="s">
        <v>1188</v>
      </c>
      <c r="B62" s="10">
        <v>292626</v>
      </c>
      <c r="C62" s="8" t="s">
        <v>155</v>
      </c>
      <c r="D62" s="10">
        <v>3316020</v>
      </c>
      <c r="E62" s="8" t="s">
        <v>1189</v>
      </c>
      <c r="F62" s="8" t="s">
        <v>1024</v>
      </c>
      <c r="G62" s="8" t="s">
        <v>1190</v>
      </c>
      <c r="H62" s="8" t="s">
        <v>1191</v>
      </c>
      <c r="I62" s="8" t="s">
        <v>1033</v>
      </c>
      <c r="J62" s="8" t="s">
        <v>1192</v>
      </c>
      <c r="K62" s="8" t="s">
        <v>1172</v>
      </c>
      <c r="L62" s="8" t="s">
        <v>9</v>
      </c>
      <c r="M62" s="8" t="s">
        <v>9</v>
      </c>
      <c r="N62" s="8" t="s">
        <v>1036</v>
      </c>
      <c r="O62" s="8" t="s">
        <v>1037</v>
      </c>
      <c r="P62" s="8"/>
      <c r="Q62" s="8"/>
      <c r="R62" s="8" t="s">
        <v>112</v>
      </c>
      <c r="S62" s="8"/>
      <c r="T62" s="8" t="s">
        <v>1038</v>
      </c>
    </row>
    <row r="63" spans="1:20" ht="36" x14ac:dyDescent="0.3">
      <c r="A63" s="8" t="s">
        <v>1193</v>
      </c>
      <c r="B63" s="10">
        <v>292626</v>
      </c>
      <c r="C63" s="8" t="s">
        <v>155</v>
      </c>
      <c r="D63" s="10">
        <v>3316020</v>
      </c>
      <c r="E63" s="8" t="s">
        <v>1189</v>
      </c>
      <c r="F63" s="8" t="s">
        <v>1024</v>
      </c>
      <c r="G63" s="8" t="s">
        <v>1136</v>
      </c>
      <c r="H63" s="8" t="s">
        <v>1137</v>
      </c>
      <c r="I63" s="8" t="s">
        <v>1048</v>
      </c>
      <c r="J63" s="8" t="s">
        <v>1138</v>
      </c>
      <c r="K63" s="8" t="s">
        <v>1035</v>
      </c>
      <c r="L63" s="8" t="s">
        <v>9</v>
      </c>
      <c r="M63" s="8" t="s">
        <v>9</v>
      </c>
      <c r="N63" s="8" t="s">
        <v>1036</v>
      </c>
      <c r="O63" s="8" t="s">
        <v>1037</v>
      </c>
      <c r="P63" s="8"/>
      <c r="Q63" s="8"/>
      <c r="R63" s="8" t="s">
        <v>112</v>
      </c>
      <c r="S63" s="8"/>
      <c r="T63" s="8" t="s">
        <v>1043</v>
      </c>
    </row>
    <row r="64" spans="1:20" ht="36" x14ac:dyDescent="0.3">
      <c r="A64" s="8" t="s">
        <v>1194</v>
      </c>
      <c r="B64" s="10">
        <v>292626</v>
      </c>
      <c r="C64" s="8" t="s">
        <v>155</v>
      </c>
      <c r="D64" s="10">
        <v>3316020</v>
      </c>
      <c r="E64" s="8" t="s">
        <v>1189</v>
      </c>
      <c r="F64" s="8" t="s">
        <v>1024</v>
      </c>
      <c r="G64" s="8" t="s">
        <v>1195</v>
      </c>
      <c r="H64" s="8" t="s">
        <v>1079</v>
      </c>
      <c r="I64" s="8" t="s">
        <v>1080</v>
      </c>
      <c r="J64" s="8" t="s">
        <v>1196</v>
      </c>
      <c r="K64" s="8" t="s">
        <v>1035</v>
      </c>
      <c r="L64" s="8" t="s">
        <v>9</v>
      </c>
      <c r="M64" s="8" t="s">
        <v>9</v>
      </c>
      <c r="N64" s="8" t="s">
        <v>1036</v>
      </c>
      <c r="O64" s="8" t="s">
        <v>1037</v>
      </c>
      <c r="P64" s="8"/>
      <c r="Q64" s="8"/>
      <c r="R64" s="8" t="s">
        <v>112</v>
      </c>
      <c r="S64" s="8"/>
      <c r="T64" s="8" t="s">
        <v>1197</v>
      </c>
    </row>
    <row r="65" spans="1:20" ht="36" x14ac:dyDescent="0.3">
      <c r="A65" s="8" t="s">
        <v>1198</v>
      </c>
      <c r="B65" s="10">
        <v>292626</v>
      </c>
      <c r="C65" s="8" t="s">
        <v>155</v>
      </c>
      <c r="D65" s="10">
        <v>3316020</v>
      </c>
      <c r="E65" s="8" t="s">
        <v>1189</v>
      </c>
      <c r="F65" s="8" t="s">
        <v>1024</v>
      </c>
      <c r="G65" s="8" t="s">
        <v>1199</v>
      </c>
      <c r="H65" s="8" t="s">
        <v>486</v>
      </c>
      <c r="I65" s="8" t="s">
        <v>1080</v>
      </c>
      <c r="J65" s="8" t="s">
        <v>1200</v>
      </c>
      <c r="K65" s="8" t="s">
        <v>1172</v>
      </c>
      <c r="L65" s="8" t="s">
        <v>9</v>
      </c>
      <c r="M65" s="8" t="s">
        <v>9</v>
      </c>
      <c r="N65" s="8" t="s">
        <v>1036</v>
      </c>
      <c r="O65" s="8" t="s">
        <v>1037</v>
      </c>
      <c r="P65" s="8"/>
      <c r="Q65" s="8"/>
      <c r="R65" s="8" t="s">
        <v>112</v>
      </c>
      <c r="S65" s="8"/>
      <c r="T65" s="8" t="s">
        <v>1145</v>
      </c>
    </row>
    <row r="66" spans="1:20" ht="36" x14ac:dyDescent="0.3">
      <c r="A66" s="8" t="s">
        <v>1201</v>
      </c>
      <c r="B66" s="10">
        <v>292626</v>
      </c>
      <c r="C66" s="8" t="s">
        <v>155</v>
      </c>
      <c r="D66" s="10">
        <v>3316078</v>
      </c>
      <c r="E66" s="8" t="s">
        <v>1052</v>
      </c>
      <c r="F66" s="8" t="s">
        <v>1030</v>
      </c>
      <c r="G66" s="8" t="s">
        <v>1202</v>
      </c>
      <c r="H66" s="8" t="s">
        <v>1032</v>
      </c>
      <c r="I66" s="8" t="s">
        <v>1033</v>
      </c>
      <c r="J66" s="8" t="s">
        <v>1167</v>
      </c>
      <c r="K66" s="8" t="s">
        <v>1035</v>
      </c>
      <c r="L66" s="8" t="s">
        <v>9</v>
      </c>
      <c r="M66" s="8" t="s">
        <v>9</v>
      </c>
      <c r="N66" s="8" t="s">
        <v>1036</v>
      </c>
      <c r="O66" s="8" t="s">
        <v>1037</v>
      </c>
      <c r="P66" s="8"/>
      <c r="Q66" s="8"/>
      <c r="R66" s="8" t="s">
        <v>112</v>
      </c>
      <c r="S66" s="8"/>
      <c r="T66" s="8" t="s">
        <v>1038</v>
      </c>
    </row>
    <row r="67" spans="1:20" ht="36" x14ac:dyDescent="0.3">
      <c r="A67" s="8" t="s">
        <v>1203</v>
      </c>
      <c r="B67" s="10">
        <v>292626</v>
      </c>
      <c r="C67" s="8" t="s">
        <v>155</v>
      </c>
      <c r="D67" s="10">
        <v>3316078</v>
      </c>
      <c r="E67" s="8" t="s">
        <v>1052</v>
      </c>
      <c r="F67" s="8" t="s">
        <v>1030</v>
      </c>
      <c r="G67" s="8" t="s">
        <v>1040</v>
      </c>
      <c r="H67" s="8" t="s">
        <v>1041</v>
      </c>
      <c r="I67" s="8" t="s">
        <v>1033</v>
      </c>
      <c r="J67" s="8" t="s">
        <v>1042</v>
      </c>
      <c r="K67" s="8" t="s">
        <v>1035</v>
      </c>
      <c r="L67" s="8" t="s">
        <v>9</v>
      </c>
      <c r="M67" s="8" t="s">
        <v>9</v>
      </c>
      <c r="N67" s="8" t="s">
        <v>1036</v>
      </c>
      <c r="O67" s="8" t="s">
        <v>1037</v>
      </c>
      <c r="P67" s="8"/>
      <c r="Q67" s="8"/>
      <c r="R67" s="8" t="s">
        <v>112</v>
      </c>
      <c r="S67" s="8"/>
      <c r="T67" s="8" t="s">
        <v>1043</v>
      </c>
    </row>
    <row r="68" spans="1:20" ht="36" x14ac:dyDescent="0.3">
      <c r="A68" s="8" t="s">
        <v>1204</v>
      </c>
      <c r="B68" s="10">
        <v>292626</v>
      </c>
      <c r="C68" s="8" t="s">
        <v>155</v>
      </c>
      <c r="D68" s="10">
        <v>3319562</v>
      </c>
      <c r="E68" s="8" t="s">
        <v>1205</v>
      </c>
      <c r="F68" s="8" t="s">
        <v>1024</v>
      </c>
      <c r="G68" s="8" t="s">
        <v>1206</v>
      </c>
      <c r="H68" s="8" t="s">
        <v>1191</v>
      </c>
      <c r="I68" s="8" t="s">
        <v>1033</v>
      </c>
      <c r="J68" s="8" t="s">
        <v>1207</v>
      </c>
      <c r="K68" s="8" t="s">
        <v>1172</v>
      </c>
      <c r="L68" s="8" t="s">
        <v>9</v>
      </c>
      <c r="M68" s="8" t="s">
        <v>9</v>
      </c>
      <c r="N68" s="8" t="s">
        <v>1036</v>
      </c>
      <c r="O68" s="8" t="s">
        <v>1037</v>
      </c>
      <c r="P68" s="8"/>
      <c r="Q68" s="8"/>
      <c r="R68" s="8" t="s">
        <v>112</v>
      </c>
      <c r="S68" s="8"/>
      <c r="T68" s="8" t="s">
        <v>1050</v>
      </c>
    </row>
    <row r="69" spans="1:20" ht="36" x14ac:dyDescent="0.3">
      <c r="A69" s="8" t="s">
        <v>1208</v>
      </c>
      <c r="B69" s="10">
        <v>292626</v>
      </c>
      <c r="C69" s="8" t="s">
        <v>155</v>
      </c>
      <c r="D69" s="10">
        <v>3319567</v>
      </c>
      <c r="E69" s="8" t="s">
        <v>1209</v>
      </c>
      <c r="F69" s="8" t="s">
        <v>1024</v>
      </c>
      <c r="G69" s="8" t="s">
        <v>1210</v>
      </c>
      <c r="H69" s="8" t="s">
        <v>1191</v>
      </c>
      <c r="I69" s="8" t="s">
        <v>1033</v>
      </c>
      <c r="J69" s="8" t="s">
        <v>1211</v>
      </c>
      <c r="K69" s="8" t="s">
        <v>1172</v>
      </c>
      <c r="L69" s="8" t="s">
        <v>9</v>
      </c>
      <c r="M69" s="8" t="s">
        <v>9</v>
      </c>
      <c r="N69" s="8" t="s">
        <v>1036</v>
      </c>
      <c r="O69" s="8" t="s">
        <v>1037</v>
      </c>
      <c r="P69" s="8"/>
      <c r="Q69" s="8"/>
      <c r="R69" s="8" t="s">
        <v>112</v>
      </c>
      <c r="S69" s="8"/>
      <c r="T69" s="8" t="s">
        <v>1050</v>
      </c>
    </row>
    <row r="70" spans="1:20" ht="24" x14ac:dyDescent="0.3">
      <c r="A70" s="8" t="s">
        <v>1212</v>
      </c>
      <c r="B70" s="10">
        <v>275412</v>
      </c>
      <c r="C70" s="8" t="s">
        <v>157</v>
      </c>
      <c r="D70" s="10" t="s">
        <v>9</v>
      </c>
      <c r="E70" s="8" t="s">
        <v>9</v>
      </c>
      <c r="F70" s="8" t="s">
        <v>1069</v>
      </c>
      <c r="G70" s="8" t="s">
        <v>9</v>
      </c>
      <c r="H70" s="8" t="s">
        <v>9</v>
      </c>
      <c r="I70" s="8" t="s">
        <v>9</v>
      </c>
      <c r="J70" s="8" t="s">
        <v>9</v>
      </c>
      <c r="K70" s="8" t="s">
        <v>9</v>
      </c>
      <c r="L70" s="8" t="s">
        <v>9</v>
      </c>
      <c r="M70" s="8" t="s">
        <v>9</v>
      </c>
      <c r="N70" s="8" t="s">
        <v>1025</v>
      </c>
      <c r="O70" s="8" t="s">
        <v>1026</v>
      </c>
      <c r="P70" s="8"/>
      <c r="Q70" s="8"/>
      <c r="R70" s="8" t="s">
        <v>112</v>
      </c>
      <c r="S70" s="8"/>
      <c r="T70" s="8" t="s">
        <v>1070</v>
      </c>
    </row>
    <row r="71" spans="1:20" ht="24" x14ac:dyDescent="0.3">
      <c r="A71" s="8" t="s">
        <v>1213</v>
      </c>
      <c r="B71" s="10">
        <v>275457</v>
      </c>
      <c r="C71" s="8" t="s">
        <v>159</v>
      </c>
      <c r="D71" s="10" t="s">
        <v>9</v>
      </c>
      <c r="E71" s="8" t="s">
        <v>9</v>
      </c>
      <c r="F71" s="8" t="s">
        <v>1069</v>
      </c>
      <c r="G71" s="8" t="s">
        <v>9</v>
      </c>
      <c r="H71" s="8" t="s">
        <v>9</v>
      </c>
      <c r="I71" s="8" t="s">
        <v>9</v>
      </c>
      <c r="J71" s="8" t="s">
        <v>9</v>
      </c>
      <c r="K71" s="8" t="s">
        <v>9</v>
      </c>
      <c r="L71" s="8" t="s">
        <v>9</v>
      </c>
      <c r="M71" s="8" t="s">
        <v>9</v>
      </c>
      <c r="N71" s="8" t="s">
        <v>1025</v>
      </c>
      <c r="O71" s="8" t="s">
        <v>1026</v>
      </c>
      <c r="P71" s="8"/>
      <c r="Q71" s="8"/>
      <c r="R71" s="8" t="s">
        <v>112</v>
      </c>
      <c r="S71" s="8"/>
      <c r="T71" s="8" t="s">
        <v>1070</v>
      </c>
    </row>
    <row r="72" spans="1:20" ht="36" x14ac:dyDescent="0.3">
      <c r="A72" s="8" t="s">
        <v>1214</v>
      </c>
      <c r="B72" s="10">
        <v>319335</v>
      </c>
      <c r="C72" s="8" t="s">
        <v>161</v>
      </c>
      <c r="D72" s="10">
        <v>3621317</v>
      </c>
      <c r="E72" s="8" t="s">
        <v>1052</v>
      </c>
      <c r="F72" s="8" t="s">
        <v>1030</v>
      </c>
      <c r="G72" s="8" t="s">
        <v>1215</v>
      </c>
      <c r="H72" s="8" t="s">
        <v>1032</v>
      </c>
      <c r="I72" s="8" t="s">
        <v>1033</v>
      </c>
      <c r="J72" s="8" t="s">
        <v>1216</v>
      </c>
      <c r="K72" s="8" t="s">
        <v>1035</v>
      </c>
      <c r="L72" s="8" t="s">
        <v>9</v>
      </c>
      <c r="M72" s="8" t="s">
        <v>9</v>
      </c>
      <c r="N72" s="8" t="s">
        <v>1036</v>
      </c>
      <c r="O72" s="8" t="s">
        <v>1037</v>
      </c>
      <c r="P72" s="8"/>
      <c r="Q72" s="8"/>
      <c r="R72" s="8" t="s">
        <v>112</v>
      </c>
      <c r="S72" s="8"/>
      <c r="T72" s="8" t="s">
        <v>1038</v>
      </c>
    </row>
    <row r="73" spans="1:20" ht="36" x14ac:dyDescent="0.3">
      <c r="A73" s="8" t="s">
        <v>1217</v>
      </c>
      <c r="B73" s="10">
        <v>319335</v>
      </c>
      <c r="C73" s="8" t="s">
        <v>161</v>
      </c>
      <c r="D73" s="10">
        <v>3621317</v>
      </c>
      <c r="E73" s="8" t="s">
        <v>1052</v>
      </c>
      <c r="F73" s="8" t="s">
        <v>1030</v>
      </c>
      <c r="G73" s="8" t="s">
        <v>1218</v>
      </c>
      <c r="H73" s="8" t="s">
        <v>1041</v>
      </c>
      <c r="I73" s="8" t="s">
        <v>1033</v>
      </c>
      <c r="J73" s="8" t="s">
        <v>1219</v>
      </c>
      <c r="K73" s="8" t="s">
        <v>1035</v>
      </c>
      <c r="L73" s="8" t="s">
        <v>9</v>
      </c>
      <c r="M73" s="8" t="s">
        <v>9</v>
      </c>
      <c r="N73" s="8" t="s">
        <v>1036</v>
      </c>
      <c r="O73" s="8" t="s">
        <v>1037</v>
      </c>
      <c r="P73" s="8"/>
      <c r="Q73" s="8"/>
      <c r="R73" s="8" t="s">
        <v>112</v>
      </c>
      <c r="S73" s="8"/>
      <c r="T73" s="8" t="s">
        <v>1043</v>
      </c>
    </row>
    <row r="74" spans="1:20" ht="36" x14ac:dyDescent="0.3">
      <c r="A74" s="8" t="s">
        <v>1220</v>
      </c>
      <c r="B74" s="10">
        <v>319335</v>
      </c>
      <c r="C74" s="8" t="s">
        <v>161</v>
      </c>
      <c r="D74" s="10">
        <v>3621317</v>
      </c>
      <c r="E74" s="8" t="s">
        <v>1052</v>
      </c>
      <c r="F74" s="8" t="s">
        <v>1030</v>
      </c>
      <c r="G74" s="8" t="s">
        <v>1221</v>
      </c>
      <c r="H74" s="8" t="s">
        <v>1222</v>
      </c>
      <c r="I74" s="8" t="s">
        <v>1033</v>
      </c>
      <c r="J74" s="8" t="b">
        <v>1</v>
      </c>
      <c r="K74" s="8" t="s">
        <v>1035</v>
      </c>
      <c r="L74" s="8" t="s">
        <v>9</v>
      </c>
      <c r="M74" s="8" t="s">
        <v>9</v>
      </c>
      <c r="N74" s="8" t="s">
        <v>1036</v>
      </c>
      <c r="O74" s="8" t="s">
        <v>1037</v>
      </c>
      <c r="P74" s="8"/>
      <c r="Q74" s="8"/>
      <c r="R74" s="8" t="s">
        <v>112</v>
      </c>
      <c r="S74" s="8"/>
      <c r="T74" s="8" t="s">
        <v>1197</v>
      </c>
    </row>
    <row r="75" spans="1:20" ht="36" x14ac:dyDescent="0.3">
      <c r="A75" s="8" t="s">
        <v>1223</v>
      </c>
      <c r="B75" s="10">
        <v>215655</v>
      </c>
      <c r="C75" s="8" t="s">
        <v>163</v>
      </c>
      <c r="D75" s="10">
        <v>2321319</v>
      </c>
      <c r="E75" s="8" t="s">
        <v>1029</v>
      </c>
      <c r="F75" s="8" t="s">
        <v>1030</v>
      </c>
      <c r="G75" s="8" t="s">
        <v>1059</v>
      </c>
      <c r="H75" s="8" t="s">
        <v>1032</v>
      </c>
      <c r="I75" s="8" t="s">
        <v>1033</v>
      </c>
      <c r="J75" s="8" t="s">
        <v>1060</v>
      </c>
      <c r="K75" s="8" t="s">
        <v>1035</v>
      </c>
      <c r="L75" s="8" t="s">
        <v>9</v>
      </c>
      <c r="M75" s="8" t="s">
        <v>9</v>
      </c>
      <c r="N75" s="8" t="s">
        <v>1036</v>
      </c>
      <c r="O75" s="8" t="s">
        <v>1037</v>
      </c>
      <c r="P75" s="8"/>
      <c r="Q75" s="8"/>
      <c r="R75" s="8" t="s">
        <v>112</v>
      </c>
      <c r="S75" s="8"/>
      <c r="T75" s="8" t="s">
        <v>1038</v>
      </c>
    </row>
    <row r="76" spans="1:20" ht="36" x14ac:dyDescent="0.3">
      <c r="A76" s="8" t="s">
        <v>1224</v>
      </c>
      <c r="B76" s="10">
        <v>215655</v>
      </c>
      <c r="C76" s="8" t="s">
        <v>163</v>
      </c>
      <c r="D76" s="10">
        <v>2321319</v>
      </c>
      <c r="E76" s="8" t="s">
        <v>1029</v>
      </c>
      <c r="F76" s="8" t="s">
        <v>1030</v>
      </c>
      <c r="G76" s="8" t="s">
        <v>1062</v>
      </c>
      <c r="H76" s="8" t="s">
        <v>1041</v>
      </c>
      <c r="I76" s="8" t="s">
        <v>1033</v>
      </c>
      <c r="J76" s="8" t="s">
        <v>1063</v>
      </c>
      <c r="K76" s="8" t="s">
        <v>1035</v>
      </c>
      <c r="L76" s="8" t="s">
        <v>9</v>
      </c>
      <c r="M76" s="8" t="s">
        <v>9</v>
      </c>
      <c r="N76" s="8" t="s">
        <v>1036</v>
      </c>
      <c r="O76" s="8" t="s">
        <v>1037</v>
      </c>
      <c r="P76" s="8"/>
      <c r="Q76" s="8"/>
      <c r="R76" s="8" t="s">
        <v>112</v>
      </c>
      <c r="S76" s="8"/>
      <c r="T76" s="8" t="s">
        <v>1043</v>
      </c>
    </row>
    <row r="77" spans="1:20" ht="36" x14ac:dyDescent="0.3">
      <c r="A77" s="8" t="s">
        <v>1225</v>
      </c>
      <c r="B77" s="10">
        <v>319957</v>
      </c>
      <c r="C77" s="8" t="s">
        <v>165</v>
      </c>
      <c r="D77" s="10">
        <v>3629157</v>
      </c>
      <c r="E77" s="8" t="s">
        <v>1052</v>
      </c>
      <c r="F77" s="8" t="s">
        <v>1030</v>
      </c>
      <c r="G77" s="8" t="s">
        <v>1086</v>
      </c>
      <c r="H77" s="8" t="s">
        <v>1032</v>
      </c>
      <c r="I77" s="8" t="s">
        <v>1033</v>
      </c>
      <c r="J77" s="8" t="s">
        <v>1087</v>
      </c>
      <c r="K77" s="8" t="s">
        <v>1035</v>
      </c>
      <c r="L77" s="8" t="s">
        <v>9</v>
      </c>
      <c r="M77" s="8" t="s">
        <v>9</v>
      </c>
      <c r="N77" s="8" t="s">
        <v>1036</v>
      </c>
      <c r="O77" s="8" t="s">
        <v>1037</v>
      </c>
      <c r="P77" s="8"/>
      <c r="Q77" s="8"/>
      <c r="R77" s="8" t="s">
        <v>112</v>
      </c>
      <c r="S77" s="8"/>
      <c r="T77" s="8" t="s">
        <v>1038</v>
      </c>
    </row>
    <row r="78" spans="1:20" ht="36" x14ac:dyDescent="0.3">
      <c r="A78" s="8" t="s">
        <v>1226</v>
      </c>
      <c r="B78" s="10">
        <v>319957</v>
      </c>
      <c r="C78" s="8" t="s">
        <v>165</v>
      </c>
      <c r="D78" s="10">
        <v>3629157</v>
      </c>
      <c r="E78" s="8" t="s">
        <v>1052</v>
      </c>
      <c r="F78" s="8" t="s">
        <v>1030</v>
      </c>
      <c r="G78" s="8" t="s">
        <v>1089</v>
      </c>
      <c r="H78" s="8" t="s">
        <v>1041</v>
      </c>
      <c r="I78" s="8" t="s">
        <v>1033</v>
      </c>
      <c r="J78" s="8" t="s">
        <v>1090</v>
      </c>
      <c r="K78" s="8" t="s">
        <v>1035</v>
      </c>
      <c r="L78" s="8" t="s">
        <v>9</v>
      </c>
      <c r="M78" s="8" t="s">
        <v>9</v>
      </c>
      <c r="N78" s="8" t="s">
        <v>1036</v>
      </c>
      <c r="O78" s="8" t="s">
        <v>1037</v>
      </c>
      <c r="P78" s="8"/>
      <c r="Q78" s="8"/>
      <c r="R78" s="8" t="s">
        <v>112</v>
      </c>
      <c r="S78" s="8"/>
      <c r="T78" s="8" t="s">
        <v>1043</v>
      </c>
    </row>
    <row r="79" spans="1:20" ht="36" x14ac:dyDescent="0.3">
      <c r="A79" s="8" t="s">
        <v>1227</v>
      </c>
      <c r="B79" s="10">
        <v>315940</v>
      </c>
      <c r="C79" s="8" t="s">
        <v>167</v>
      </c>
      <c r="D79" s="10">
        <v>3582113</v>
      </c>
      <c r="E79" s="8" t="s">
        <v>1052</v>
      </c>
      <c r="F79" s="8" t="s">
        <v>1030</v>
      </c>
      <c r="G79" s="8" t="s">
        <v>1086</v>
      </c>
      <c r="H79" s="8" t="s">
        <v>1032</v>
      </c>
      <c r="I79" s="8" t="s">
        <v>1033</v>
      </c>
      <c r="J79" s="8" t="s">
        <v>1087</v>
      </c>
      <c r="K79" s="8" t="s">
        <v>1035</v>
      </c>
      <c r="L79" s="8" t="s">
        <v>9</v>
      </c>
      <c r="M79" s="8" t="s">
        <v>9</v>
      </c>
      <c r="N79" s="8" t="s">
        <v>1036</v>
      </c>
      <c r="O79" s="8" t="s">
        <v>1037</v>
      </c>
      <c r="P79" s="8"/>
      <c r="Q79" s="8"/>
      <c r="R79" s="8" t="s">
        <v>112</v>
      </c>
      <c r="S79" s="8"/>
      <c r="T79" s="8" t="s">
        <v>1038</v>
      </c>
    </row>
    <row r="80" spans="1:20" ht="36" x14ac:dyDescent="0.3">
      <c r="A80" s="8" t="s">
        <v>1228</v>
      </c>
      <c r="B80" s="10">
        <v>315940</v>
      </c>
      <c r="C80" s="8" t="s">
        <v>167</v>
      </c>
      <c r="D80" s="10">
        <v>3582113</v>
      </c>
      <c r="E80" s="8" t="s">
        <v>1052</v>
      </c>
      <c r="F80" s="8" t="s">
        <v>1030</v>
      </c>
      <c r="G80" s="8" t="s">
        <v>1089</v>
      </c>
      <c r="H80" s="8" t="s">
        <v>1041</v>
      </c>
      <c r="I80" s="8" t="s">
        <v>1033</v>
      </c>
      <c r="J80" s="8" t="s">
        <v>1090</v>
      </c>
      <c r="K80" s="8" t="s">
        <v>1035</v>
      </c>
      <c r="L80" s="8" t="s">
        <v>9</v>
      </c>
      <c r="M80" s="8" t="s">
        <v>9</v>
      </c>
      <c r="N80" s="8" t="s">
        <v>1036</v>
      </c>
      <c r="O80" s="8" t="s">
        <v>1037</v>
      </c>
      <c r="P80" s="8"/>
      <c r="Q80" s="8"/>
      <c r="R80" s="8" t="s">
        <v>112</v>
      </c>
      <c r="S80" s="8"/>
      <c r="T80" s="8" t="s">
        <v>1043</v>
      </c>
    </row>
    <row r="81" spans="1:20" ht="24" x14ac:dyDescent="0.3">
      <c r="A81" s="8" t="s">
        <v>1229</v>
      </c>
      <c r="B81" s="10">
        <v>282625</v>
      </c>
      <c r="C81" s="8" t="s">
        <v>169</v>
      </c>
      <c r="D81" s="10">
        <v>3186071</v>
      </c>
      <c r="E81" s="8" t="s">
        <v>1230</v>
      </c>
      <c r="F81" s="8" t="s">
        <v>1024</v>
      </c>
      <c r="G81" s="8" t="s">
        <v>9</v>
      </c>
      <c r="H81" s="8" t="s">
        <v>9</v>
      </c>
      <c r="I81" s="8" t="s">
        <v>9</v>
      </c>
      <c r="J81" s="8" t="s">
        <v>9</v>
      </c>
      <c r="K81" s="8" t="s">
        <v>9</v>
      </c>
      <c r="L81" s="8" t="s">
        <v>9</v>
      </c>
      <c r="M81" s="8" t="s">
        <v>9</v>
      </c>
      <c r="N81" s="8" t="s">
        <v>1025</v>
      </c>
      <c r="O81" s="8" t="s">
        <v>1026</v>
      </c>
      <c r="P81" s="8"/>
      <c r="Q81" s="8"/>
      <c r="R81" s="8" t="s">
        <v>112</v>
      </c>
      <c r="S81" s="8"/>
      <c r="T81" s="8" t="s">
        <v>1027</v>
      </c>
    </row>
    <row r="82" spans="1:20" ht="36" x14ac:dyDescent="0.3">
      <c r="A82" s="8" t="s">
        <v>1231</v>
      </c>
      <c r="B82" s="10">
        <v>282625</v>
      </c>
      <c r="C82" s="8" t="s">
        <v>169</v>
      </c>
      <c r="D82" s="10">
        <v>3186083</v>
      </c>
      <c r="E82" s="8" t="s">
        <v>1052</v>
      </c>
      <c r="F82" s="8" t="s">
        <v>1030</v>
      </c>
      <c r="G82" s="8" t="s">
        <v>1129</v>
      </c>
      <c r="H82" s="8" t="s">
        <v>1032</v>
      </c>
      <c r="I82" s="8" t="s">
        <v>1033</v>
      </c>
      <c r="J82" s="8" t="s">
        <v>1130</v>
      </c>
      <c r="K82" s="8" t="s">
        <v>1035</v>
      </c>
      <c r="L82" s="8" t="s">
        <v>9</v>
      </c>
      <c r="M82" s="8" t="s">
        <v>9</v>
      </c>
      <c r="N82" s="8" t="s">
        <v>1036</v>
      </c>
      <c r="O82" s="8" t="s">
        <v>1037</v>
      </c>
      <c r="P82" s="8"/>
      <c r="Q82" s="8"/>
      <c r="R82" s="8" t="s">
        <v>112</v>
      </c>
      <c r="S82" s="8"/>
      <c r="T82" s="8" t="s">
        <v>1074</v>
      </c>
    </row>
    <row r="83" spans="1:20" ht="36" x14ac:dyDescent="0.3">
      <c r="A83" s="8" t="s">
        <v>1232</v>
      </c>
      <c r="B83" s="10">
        <v>282625</v>
      </c>
      <c r="C83" s="8" t="s">
        <v>169</v>
      </c>
      <c r="D83" s="10">
        <v>3186083</v>
      </c>
      <c r="E83" s="8" t="s">
        <v>1052</v>
      </c>
      <c r="F83" s="8" t="s">
        <v>1030</v>
      </c>
      <c r="G83" s="8" t="s">
        <v>1233</v>
      </c>
      <c r="H83" s="8" t="s">
        <v>1041</v>
      </c>
      <c r="I83" s="8" t="s">
        <v>1033</v>
      </c>
      <c r="J83" s="8" t="s">
        <v>1234</v>
      </c>
      <c r="K83" s="8" t="s">
        <v>1035</v>
      </c>
      <c r="L83" s="8" t="s">
        <v>9</v>
      </c>
      <c r="M83" s="8" t="s">
        <v>9</v>
      </c>
      <c r="N83" s="8" t="s">
        <v>1036</v>
      </c>
      <c r="O83" s="8" t="s">
        <v>1037</v>
      </c>
      <c r="P83" s="8"/>
      <c r="Q83" s="8"/>
      <c r="R83" s="8" t="s">
        <v>112</v>
      </c>
      <c r="S83" s="8"/>
      <c r="T83" s="8" t="s">
        <v>1076</v>
      </c>
    </row>
    <row r="84" spans="1:20" ht="36" x14ac:dyDescent="0.3">
      <c r="A84" s="8" t="s">
        <v>1235</v>
      </c>
      <c r="B84" s="10">
        <v>282625</v>
      </c>
      <c r="C84" s="8" t="s">
        <v>169</v>
      </c>
      <c r="D84" s="10">
        <v>3186083</v>
      </c>
      <c r="E84" s="8" t="s">
        <v>1052</v>
      </c>
      <c r="F84" s="8" t="s">
        <v>1030</v>
      </c>
      <c r="G84" s="8" t="s">
        <v>1236</v>
      </c>
      <c r="H84" s="8" t="s">
        <v>1079</v>
      </c>
      <c r="I84" s="8" t="s">
        <v>1080</v>
      </c>
      <c r="J84" s="8" t="s">
        <v>1237</v>
      </c>
      <c r="K84" s="8" t="s">
        <v>1035</v>
      </c>
      <c r="L84" s="8" t="s">
        <v>9</v>
      </c>
      <c r="M84" s="8" t="s">
        <v>9</v>
      </c>
      <c r="N84" s="8" t="s">
        <v>1036</v>
      </c>
      <c r="O84" s="8" t="s">
        <v>1037</v>
      </c>
      <c r="P84" s="8"/>
      <c r="Q84" s="8"/>
      <c r="R84" s="8" t="s">
        <v>112</v>
      </c>
      <c r="S84" s="8"/>
      <c r="T84" s="8" t="s">
        <v>1081</v>
      </c>
    </row>
    <row r="85" spans="1:20" ht="24" x14ac:dyDescent="0.3">
      <c r="A85" s="8" t="s">
        <v>1238</v>
      </c>
      <c r="B85" s="10">
        <v>332726</v>
      </c>
      <c r="C85" s="8" t="s">
        <v>171</v>
      </c>
      <c r="D85" s="10" t="s">
        <v>9</v>
      </c>
      <c r="E85" s="8" t="s">
        <v>9</v>
      </c>
      <c r="F85" s="8" t="s">
        <v>1069</v>
      </c>
      <c r="G85" s="8" t="s">
        <v>9</v>
      </c>
      <c r="H85" s="8" t="s">
        <v>9</v>
      </c>
      <c r="I85" s="8" t="s">
        <v>9</v>
      </c>
      <c r="J85" s="8" t="s">
        <v>9</v>
      </c>
      <c r="K85" s="8" t="s">
        <v>9</v>
      </c>
      <c r="L85" s="8" t="s">
        <v>9</v>
      </c>
      <c r="M85" s="8" t="s">
        <v>9</v>
      </c>
      <c r="N85" s="8" t="s">
        <v>1025</v>
      </c>
      <c r="O85" s="8" t="s">
        <v>1026</v>
      </c>
      <c r="P85" s="8"/>
      <c r="Q85" s="8"/>
      <c r="R85" s="8" t="s">
        <v>112</v>
      </c>
      <c r="S85" s="8"/>
      <c r="T85" s="8" t="s">
        <v>1070</v>
      </c>
    </row>
    <row r="86" spans="1:20" ht="36" x14ac:dyDescent="0.3">
      <c r="A86" s="8" t="s">
        <v>1239</v>
      </c>
      <c r="B86" s="10">
        <v>319734</v>
      </c>
      <c r="C86" s="8" t="s">
        <v>173</v>
      </c>
      <c r="D86" s="10">
        <v>3625608</v>
      </c>
      <c r="E86" s="8" t="s">
        <v>1052</v>
      </c>
      <c r="F86" s="8" t="s">
        <v>1030</v>
      </c>
      <c r="G86" s="8" t="s">
        <v>1053</v>
      </c>
      <c r="H86" s="8" t="s">
        <v>1032</v>
      </c>
      <c r="I86" s="8" t="s">
        <v>1033</v>
      </c>
      <c r="J86" s="8" t="s">
        <v>1054</v>
      </c>
      <c r="K86" s="8" t="s">
        <v>1035</v>
      </c>
      <c r="L86" s="8" t="s">
        <v>9</v>
      </c>
      <c r="M86" s="8" t="s">
        <v>9</v>
      </c>
      <c r="N86" s="8" t="s">
        <v>1036</v>
      </c>
      <c r="O86" s="8" t="s">
        <v>1037</v>
      </c>
      <c r="P86" s="8"/>
      <c r="Q86" s="8"/>
      <c r="R86" s="8" t="s">
        <v>112</v>
      </c>
      <c r="S86" s="8"/>
      <c r="T86" s="8" t="s">
        <v>1038</v>
      </c>
    </row>
    <row r="87" spans="1:20" ht="36" x14ac:dyDescent="0.3">
      <c r="A87" s="8" t="s">
        <v>1240</v>
      </c>
      <c r="B87" s="10">
        <v>319734</v>
      </c>
      <c r="C87" s="8" t="s">
        <v>173</v>
      </c>
      <c r="D87" s="10">
        <v>3625608</v>
      </c>
      <c r="E87" s="8" t="s">
        <v>1052</v>
      </c>
      <c r="F87" s="8" t="s">
        <v>1030</v>
      </c>
      <c r="G87" s="8" t="s">
        <v>1056</v>
      </c>
      <c r="H87" s="8" t="s">
        <v>1041</v>
      </c>
      <c r="I87" s="8" t="s">
        <v>1033</v>
      </c>
      <c r="J87" s="8" t="s">
        <v>1057</v>
      </c>
      <c r="K87" s="8" t="s">
        <v>1035</v>
      </c>
      <c r="L87" s="8" t="s">
        <v>9</v>
      </c>
      <c r="M87" s="8" t="s">
        <v>9</v>
      </c>
      <c r="N87" s="8" t="s">
        <v>1036</v>
      </c>
      <c r="O87" s="8" t="s">
        <v>1037</v>
      </c>
      <c r="P87" s="8"/>
      <c r="Q87" s="8"/>
      <c r="R87" s="8" t="s">
        <v>112</v>
      </c>
      <c r="S87" s="8"/>
      <c r="T87" s="8" t="s">
        <v>1043</v>
      </c>
    </row>
    <row r="88" spans="1:20" ht="36" x14ac:dyDescent="0.3">
      <c r="A88" s="8" t="s">
        <v>1241</v>
      </c>
      <c r="B88" s="10">
        <v>266572</v>
      </c>
      <c r="C88" s="8" t="s">
        <v>175</v>
      </c>
      <c r="D88" s="10">
        <v>2978937</v>
      </c>
      <c r="E88" s="8" t="s">
        <v>1052</v>
      </c>
      <c r="F88" s="8" t="s">
        <v>1030</v>
      </c>
      <c r="G88" s="8" t="s">
        <v>1129</v>
      </c>
      <c r="H88" s="8" t="s">
        <v>1032</v>
      </c>
      <c r="I88" s="8" t="s">
        <v>1033</v>
      </c>
      <c r="J88" s="8" t="s">
        <v>1130</v>
      </c>
      <c r="K88" s="8" t="s">
        <v>1035</v>
      </c>
      <c r="L88" s="8" t="s">
        <v>9</v>
      </c>
      <c r="M88" s="8" t="s">
        <v>9</v>
      </c>
      <c r="N88" s="8" t="s">
        <v>1036</v>
      </c>
      <c r="O88" s="8" t="s">
        <v>1037</v>
      </c>
      <c r="P88" s="8"/>
      <c r="Q88" s="8"/>
      <c r="R88" s="8" t="s">
        <v>112</v>
      </c>
      <c r="S88" s="8"/>
      <c r="T88" s="8" t="s">
        <v>1038</v>
      </c>
    </row>
    <row r="89" spans="1:20" ht="36" x14ac:dyDescent="0.3">
      <c r="A89" s="8" t="s">
        <v>1242</v>
      </c>
      <c r="B89" s="10">
        <v>266572</v>
      </c>
      <c r="C89" s="8" t="s">
        <v>175</v>
      </c>
      <c r="D89" s="10">
        <v>2978937</v>
      </c>
      <c r="E89" s="8" t="s">
        <v>1052</v>
      </c>
      <c r="F89" s="8" t="s">
        <v>1030</v>
      </c>
      <c r="G89" s="8" t="s">
        <v>1243</v>
      </c>
      <c r="H89" s="8" t="s">
        <v>1041</v>
      </c>
      <c r="I89" s="8" t="s">
        <v>1033</v>
      </c>
      <c r="J89" s="8" t="s">
        <v>1244</v>
      </c>
      <c r="K89" s="8" t="s">
        <v>1035</v>
      </c>
      <c r="L89" s="8" t="s">
        <v>9</v>
      </c>
      <c r="M89" s="8" t="s">
        <v>9</v>
      </c>
      <c r="N89" s="8" t="s">
        <v>1036</v>
      </c>
      <c r="O89" s="8" t="s">
        <v>1037</v>
      </c>
      <c r="P89" s="8"/>
      <c r="Q89" s="8"/>
      <c r="R89" s="8" t="s">
        <v>112</v>
      </c>
      <c r="S89" s="8"/>
      <c r="T89" s="8" t="s">
        <v>1043</v>
      </c>
    </row>
    <row r="90" spans="1:20" ht="36" x14ac:dyDescent="0.3">
      <c r="A90" s="8" t="s">
        <v>1245</v>
      </c>
      <c r="B90" s="10">
        <v>264528</v>
      </c>
      <c r="C90" s="8" t="s">
        <v>177</v>
      </c>
      <c r="D90" s="10">
        <v>2952658</v>
      </c>
      <c r="E90" s="8" t="s">
        <v>1246</v>
      </c>
      <c r="F90" s="8" t="s">
        <v>1030</v>
      </c>
      <c r="G90" s="8" t="s">
        <v>1247</v>
      </c>
      <c r="H90" s="8" t="s">
        <v>1079</v>
      </c>
      <c r="I90" s="8" t="s">
        <v>1080</v>
      </c>
      <c r="J90" s="8" t="s">
        <v>1248</v>
      </c>
      <c r="K90" s="8" t="s">
        <v>1035</v>
      </c>
      <c r="L90" s="8" t="s">
        <v>9</v>
      </c>
      <c r="M90" s="8" t="s">
        <v>9</v>
      </c>
      <c r="N90" s="8" t="s">
        <v>1036</v>
      </c>
      <c r="O90" s="8" t="s">
        <v>1037</v>
      </c>
      <c r="P90" s="8"/>
      <c r="Q90" s="8"/>
      <c r="R90" s="8" t="s">
        <v>112</v>
      </c>
      <c r="S90" s="8"/>
      <c r="T90" s="8" t="s">
        <v>1050</v>
      </c>
    </row>
    <row r="91" spans="1:20" ht="36" x14ac:dyDescent="0.3">
      <c r="A91" s="8" t="s">
        <v>1249</v>
      </c>
      <c r="B91" s="10">
        <v>264528</v>
      </c>
      <c r="C91" s="8" t="s">
        <v>177</v>
      </c>
      <c r="D91" s="10">
        <v>2953817</v>
      </c>
      <c r="E91" s="8" t="s">
        <v>1052</v>
      </c>
      <c r="F91" s="8" t="s">
        <v>1030</v>
      </c>
      <c r="G91" s="8" t="s">
        <v>1250</v>
      </c>
      <c r="H91" s="8" t="s">
        <v>1032</v>
      </c>
      <c r="I91" s="8" t="s">
        <v>1033</v>
      </c>
      <c r="J91" s="8" t="s">
        <v>1251</v>
      </c>
      <c r="K91" s="8" t="s">
        <v>1035</v>
      </c>
      <c r="L91" s="8" t="s">
        <v>9</v>
      </c>
      <c r="M91" s="8" t="s">
        <v>9</v>
      </c>
      <c r="N91" s="8" t="s">
        <v>1036</v>
      </c>
      <c r="O91" s="8" t="s">
        <v>1037</v>
      </c>
      <c r="P91" s="8"/>
      <c r="Q91" s="8"/>
      <c r="R91" s="8" t="s">
        <v>112</v>
      </c>
      <c r="S91" s="8"/>
      <c r="T91" s="8" t="s">
        <v>1038</v>
      </c>
    </row>
    <row r="92" spans="1:20" ht="48" x14ac:dyDescent="0.3">
      <c r="A92" s="8" t="s">
        <v>1252</v>
      </c>
      <c r="B92" s="10">
        <v>264528</v>
      </c>
      <c r="C92" s="8" t="s">
        <v>177</v>
      </c>
      <c r="D92" s="10">
        <v>2953817</v>
      </c>
      <c r="E92" s="8" t="s">
        <v>1052</v>
      </c>
      <c r="F92" s="8" t="s">
        <v>1030</v>
      </c>
      <c r="G92" s="8" t="s">
        <v>1253</v>
      </c>
      <c r="H92" s="8" t="s">
        <v>1041</v>
      </c>
      <c r="I92" s="8" t="s">
        <v>1033</v>
      </c>
      <c r="J92" s="8" t="s">
        <v>1254</v>
      </c>
      <c r="K92" s="8" t="s">
        <v>1035</v>
      </c>
      <c r="L92" s="8" t="s">
        <v>9</v>
      </c>
      <c r="M92" s="8" t="s">
        <v>9</v>
      </c>
      <c r="N92" s="8" t="s">
        <v>1036</v>
      </c>
      <c r="O92" s="8" t="s">
        <v>1037</v>
      </c>
      <c r="P92" s="8"/>
      <c r="Q92" s="8"/>
      <c r="R92" s="8" t="s">
        <v>112</v>
      </c>
      <c r="S92" s="8"/>
      <c r="T92" s="8" t="s">
        <v>1043</v>
      </c>
    </row>
    <row r="93" spans="1:20" ht="36" x14ac:dyDescent="0.3">
      <c r="A93" s="8" t="s">
        <v>1255</v>
      </c>
      <c r="B93" s="10">
        <v>265784</v>
      </c>
      <c r="C93" s="8" t="s">
        <v>179</v>
      </c>
      <c r="D93" s="10">
        <v>2968831</v>
      </c>
      <c r="E93" s="8" t="s">
        <v>1052</v>
      </c>
      <c r="F93" s="8" t="s">
        <v>1030</v>
      </c>
      <c r="G93" s="8" t="s">
        <v>1129</v>
      </c>
      <c r="H93" s="8" t="s">
        <v>1032</v>
      </c>
      <c r="I93" s="8" t="s">
        <v>1033</v>
      </c>
      <c r="J93" s="8" t="s">
        <v>1130</v>
      </c>
      <c r="K93" s="8" t="s">
        <v>1035</v>
      </c>
      <c r="L93" s="8" t="s">
        <v>9</v>
      </c>
      <c r="M93" s="8" t="s">
        <v>9</v>
      </c>
      <c r="N93" s="8" t="s">
        <v>1036</v>
      </c>
      <c r="O93" s="8" t="s">
        <v>1037</v>
      </c>
      <c r="P93" s="8"/>
      <c r="Q93" s="8"/>
      <c r="R93" s="8" t="s">
        <v>112</v>
      </c>
      <c r="S93" s="8"/>
      <c r="T93" s="8" t="s">
        <v>1038</v>
      </c>
    </row>
    <row r="94" spans="1:20" ht="36" x14ac:dyDescent="0.3">
      <c r="A94" s="8" t="s">
        <v>1256</v>
      </c>
      <c r="B94" s="10">
        <v>265784</v>
      </c>
      <c r="C94" s="8" t="s">
        <v>179</v>
      </c>
      <c r="D94" s="10">
        <v>2968831</v>
      </c>
      <c r="E94" s="8" t="s">
        <v>1052</v>
      </c>
      <c r="F94" s="8" t="s">
        <v>1030</v>
      </c>
      <c r="G94" s="8" t="s">
        <v>1257</v>
      </c>
      <c r="H94" s="8" t="s">
        <v>1041</v>
      </c>
      <c r="I94" s="8" t="s">
        <v>1033</v>
      </c>
      <c r="J94" s="8" t="s">
        <v>1258</v>
      </c>
      <c r="K94" s="8" t="s">
        <v>1035</v>
      </c>
      <c r="L94" s="8" t="s">
        <v>9</v>
      </c>
      <c r="M94" s="8" t="s">
        <v>9</v>
      </c>
      <c r="N94" s="8" t="s">
        <v>1036</v>
      </c>
      <c r="O94" s="8" t="s">
        <v>1037</v>
      </c>
      <c r="P94" s="8"/>
      <c r="Q94" s="8"/>
      <c r="R94" s="8" t="s">
        <v>112</v>
      </c>
      <c r="S94" s="8"/>
      <c r="T94" s="8" t="s">
        <v>1043</v>
      </c>
    </row>
    <row r="95" spans="1:20" ht="36" x14ac:dyDescent="0.3">
      <c r="A95" s="8" t="s">
        <v>1259</v>
      </c>
      <c r="B95" s="10">
        <v>264292</v>
      </c>
      <c r="C95" s="8" t="s">
        <v>181</v>
      </c>
      <c r="D95" s="10">
        <v>2951127</v>
      </c>
      <c r="E95" s="8" t="s">
        <v>1052</v>
      </c>
      <c r="F95" s="8" t="s">
        <v>1030</v>
      </c>
      <c r="G95" s="8" t="s">
        <v>1250</v>
      </c>
      <c r="H95" s="8" t="s">
        <v>1032</v>
      </c>
      <c r="I95" s="8" t="s">
        <v>1033</v>
      </c>
      <c r="J95" s="8" t="s">
        <v>1251</v>
      </c>
      <c r="K95" s="8" t="s">
        <v>1035</v>
      </c>
      <c r="L95" s="8" t="s">
        <v>9</v>
      </c>
      <c r="M95" s="8" t="s">
        <v>9</v>
      </c>
      <c r="N95" s="8" t="s">
        <v>1036</v>
      </c>
      <c r="O95" s="8" t="s">
        <v>1037</v>
      </c>
      <c r="P95" s="8"/>
      <c r="Q95" s="8"/>
      <c r="R95" s="8" t="s">
        <v>112</v>
      </c>
      <c r="S95" s="8"/>
      <c r="T95" s="8" t="s">
        <v>1038</v>
      </c>
    </row>
    <row r="96" spans="1:20" ht="36" x14ac:dyDescent="0.3">
      <c r="A96" s="8" t="s">
        <v>1260</v>
      </c>
      <c r="B96" s="10">
        <v>264292</v>
      </c>
      <c r="C96" s="8" t="s">
        <v>181</v>
      </c>
      <c r="D96" s="10">
        <v>2951127</v>
      </c>
      <c r="E96" s="8" t="s">
        <v>1052</v>
      </c>
      <c r="F96" s="8" t="s">
        <v>1030</v>
      </c>
      <c r="G96" s="8" t="s">
        <v>1257</v>
      </c>
      <c r="H96" s="8" t="s">
        <v>1041</v>
      </c>
      <c r="I96" s="8" t="s">
        <v>1033</v>
      </c>
      <c r="J96" s="8" t="s">
        <v>1258</v>
      </c>
      <c r="K96" s="8" t="s">
        <v>1035</v>
      </c>
      <c r="L96" s="8" t="s">
        <v>9</v>
      </c>
      <c r="M96" s="8" t="s">
        <v>9</v>
      </c>
      <c r="N96" s="8" t="s">
        <v>1036</v>
      </c>
      <c r="O96" s="8" t="s">
        <v>1037</v>
      </c>
      <c r="P96" s="8"/>
      <c r="Q96" s="8"/>
      <c r="R96" s="8" t="s">
        <v>112</v>
      </c>
      <c r="S96" s="8"/>
      <c r="T96" s="8" t="s">
        <v>1043</v>
      </c>
    </row>
    <row r="97" spans="1:20" ht="24" x14ac:dyDescent="0.3">
      <c r="A97" s="8" t="s">
        <v>1261</v>
      </c>
      <c r="B97" s="10">
        <v>329797</v>
      </c>
      <c r="C97" s="8" t="s">
        <v>183</v>
      </c>
      <c r="D97" s="10">
        <v>3730185</v>
      </c>
      <c r="E97" s="8" t="s">
        <v>1262</v>
      </c>
      <c r="F97" s="8" t="s">
        <v>1024</v>
      </c>
      <c r="G97" s="8" t="s">
        <v>9</v>
      </c>
      <c r="H97" s="8" t="s">
        <v>9</v>
      </c>
      <c r="I97" s="8" t="s">
        <v>9</v>
      </c>
      <c r="J97" s="8" t="s">
        <v>9</v>
      </c>
      <c r="K97" s="8" t="s">
        <v>9</v>
      </c>
      <c r="L97" s="8" t="s">
        <v>9</v>
      </c>
      <c r="M97" s="8" t="s">
        <v>9</v>
      </c>
      <c r="N97" s="8" t="s">
        <v>1025</v>
      </c>
      <c r="O97" s="8" t="s">
        <v>1026</v>
      </c>
      <c r="P97" s="8"/>
      <c r="Q97" s="8"/>
      <c r="R97" s="8" t="s">
        <v>112</v>
      </c>
      <c r="S97" s="8"/>
      <c r="T97" s="8" t="s">
        <v>1027</v>
      </c>
    </row>
    <row r="98" spans="1:20" ht="36" x14ac:dyDescent="0.3">
      <c r="A98" s="8" t="s">
        <v>1263</v>
      </c>
      <c r="B98" s="10">
        <v>329797</v>
      </c>
      <c r="C98" s="8" t="s">
        <v>183</v>
      </c>
      <c r="D98" s="10">
        <v>3766478</v>
      </c>
      <c r="E98" s="8" t="s">
        <v>1052</v>
      </c>
      <c r="F98" s="8" t="s">
        <v>1030</v>
      </c>
      <c r="G98" s="8" t="s">
        <v>1264</v>
      </c>
      <c r="H98" s="8" t="s">
        <v>1032</v>
      </c>
      <c r="I98" s="8" t="s">
        <v>1033</v>
      </c>
      <c r="J98" s="8" t="s">
        <v>1265</v>
      </c>
      <c r="K98" s="8" t="s">
        <v>1035</v>
      </c>
      <c r="L98" s="8" t="s">
        <v>9</v>
      </c>
      <c r="M98" s="8" t="s">
        <v>9</v>
      </c>
      <c r="N98" s="8" t="s">
        <v>1036</v>
      </c>
      <c r="O98" s="8" t="s">
        <v>1037</v>
      </c>
      <c r="P98" s="8"/>
      <c r="Q98" s="8"/>
      <c r="R98" s="8" t="s">
        <v>112</v>
      </c>
      <c r="S98" s="8"/>
      <c r="T98" s="8" t="s">
        <v>1038</v>
      </c>
    </row>
    <row r="99" spans="1:20" ht="36" x14ac:dyDescent="0.3">
      <c r="A99" s="8" t="s">
        <v>1266</v>
      </c>
      <c r="B99" s="10">
        <v>329797</v>
      </c>
      <c r="C99" s="8" t="s">
        <v>183</v>
      </c>
      <c r="D99" s="10">
        <v>3766478</v>
      </c>
      <c r="E99" s="8" t="s">
        <v>1052</v>
      </c>
      <c r="F99" s="8" t="s">
        <v>1030</v>
      </c>
      <c r="G99" s="8" t="s">
        <v>1267</v>
      </c>
      <c r="H99" s="8" t="s">
        <v>1041</v>
      </c>
      <c r="I99" s="8" t="s">
        <v>1033</v>
      </c>
      <c r="J99" s="8" t="s">
        <v>1268</v>
      </c>
      <c r="K99" s="8" t="s">
        <v>1035</v>
      </c>
      <c r="L99" s="8" t="s">
        <v>9</v>
      </c>
      <c r="M99" s="8" t="s">
        <v>9</v>
      </c>
      <c r="N99" s="8" t="s">
        <v>1036</v>
      </c>
      <c r="O99" s="8" t="s">
        <v>1037</v>
      </c>
      <c r="P99" s="8"/>
      <c r="Q99" s="8"/>
      <c r="R99" s="8" t="s">
        <v>112</v>
      </c>
      <c r="S99" s="8"/>
      <c r="T99" s="8" t="s">
        <v>1043</v>
      </c>
    </row>
    <row r="100" spans="1:20" ht="24" x14ac:dyDescent="0.3">
      <c r="A100" s="8" t="s">
        <v>1269</v>
      </c>
      <c r="B100" s="10">
        <v>320521</v>
      </c>
      <c r="C100" s="8" t="s">
        <v>185</v>
      </c>
      <c r="D100" s="10" t="s">
        <v>9</v>
      </c>
      <c r="E100" s="8" t="s">
        <v>9</v>
      </c>
      <c r="F100" s="8" t="s">
        <v>1069</v>
      </c>
      <c r="G100" s="8" t="s">
        <v>9</v>
      </c>
      <c r="H100" s="8" t="s">
        <v>9</v>
      </c>
      <c r="I100" s="8" t="s">
        <v>9</v>
      </c>
      <c r="J100" s="8" t="s">
        <v>9</v>
      </c>
      <c r="K100" s="8" t="s">
        <v>9</v>
      </c>
      <c r="L100" s="8" t="s">
        <v>9</v>
      </c>
      <c r="M100" s="8" t="s">
        <v>9</v>
      </c>
      <c r="N100" s="8" t="s">
        <v>1025</v>
      </c>
      <c r="O100" s="8" t="s">
        <v>1026</v>
      </c>
      <c r="P100" s="8"/>
      <c r="Q100" s="8"/>
      <c r="R100" s="8" t="s">
        <v>112</v>
      </c>
      <c r="S100" s="8"/>
      <c r="T100" s="8" t="s">
        <v>1070</v>
      </c>
    </row>
    <row r="101" spans="1:20" ht="36" x14ac:dyDescent="0.3">
      <c r="A101" s="8" t="s">
        <v>1270</v>
      </c>
      <c r="B101" s="10">
        <v>332626</v>
      </c>
      <c r="C101" s="8" t="s">
        <v>187</v>
      </c>
      <c r="D101" s="10">
        <v>3787172</v>
      </c>
      <c r="E101" s="8" t="s">
        <v>1271</v>
      </c>
      <c r="F101" s="8" t="s">
        <v>1024</v>
      </c>
      <c r="G101" s="8" t="s">
        <v>1272</v>
      </c>
      <c r="H101" s="8" t="s">
        <v>1047</v>
      </c>
      <c r="I101" s="8" t="s">
        <v>1048</v>
      </c>
      <c r="J101" s="8" t="s">
        <v>1273</v>
      </c>
      <c r="K101" s="8" t="s">
        <v>1035</v>
      </c>
      <c r="L101" s="8" t="s">
        <v>9</v>
      </c>
      <c r="M101" s="8" t="s">
        <v>9</v>
      </c>
      <c r="N101" s="8" t="s">
        <v>1036</v>
      </c>
      <c r="O101" s="8" t="s">
        <v>1037</v>
      </c>
      <c r="P101" s="8"/>
      <c r="Q101" s="8"/>
      <c r="R101" s="8" t="s">
        <v>112</v>
      </c>
      <c r="S101" s="8"/>
      <c r="T101" s="8" t="s">
        <v>1050</v>
      </c>
    </row>
    <row r="102" spans="1:20" ht="36" x14ac:dyDescent="0.3">
      <c r="A102" s="8" t="s">
        <v>1274</v>
      </c>
      <c r="B102" s="10">
        <v>332626</v>
      </c>
      <c r="C102" s="8" t="s">
        <v>187</v>
      </c>
      <c r="D102" s="10">
        <v>3808030</v>
      </c>
      <c r="E102" s="8" t="s">
        <v>1275</v>
      </c>
      <c r="F102" s="8" t="s">
        <v>1024</v>
      </c>
      <c r="G102" s="8" t="s">
        <v>1276</v>
      </c>
      <c r="H102" s="8" t="s">
        <v>1047</v>
      </c>
      <c r="I102" s="8" t="s">
        <v>1048</v>
      </c>
      <c r="J102" s="8" t="s">
        <v>1277</v>
      </c>
      <c r="K102" s="8" t="s">
        <v>1035</v>
      </c>
      <c r="L102" s="8" t="s">
        <v>9</v>
      </c>
      <c r="M102" s="8" t="s">
        <v>9</v>
      </c>
      <c r="N102" s="8" t="s">
        <v>1036</v>
      </c>
      <c r="O102" s="8" t="s">
        <v>1037</v>
      </c>
      <c r="P102" s="8"/>
      <c r="Q102" s="8"/>
      <c r="R102" s="8" t="s">
        <v>112</v>
      </c>
      <c r="S102" s="8"/>
      <c r="T102" s="8" t="s">
        <v>1050</v>
      </c>
    </row>
    <row r="103" spans="1:20" ht="36" x14ac:dyDescent="0.3">
      <c r="A103" s="8" t="s">
        <v>1278</v>
      </c>
      <c r="B103" s="10">
        <v>332626</v>
      </c>
      <c r="C103" s="8" t="s">
        <v>187</v>
      </c>
      <c r="D103" s="10">
        <v>3808031</v>
      </c>
      <c r="E103" s="8" t="s">
        <v>1052</v>
      </c>
      <c r="F103" s="8" t="s">
        <v>1030</v>
      </c>
      <c r="G103" s="8" t="s">
        <v>1053</v>
      </c>
      <c r="H103" s="8" t="s">
        <v>1032</v>
      </c>
      <c r="I103" s="8" t="s">
        <v>1033</v>
      </c>
      <c r="J103" s="8" t="s">
        <v>1054</v>
      </c>
      <c r="K103" s="8" t="s">
        <v>1035</v>
      </c>
      <c r="L103" s="8" t="s">
        <v>9</v>
      </c>
      <c r="M103" s="8" t="s">
        <v>9</v>
      </c>
      <c r="N103" s="8" t="s">
        <v>1036</v>
      </c>
      <c r="O103" s="8" t="s">
        <v>1037</v>
      </c>
      <c r="P103" s="8"/>
      <c r="Q103" s="8"/>
      <c r="R103" s="8" t="s">
        <v>112</v>
      </c>
      <c r="S103" s="8"/>
      <c r="T103" s="8" t="s">
        <v>1038</v>
      </c>
    </row>
    <row r="104" spans="1:20" ht="36" x14ac:dyDescent="0.3">
      <c r="A104" s="8" t="s">
        <v>1279</v>
      </c>
      <c r="B104" s="10">
        <v>332626</v>
      </c>
      <c r="C104" s="8" t="s">
        <v>187</v>
      </c>
      <c r="D104" s="10">
        <v>3808031</v>
      </c>
      <c r="E104" s="8" t="s">
        <v>1052</v>
      </c>
      <c r="F104" s="8" t="s">
        <v>1030</v>
      </c>
      <c r="G104" s="8" t="s">
        <v>1040</v>
      </c>
      <c r="H104" s="8" t="s">
        <v>1041</v>
      </c>
      <c r="I104" s="8" t="s">
        <v>1033</v>
      </c>
      <c r="J104" s="8" t="s">
        <v>1042</v>
      </c>
      <c r="K104" s="8" t="s">
        <v>1035</v>
      </c>
      <c r="L104" s="8" t="s">
        <v>9</v>
      </c>
      <c r="M104" s="8" t="s">
        <v>9</v>
      </c>
      <c r="N104" s="8" t="s">
        <v>1036</v>
      </c>
      <c r="O104" s="8" t="s">
        <v>1037</v>
      </c>
      <c r="P104" s="8"/>
      <c r="Q104" s="8"/>
      <c r="R104" s="8" t="s">
        <v>112</v>
      </c>
      <c r="S104" s="8"/>
      <c r="T104" s="8" t="s">
        <v>1043</v>
      </c>
    </row>
    <row r="105" spans="1:20" ht="36" x14ac:dyDescent="0.3">
      <c r="A105" s="8" t="s">
        <v>1280</v>
      </c>
      <c r="B105" s="10">
        <v>290127</v>
      </c>
      <c r="C105" s="8" t="s">
        <v>189</v>
      </c>
      <c r="D105" s="10">
        <v>3288312</v>
      </c>
      <c r="E105" s="8" t="s">
        <v>1052</v>
      </c>
      <c r="F105" s="8" t="s">
        <v>1030</v>
      </c>
      <c r="G105" s="8" t="s">
        <v>1202</v>
      </c>
      <c r="H105" s="8" t="s">
        <v>1032</v>
      </c>
      <c r="I105" s="8" t="s">
        <v>1033</v>
      </c>
      <c r="J105" s="8" t="s">
        <v>1167</v>
      </c>
      <c r="K105" s="8" t="s">
        <v>1035</v>
      </c>
      <c r="L105" s="8" t="s">
        <v>9</v>
      </c>
      <c r="M105" s="8" t="s">
        <v>9</v>
      </c>
      <c r="N105" s="8" t="s">
        <v>1036</v>
      </c>
      <c r="O105" s="8" t="s">
        <v>1037</v>
      </c>
      <c r="P105" s="8"/>
      <c r="Q105" s="8"/>
      <c r="R105" s="8" t="s">
        <v>112</v>
      </c>
      <c r="S105" s="8"/>
      <c r="T105" s="8" t="s">
        <v>1038</v>
      </c>
    </row>
    <row r="106" spans="1:20" ht="36" x14ac:dyDescent="0.3">
      <c r="A106" s="8" t="s">
        <v>1281</v>
      </c>
      <c r="B106" s="10">
        <v>290127</v>
      </c>
      <c r="C106" s="8" t="s">
        <v>189</v>
      </c>
      <c r="D106" s="10">
        <v>3288312</v>
      </c>
      <c r="E106" s="8" t="s">
        <v>1052</v>
      </c>
      <c r="F106" s="8" t="s">
        <v>1030</v>
      </c>
      <c r="G106" s="8" t="s">
        <v>1282</v>
      </c>
      <c r="H106" s="8" t="s">
        <v>1041</v>
      </c>
      <c r="I106" s="8" t="s">
        <v>1033</v>
      </c>
      <c r="J106" s="8" t="s">
        <v>1283</v>
      </c>
      <c r="K106" s="8" t="s">
        <v>1035</v>
      </c>
      <c r="L106" s="8" t="s">
        <v>9</v>
      </c>
      <c r="M106" s="8" t="s">
        <v>9</v>
      </c>
      <c r="N106" s="8" t="s">
        <v>1036</v>
      </c>
      <c r="O106" s="8" t="s">
        <v>1037</v>
      </c>
      <c r="P106" s="8"/>
      <c r="Q106" s="8"/>
      <c r="R106" s="8" t="s">
        <v>112</v>
      </c>
      <c r="S106" s="8"/>
      <c r="T106" s="8" t="s">
        <v>1043</v>
      </c>
    </row>
    <row r="107" spans="1:20" ht="36" x14ac:dyDescent="0.3">
      <c r="A107" s="8" t="s">
        <v>1284</v>
      </c>
      <c r="B107" s="10">
        <v>292722</v>
      </c>
      <c r="C107" s="8" t="s">
        <v>191</v>
      </c>
      <c r="D107" s="10">
        <v>3317024</v>
      </c>
      <c r="E107" s="8" t="s">
        <v>1052</v>
      </c>
      <c r="F107" s="8" t="s">
        <v>1030</v>
      </c>
      <c r="G107" s="8" t="s">
        <v>1129</v>
      </c>
      <c r="H107" s="8" t="s">
        <v>1032</v>
      </c>
      <c r="I107" s="8" t="s">
        <v>1033</v>
      </c>
      <c r="J107" s="8" t="s">
        <v>1130</v>
      </c>
      <c r="K107" s="8" t="s">
        <v>1035</v>
      </c>
      <c r="L107" s="8" t="s">
        <v>9</v>
      </c>
      <c r="M107" s="8" t="s">
        <v>9</v>
      </c>
      <c r="N107" s="8" t="s">
        <v>1036</v>
      </c>
      <c r="O107" s="8" t="s">
        <v>1037</v>
      </c>
      <c r="P107" s="8"/>
      <c r="Q107" s="8"/>
      <c r="R107" s="8" t="s">
        <v>112</v>
      </c>
      <c r="S107" s="8"/>
      <c r="T107" s="8" t="s">
        <v>1074</v>
      </c>
    </row>
    <row r="108" spans="1:20" ht="36" x14ac:dyDescent="0.3">
      <c r="A108" s="8" t="s">
        <v>1285</v>
      </c>
      <c r="B108" s="10">
        <v>292722</v>
      </c>
      <c r="C108" s="8" t="s">
        <v>191</v>
      </c>
      <c r="D108" s="10">
        <v>3317024</v>
      </c>
      <c r="E108" s="8" t="s">
        <v>1052</v>
      </c>
      <c r="F108" s="8" t="s">
        <v>1030</v>
      </c>
      <c r="G108" s="8" t="s">
        <v>1040</v>
      </c>
      <c r="H108" s="8" t="s">
        <v>1041</v>
      </c>
      <c r="I108" s="8" t="s">
        <v>1033</v>
      </c>
      <c r="J108" s="8" t="s">
        <v>1042</v>
      </c>
      <c r="K108" s="8" t="s">
        <v>1035</v>
      </c>
      <c r="L108" s="8" t="s">
        <v>9</v>
      </c>
      <c r="M108" s="8" t="s">
        <v>9</v>
      </c>
      <c r="N108" s="8" t="s">
        <v>1036</v>
      </c>
      <c r="O108" s="8" t="s">
        <v>1037</v>
      </c>
      <c r="P108" s="8"/>
      <c r="Q108" s="8"/>
      <c r="R108" s="8" t="s">
        <v>112</v>
      </c>
      <c r="S108" s="8"/>
      <c r="T108" s="8" t="s">
        <v>1076</v>
      </c>
    </row>
    <row r="109" spans="1:20" ht="36" x14ac:dyDescent="0.3">
      <c r="A109" s="8" t="s">
        <v>1286</v>
      </c>
      <c r="B109" s="10">
        <v>292722</v>
      </c>
      <c r="C109" s="8" t="s">
        <v>191</v>
      </c>
      <c r="D109" s="10">
        <v>3317024</v>
      </c>
      <c r="E109" s="8" t="s">
        <v>1052</v>
      </c>
      <c r="F109" s="8" t="s">
        <v>1030</v>
      </c>
      <c r="G109" s="8" t="s">
        <v>1078</v>
      </c>
      <c r="H109" s="8" t="s">
        <v>1079</v>
      </c>
      <c r="I109" s="8" t="s">
        <v>1080</v>
      </c>
      <c r="J109" s="8" t="s">
        <v>1073</v>
      </c>
      <c r="K109" s="8" t="s">
        <v>1035</v>
      </c>
      <c r="L109" s="8" t="s">
        <v>9</v>
      </c>
      <c r="M109" s="8" t="s">
        <v>9</v>
      </c>
      <c r="N109" s="8" t="s">
        <v>1036</v>
      </c>
      <c r="O109" s="8" t="s">
        <v>1037</v>
      </c>
      <c r="P109" s="8"/>
      <c r="Q109" s="8"/>
      <c r="R109" s="8" t="s">
        <v>112</v>
      </c>
      <c r="S109" s="8"/>
      <c r="T109" s="8" t="s">
        <v>1081</v>
      </c>
    </row>
    <row r="110" spans="1:20" ht="36" x14ac:dyDescent="0.3">
      <c r="A110" s="8" t="s">
        <v>1287</v>
      </c>
      <c r="B110" s="10">
        <v>292722</v>
      </c>
      <c r="C110" s="8" t="s">
        <v>191</v>
      </c>
      <c r="D110" s="10">
        <v>3317210</v>
      </c>
      <c r="E110" s="8" t="s">
        <v>1161</v>
      </c>
      <c r="F110" s="8" t="s">
        <v>1030</v>
      </c>
      <c r="G110" s="8" t="s">
        <v>1162</v>
      </c>
      <c r="H110" s="8" t="s">
        <v>1032</v>
      </c>
      <c r="I110" s="8" t="s">
        <v>1080</v>
      </c>
      <c r="J110" s="8" t="s">
        <v>1073</v>
      </c>
      <c r="K110" s="8" t="s">
        <v>1035</v>
      </c>
      <c r="L110" s="8" t="s">
        <v>9</v>
      </c>
      <c r="M110" s="8" t="s">
        <v>9</v>
      </c>
      <c r="N110" s="8" t="s">
        <v>1036</v>
      </c>
      <c r="O110" s="8" t="s">
        <v>1037</v>
      </c>
      <c r="P110" s="8"/>
      <c r="Q110" s="8"/>
      <c r="R110" s="8" t="s">
        <v>112</v>
      </c>
      <c r="S110" s="8"/>
      <c r="T110" s="8" t="s">
        <v>1050</v>
      </c>
    </row>
    <row r="111" spans="1:20" ht="24" x14ac:dyDescent="0.3">
      <c r="A111" s="8" t="s">
        <v>1288</v>
      </c>
      <c r="B111" s="10">
        <v>303264</v>
      </c>
      <c r="C111" s="8" t="s">
        <v>193</v>
      </c>
      <c r="D111" s="10" t="s">
        <v>9</v>
      </c>
      <c r="E111" s="8" t="s">
        <v>9</v>
      </c>
      <c r="F111" s="8" t="s">
        <v>1069</v>
      </c>
      <c r="G111" s="8" t="s">
        <v>9</v>
      </c>
      <c r="H111" s="8" t="s">
        <v>9</v>
      </c>
      <c r="I111" s="8" t="s">
        <v>9</v>
      </c>
      <c r="J111" s="8" t="s">
        <v>9</v>
      </c>
      <c r="K111" s="8" t="s">
        <v>9</v>
      </c>
      <c r="L111" s="8" t="s">
        <v>9</v>
      </c>
      <c r="M111" s="8" t="s">
        <v>9</v>
      </c>
      <c r="N111" s="8" t="s">
        <v>1025</v>
      </c>
      <c r="O111" s="8" t="s">
        <v>1026</v>
      </c>
      <c r="P111" s="8"/>
      <c r="Q111" s="8"/>
      <c r="R111" s="8" t="s">
        <v>112</v>
      </c>
      <c r="S111" s="8"/>
      <c r="T111" s="8" t="s">
        <v>1070</v>
      </c>
    </row>
    <row r="112" spans="1:20" ht="36" x14ac:dyDescent="0.3">
      <c r="A112" s="8" t="s">
        <v>1289</v>
      </c>
      <c r="B112" s="10">
        <v>305162</v>
      </c>
      <c r="C112" s="8" t="s">
        <v>195</v>
      </c>
      <c r="D112" s="10">
        <v>3458544</v>
      </c>
      <c r="E112" s="8" t="s">
        <v>1290</v>
      </c>
      <c r="F112" s="8" t="s">
        <v>1024</v>
      </c>
      <c r="G112" s="8" t="s">
        <v>1291</v>
      </c>
      <c r="H112" s="8" t="s">
        <v>1292</v>
      </c>
      <c r="I112" s="8" t="s">
        <v>1105</v>
      </c>
      <c r="J112" s="8"/>
      <c r="K112" s="8" t="s">
        <v>1035</v>
      </c>
      <c r="L112" s="8" t="s">
        <v>9</v>
      </c>
      <c r="M112" s="8" t="s">
        <v>9</v>
      </c>
      <c r="N112" s="8" t="s">
        <v>1036</v>
      </c>
      <c r="O112" s="8" t="s">
        <v>1037</v>
      </c>
      <c r="P112" s="8"/>
      <c r="Q112" s="8"/>
      <c r="R112" s="8" t="s">
        <v>112</v>
      </c>
      <c r="S112" s="8"/>
      <c r="T112" s="8" t="s">
        <v>1050</v>
      </c>
    </row>
    <row r="113" spans="1:20" ht="36" x14ac:dyDescent="0.3">
      <c r="A113" s="8" t="s">
        <v>1293</v>
      </c>
      <c r="B113" s="10">
        <v>305162</v>
      </c>
      <c r="C113" s="8" t="s">
        <v>195</v>
      </c>
      <c r="D113" s="10">
        <v>3488235</v>
      </c>
      <c r="E113" s="8" t="s">
        <v>1294</v>
      </c>
      <c r="F113" s="8" t="s">
        <v>1024</v>
      </c>
      <c r="G113" s="8" t="s">
        <v>1291</v>
      </c>
      <c r="H113" s="8" t="s">
        <v>1292</v>
      </c>
      <c r="I113" s="8" t="s">
        <v>1105</v>
      </c>
      <c r="J113" s="8"/>
      <c r="K113" s="8" t="s">
        <v>1035</v>
      </c>
      <c r="L113" s="8" t="s">
        <v>9</v>
      </c>
      <c r="M113" s="8" t="s">
        <v>9</v>
      </c>
      <c r="N113" s="8" t="s">
        <v>1036</v>
      </c>
      <c r="O113" s="8" t="s">
        <v>1037</v>
      </c>
      <c r="P113" s="8"/>
      <c r="Q113" s="8"/>
      <c r="R113" s="8" t="s">
        <v>112</v>
      </c>
      <c r="S113" s="8"/>
      <c r="T113" s="8" t="s">
        <v>1050</v>
      </c>
    </row>
    <row r="114" spans="1:20" ht="36" x14ac:dyDescent="0.3">
      <c r="A114" s="8" t="s">
        <v>1295</v>
      </c>
      <c r="B114" s="10">
        <v>289953</v>
      </c>
      <c r="C114" s="8" t="s">
        <v>197</v>
      </c>
      <c r="D114" s="10">
        <v>3285443</v>
      </c>
      <c r="E114" s="8" t="s">
        <v>1052</v>
      </c>
      <c r="F114" s="8" t="s">
        <v>1030</v>
      </c>
      <c r="G114" s="8" t="s">
        <v>1296</v>
      </c>
      <c r="H114" s="8" t="s">
        <v>1032</v>
      </c>
      <c r="I114" s="8" t="s">
        <v>1033</v>
      </c>
      <c r="J114" s="8" t="s">
        <v>1297</v>
      </c>
      <c r="K114" s="8" t="s">
        <v>1035</v>
      </c>
      <c r="L114" s="8" t="s">
        <v>9</v>
      </c>
      <c r="M114" s="8" t="s">
        <v>9</v>
      </c>
      <c r="N114" s="8" t="s">
        <v>1036</v>
      </c>
      <c r="O114" s="8" t="s">
        <v>1037</v>
      </c>
      <c r="P114" s="8"/>
      <c r="Q114" s="8"/>
      <c r="R114" s="8" t="s">
        <v>112</v>
      </c>
      <c r="S114" s="8"/>
      <c r="T114" s="8" t="s">
        <v>1038</v>
      </c>
    </row>
    <row r="115" spans="1:20" ht="36" x14ac:dyDescent="0.3">
      <c r="A115" s="8" t="s">
        <v>1298</v>
      </c>
      <c r="B115" s="10">
        <v>289953</v>
      </c>
      <c r="C115" s="8" t="s">
        <v>197</v>
      </c>
      <c r="D115" s="10">
        <v>3285443</v>
      </c>
      <c r="E115" s="8" t="s">
        <v>1052</v>
      </c>
      <c r="F115" s="8" t="s">
        <v>1030</v>
      </c>
      <c r="G115" s="8" t="s">
        <v>1040</v>
      </c>
      <c r="H115" s="8" t="s">
        <v>1041</v>
      </c>
      <c r="I115" s="8" t="s">
        <v>1033</v>
      </c>
      <c r="J115" s="8" t="s">
        <v>1042</v>
      </c>
      <c r="K115" s="8" t="s">
        <v>1035</v>
      </c>
      <c r="L115" s="8" t="s">
        <v>9</v>
      </c>
      <c r="M115" s="8" t="s">
        <v>9</v>
      </c>
      <c r="N115" s="8" t="s">
        <v>1036</v>
      </c>
      <c r="O115" s="8" t="s">
        <v>1037</v>
      </c>
      <c r="P115" s="8"/>
      <c r="Q115" s="8"/>
      <c r="R115" s="8" t="s">
        <v>112</v>
      </c>
      <c r="S115" s="8"/>
      <c r="T115" s="8" t="s">
        <v>1043</v>
      </c>
    </row>
    <row r="116" spans="1:20" ht="36" x14ac:dyDescent="0.3">
      <c r="A116" s="8" t="s">
        <v>1299</v>
      </c>
      <c r="B116" s="10">
        <v>319331</v>
      </c>
      <c r="C116" s="8" t="s">
        <v>199</v>
      </c>
      <c r="D116" s="10">
        <v>3621252</v>
      </c>
      <c r="E116" s="8" t="s">
        <v>1052</v>
      </c>
      <c r="F116" s="8" t="s">
        <v>1030</v>
      </c>
      <c r="G116" s="8" t="s">
        <v>1053</v>
      </c>
      <c r="H116" s="8" t="s">
        <v>1032</v>
      </c>
      <c r="I116" s="8" t="s">
        <v>1033</v>
      </c>
      <c r="J116" s="8" t="s">
        <v>1054</v>
      </c>
      <c r="K116" s="8" t="s">
        <v>1035</v>
      </c>
      <c r="L116" s="8" t="s">
        <v>9</v>
      </c>
      <c r="M116" s="8" t="s">
        <v>9</v>
      </c>
      <c r="N116" s="8" t="s">
        <v>1036</v>
      </c>
      <c r="O116" s="8" t="s">
        <v>1037</v>
      </c>
      <c r="P116" s="8"/>
      <c r="Q116" s="8"/>
      <c r="R116" s="8" t="s">
        <v>112</v>
      </c>
      <c r="S116" s="8"/>
      <c r="T116" s="8" t="s">
        <v>1038</v>
      </c>
    </row>
    <row r="117" spans="1:20" ht="36" x14ac:dyDescent="0.3">
      <c r="A117" s="8" t="s">
        <v>1300</v>
      </c>
      <c r="B117" s="10">
        <v>319331</v>
      </c>
      <c r="C117" s="8" t="s">
        <v>199</v>
      </c>
      <c r="D117" s="10">
        <v>3621252</v>
      </c>
      <c r="E117" s="8" t="s">
        <v>1052</v>
      </c>
      <c r="F117" s="8" t="s">
        <v>1030</v>
      </c>
      <c r="G117" s="8" t="s">
        <v>1056</v>
      </c>
      <c r="H117" s="8" t="s">
        <v>1041</v>
      </c>
      <c r="I117" s="8" t="s">
        <v>1033</v>
      </c>
      <c r="J117" s="8" t="s">
        <v>1057</v>
      </c>
      <c r="K117" s="8" t="s">
        <v>1035</v>
      </c>
      <c r="L117" s="8" t="s">
        <v>9</v>
      </c>
      <c r="M117" s="8" t="s">
        <v>9</v>
      </c>
      <c r="N117" s="8" t="s">
        <v>1036</v>
      </c>
      <c r="O117" s="8" t="s">
        <v>1037</v>
      </c>
      <c r="P117" s="8"/>
      <c r="Q117" s="8"/>
      <c r="R117" s="8" t="s">
        <v>112</v>
      </c>
      <c r="S117" s="8"/>
      <c r="T117" s="8" t="s">
        <v>1043</v>
      </c>
    </row>
  </sheetData>
  <mergeCells count="2">
    <mergeCell ref="A1:T1"/>
    <mergeCell ref="A2:T2"/>
  </mergeCells>
  <conditionalFormatting sqref="R5:R217">
    <cfRule type="cellIs" dxfId="135" priority="1" stopIfTrue="1" operator="equal">
      <formula>"Pass"</formula>
    </cfRule>
    <cfRule type="cellIs" dxfId="134" priority="2" stopIfTrue="1" operator="equal">
      <formula>"Fail"</formula>
    </cfRule>
    <cfRule type="cellIs" dxfId="133" priority="3" stopIfTrue="1" operator="equal">
      <formula>"Blocked"</formula>
    </cfRule>
    <cfRule type="cellIs" dxfId="132" priority="4" stopIfTrue="1" operator="equal">
      <formula>"In Progress"</formula>
    </cfRule>
    <cfRule type="cellIs" dxfId="131" priority="5" stopIfTrue="1" operator="equal">
      <formula>"Not Started"</formula>
    </cfRule>
    <cfRule type="cellIs" dxfId="130" priority="6" stopIfTrue="1" operator="equal">
      <formula>"N/A"</formula>
    </cfRule>
    <cfRule type="cellIs" dxfId="129" priority="7" stopIfTrue="1" operator="equal">
      <formula>"Ready"</formula>
    </cfRule>
    <cfRule type="cellIs" dxfId="128" priority="8" stopIfTrue="1" operator="equal">
      <formula>"Not Ready"</formula>
    </cfRule>
  </conditionalFormatting>
  <dataValidations count="2">
    <dataValidation type="list" allowBlank="1" showInputMessage="1" showErrorMessage="1" errorTitle="Invalid selection" error="Select a value from the dropdown list." sqref="F5:F217" xr:uid="{76A23CF4-94E5-4AF6-B8EC-DD7CB89D84A7}">
      <formula1>"Activity,Experience,Location,Profile,Reporting Audience"</formula1>
    </dataValidation>
    <dataValidation type="list" allowBlank="1" showInputMessage="1" showErrorMessage="1" errorTitle="Invalid selection" error="Select a value from the dropdown list." sqref="R5:R217" xr:uid="{14C5E525-3DB6-4456-8176-4C88D1BE160C}">
      <formula1>"Not Started,In Progress,Pass,Fail,Blocked,N/A"</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789DD-22CE-4CF1-892A-D806CF89703F}">
  <dimension ref="A1:U245"/>
  <sheetViews>
    <sheetView showGridLines="0" zoomScale="70" zoomScaleNormal="70" workbookViewId="0">
      <pane xSplit="3" ySplit="4" topLeftCell="D5" activePane="bottomRight" state="frozenSplit"/>
      <selection pane="bottomLeft" activeCell="A5" sqref="A5"/>
      <selection pane="topRight" activeCell="D1" sqref="D1"/>
      <selection pane="bottomRight"/>
    </sheetView>
  </sheetViews>
  <sheetFormatPr defaultRowHeight="14.4" x14ac:dyDescent="0.3"/>
  <cols>
    <col min="1" max="1" width="16.77734375" customWidth="1"/>
    <col min="2" max="2" width="14.77734375" style="11" customWidth="1"/>
    <col min="3" max="3" width="34.77734375" customWidth="1"/>
    <col min="4" max="4" width="28.77734375" customWidth="1"/>
    <col min="5" max="5" width="24.77734375" customWidth="1"/>
    <col min="6" max="6" width="16.77734375" customWidth="1"/>
    <col min="7" max="7" width="42.77734375" customWidth="1"/>
    <col min="8" max="8" width="28.77734375" customWidth="1"/>
    <col min="9" max="9" width="34.77734375" customWidth="1"/>
    <col min="10" max="10" width="28.77734375" customWidth="1"/>
    <col min="11" max="11" width="34.77734375" customWidth="1"/>
    <col min="12" max="12" width="30.77734375" customWidth="1"/>
    <col min="13" max="13" width="38.77734375" customWidth="1"/>
    <col min="14" max="14" width="16.77734375" customWidth="1"/>
    <col min="15" max="15" width="20.77734375" customWidth="1"/>
    <col min="16" max="16" width="18.77734375" customWidth="1"/>
    <col min="17" max="17" width="16.77734375" customWidth="1"/>
    <col min="18" max="18" width="42.77734375" customWidth="1"/>
    <col min="19" max="19" width="16.77734375" customWidth="1"/>
    <col min="20" max="20" width="30.77734375" customWidth="1"/>
    <col min="21" max="21" width="44.77734375" customWidth="1"/>
  </cols>
  <sheetData>
    <row r="1" spans="1:21" ht="30" customHeight="1" x14ac:dyDescent="0.3">
      <c r="A1" s="1" t="s">
        <v>571</v>
      </c>
      <c r="B1" s="1"/>
      <c r="C1" s="1"/>
      <c r="D1" s="1"/>
      <c r="E1" s="1"/>
      <c r="F1" s="1"/>
      <c r="G1" s="1"/>
      <c r="H1" s="1"/>
      <c r="I1" s="1"/>
      <c r="J1" s="1"/>
      <c r="K1" s="1"/>
      <c r="L1" s="1"/>
      <c r="M1" s="1"/>
      <c r="N1" s="1"/>
      <c r="O1" s="1"/>
      <c r="P1" s="1"/>
      <c r="Q1" s="1"/>
      <c r="R1" s="1"/>
      <c r="S1" s="1"/>
      <c r="T1" s="1"/>
      <c r="U1" s="1"/>
    </row>
    <row r="2" spans="1:21" ht="28.05" customHeight="1" x14ac:dyDescent="0.3">
      <c r="A2" s="2" t="s">
        <v>572</v>
      </c>
      <c r="B2" s="2"/>
      <c r="C2" s="2"/>
      <c r="D2" s="2"/>
      <c r="E2" s="2"/>
      <c r="F2" s="2"/>
      <c r="G2" s="2"/>
      <c r="H2" s="2"/>
      <c r="I2" s="2"/>
      <c r="J2" s="2"/>
      <c r="K2" s="2"/>
      <c r="L2" s="2"/>
      <c r="M2" s="2"/>
      <c r="N2" s="2"/>
      <c r="O2" s="2"/>
      <c r="P2" s="2"/>
      <c r="Q2" s="2"/>
      <c r="R2" s="2"/>
      <c r="S2" s="2"/>
      <c r="T2" s="2"/>
      <c r="U2" s="2"/>
    </row>
    <row r="4" spans="1:21" ht="42" customHeight="1" x14ac:dyDescent="0.3">
      <c r="A4" s="7" t="s">
        <v>219</v>
      </c>
      <c r="B4" s="9" t="s">
        <v>92</v>
      </c>
      <c r="C4" s="7" t="s">
        <v>93</v>
      </c>
      <c r="D4" s="7" t="s">
        <v>573</v>
      </c>
      <c r="E4" s="7" t="s">
        <v>574</v>
      </c>
      <c r="F4" s="7" t="s">
        <v>575</v>
      </c>
      <c r="G4" s="7" t="s">
        <v>576</v>
      </c>
      <c r="H4" s="7" t="s">
        <v>577</v>
      </c>
      <c r="I4" s="7" t="s">
        <v>578</v>
      </c>
      <c r="J4" s="7" t="s">
        <v>579</v>
      </c>
      <c r="K4" s="7" t="s">
        <v>580</v>
      </c>
      <c r="L4" s="7" t="s">
        <v>581</v>
      </c>
      <c r="M4" s="7" t="s">
        <v>582</v>
      </c>
      <c r="N4" s="7" t="s">
        <v>583</v>
      </c>
      <c r="O4" s="7" t="s">
        <v>584</v>
      </c>
      <c r="P4" s="7" t="s">
        <v>585</v>
      </c>
      <c r="Q4" s="7" t="s">
        <v>586</v>
      </c>
      <c r="R4" s="7" t="s">
        <v>262</v>
      </c>
      <c r="S4" s="7" t="s">
        <v>25</v>
      </c>
      <c r="T4" s="7" t="s">
        <v>107</v>
      </c>
      <c r="U4" s="7" t="s">
        <v>7</v>
      </c>
    </row>
    <row r="5" spans="1:21" ht="48" x14ac:dyDescent="0.3">
      <c r="A5" s="8" t="s">
        <v>587</v>
      </c>
      <c r="B5" s="10">
        <v>238801</v>
      </c>
      <c r="C5" s="8" t="s">
        <v>110</v>
      </c>
      <c r="D5" s="8" t="s">
        <v>9</v>
      </c>
      <c r="E5" s="8" t="s">
        <v>588</v>
      </c>
      <c r="F5" s="8" t="s">
        <v>384</v>
      </c>
      <c r="G5" s="8" t="s">
        <v>589</v>
      </c>
      <c r="H5" s="8" t="s">
        <v>9</v>
      </c>
      <c r="I5" s="8" t="s">
        <v>590</v>
      </c>
      <c r="J5" s="8" t="s">
        <v>591</v>
      </c>
      <c r="K5" s="8" t="s">
        <v>592</v>
      </c>
      <c r="L5" s="8" t="s">
        <v>355</v>
      </c>
      <c r="M5" s="8" t="s">
        <v>593</v>
      </c>
      <c r="N5" s="8" t="s">
        <v>111</v>
      </c>
      <c r="O5" s="8" t="s">
        <v>111</v>
      </c>
      <c r="P5" s="8" t="s">
        <v>111</v>
      </c>
      <c r="Q5" s="8" t="s">
        <v>111</v>
      </c>
      <c r="R5" s="8"/>
      <c r="S5" s="8" t="s">
        <v>112</v>
      </c>
      <c r="T5" s="8"/>
      <c r="U5" s="8" t="s">
        <v>594</v>
      </c>
    </row>
    <row r="6" spans="1:21" ht="24" x14ac:dyDescent="0.3">
      <c r="A6" s="8" t="s">
        <v>595</v>
      </c>
      <c r="B6" s="10">
        <v>238801</v>
      </c>
      <c r="C6" s="8" t="s">
        <v>110</v>
      </c>
      <c r="D6" s="8" t="s">
        <v>9</v>
      </c>
      <c r="E6" s="8" t="s">
        <v>588</v>
      </c>
      <c r="F6" s="8" t="s">
        <v>384</v>
      </c>
      <c r="G6" s="8" t="s">
        <v>596</v>
      </c>
      <c r="H6" s="8" t="s">
        <v>9</v>
      </c>
      <c r="I6" s="8" t="s">
        <v>355</v>
      </c>
      <c r="J6" s="8" t="s">
        <v>591</v>
      </c>
      <c r="K6" s="8" t="s">
        <v>592</v>
      </c>
      <c r="L6" s="8" t="s">
        <v>597</v>
      </c>
      <c r="M6" s="8" t="s">
        <v>593</v>
      </c>
      <c r="N6" s="8" t="s">
        <v>111</v>
      </c>
      <c r="O6" s="8" t="s">
        <v>111</v>
      </c>
      <c r="P6" s="8" t="s">
        <v>111</v>
      </c>
      <c r="Q6" s="8" t="s">
        <v>111</v>
      </c>
      <c r="R6" s="8"/>
      <c r="S6" s="8" t="s">
        <v>112</v>
      </c>
      <c r="T6" s="8"/>
      <c r="U6" s="8" t="s">
        <v>594</v>
      </c>
    </row>
    <row r="7" spans="1:21" ht="48" x14ac:dyDescent="0.3">
      <c r="A7" s="8" t="s">
        <v>598</v>
      </c>
      <c r="B7" s="10">
        <v>238801</v>
      </c>
      <c r="C7" s="8" t="s">
        <v>110</v>
      </c>
      <c r="D7" s="8" t="s">
        <v>9</v>
      </c>
      <c r="E7" s="8" t="s">
        <v>588</v>
      </c>
      <c r="F7" s="8" t="s">
        <v>384</v>
      </c>
      <c r="G7" s="8" t="s">
        <v>589</v>
      </c>
      <c r="H7" s="8" t="s">
        <v>9</v>
      </c>
      <c r="I7" s="8" t="s">
        <v>355</v>
      </c>
      <c r="J7" s="8" t="s">
        <v>591</v>
      </c>
      <c r="K7" s="8" t="s">
        <v>592</v>
      </c>
      <c r="L7" s="8" t="s">
        <v>355</v>
      </c>
      <c r="M7" s="8" t="s">
        <v>593</v>
      </c>
      <c r="N7" s="8" t="s">
        <v>111</v>
      </c>
      <c r="O7" s="8" t="s">
        <v>111</v>
      </c>
      <c r="P7" s="8" t="s">
        <v>111</v>
      </c>
      <c r="Q7" s="8" t="s">
        <v>111</v>
      </c>
      <c r="R7" s="8"/>
      <c r="S7" s="8" t="s">
        <v>112</v>
      </c>
      <c r="T7" s="8"/>
      <c r="U7" s="8" t="s">
        <v>594</v>
      </c>
    </row>
    <row r="8" spans="1:21" ht="24" x14ac:dyDescent="0.3">
      <c r="A8" s="8" t="s">
        <v>599</v>
      </c>
      <c r="B8" s="10">
        <v>238801</v>
      </c>
      <c r="C8" s="8" t="s">
        <v>110</v>
      </c>
      <c r="D8" s="8" t="s">
        <v>9</v>
      </c>
      <c r="E8" s="8" t="s">
        <v>588</v>
      </c>
      <c r="F8" s="8" t="s">
        <v>384</v>
      </c>
      <c r="G8" s="8" t="s">
        <v>596</v>
      </c>
      <c r="H8" s="8" t="s">
        <v>9</v>
      </c>
      <c r="I8" s="8" t="s">
        <v>355</v>
      </c>
      <c r="J8" s="8" t="s">
        <v>591</v>
      </c>
      <c r="K8" s="8" t="s">
        <v>592</v>
      </c>
      <c r="L8" s="8" t="s">
        <v>597</v>
      </c>
      <c r="M8" s="8" t="s">
        <v>593</v>
      </c>
      <c r="N8" s="8" t="s">
        <v>111</v>
      </c>
      <c r="O8" s="8" t="s">
        <v>111</v>
      </c>
      <c r="P8" s="8" t="s">
        <v>111</v>
      </c>
      <c r="Q8" s="8" t="s">
        <v>111</v>
      </c>
      <c r="R8" s="8"/>
      <c r="S8" s="8" t="s">
        <v>112</v>
      </c>
      <c r="T8" s="8"/>
      <c r="U8" s="8" t="s">
        <v>594</v>
      </c>
    </row>
    <row r="9" spans="1:21" ht="48" x14ac:dyDescent="0.3">
      <c r="A9" s="8" t="s">
        <v>600</v>
      </c>
      <c r="B9" s="10">
        <v>238801</v>
      </c>
      <c r="C9" s="8" t="s">
        <v>110</v>
      </c>
      <c r="D9" s="8" t="s">
        <v>9</v>
      </c>
      <c r="E9" s="8" t="s">
        <v>588</v>
      </c>
      <c r="F9" s="8" t="s">
        <v>384</v>
      </c>
      <c r="G9" s="8" t="s">
        <v>589</v>
      </c>
      <c r="H9" s="8" t="s">
        <v>9</v>
      </c>
      <c r="I9" s="8" t="s">
        <v>601</v>
      </c>
      <c r="J9" s="8" t="s">
        <v>591</v>
      </c>
      <c r="K9" s="8" t="s">
        <v>592</v>
      </c>
      <c r="L9" s="8" t="s">
        <v>355</v>
      </c>
      <c r="M9" s="8" t="s">
        <v>593</v>
      </c>
      <c r="N9" s="8" t="s">
        <v>111</v>
      </c>
      <c r="O9" s="8" t="s">
        <v>111</v>
      </c>
      <c r="P9" s="8" t="s">
        <v>111</v>
      </c>
      <c r="Q9" s="8" t="s">
        <v>111</v>
      </c>
      <c r="R9" s="8"/>
      <c r="S9" s="8" t="s">
        <v>112</v>
      </c>
      <c r="T9" s="8"/>
      <c r="U9" s="8" t="s">
        <v>594</v>
      </c>
    </row>
    <row r="10" spans="1:21" ht="24" x14ac:dyDescent="0.3">
      <c r="A10" s="8" t="s">
        <v>602</v>
      </c>
      <c r="B10" s="10">
        <v>238801</v>
      </c>
      <c r="C10" s="8" t="s">
        <v>110</v>
      </c>
      <c r="D10" s="8" t="s">
        <v>9</v>
      </c>
      <c r="E10" s="8" t="s">
        <v>588</v>
      </c>
      <c r="F10" s="8" t="s">
        <v>384</v>
      </c>
      <c r="G10" s="8" t="s">
        <v>596</v>
      </c>
      <c r="H10" s="8" t="s">
        <v>9</v>
      </c>
      <c r="I10" s="8" t="s">
        <v>603</v>
      </c>
      <c r="J10" s="8" t="s">
        <v>591</v>
      </c>
      <c r="K10" s="8" t="s">
        <v>592</v>
      </c>
      <c r="L10" s="8" t="s">
        <v>597</v>
      </c>
      <c r="M10" s="8" t="s">
        <v>593</v>
      </c>
      <c r="N10" s="8" t="s">
        <v>111</v>
      </c>
      <c r="O10" s="8" t="s">
        <v>111</v>
      </c>
      <c r="P10" s="8" t="s">
        <v>111</v>
      </c>
      <c r="Q10" s="8" t="s">
        <v>111</v>
      </c>
      <c r="R10" s="8"/>
      <c r="S10" s="8" t="s">
        <v>112</v>
      </c>
      <c r="T10" s="8"/>
      <c r="U10" s="8" t="s">
        <v>594</v>
      </c>
    </row>
    <row r="11" spans="1:21" ht="48" x14ac:dyDescent="0.3">
      <c r="A11" s="8" t="s">
        <v>604</v>
      </c>
      <c r="B11" s="10">
        <v>319925</v>
      </c>
      <c r="C11" s="8" t="s">
        <v>116</v>
      </c>
      <c r="D11" s="8" t="s">
        <v>9</v>
      </c>
      <c r="E11" s="8" t="s">
        <v>588</v>
      </c>
      <c r="F11" s="8" t="s">
        <v>384</v>
      </c>
      <c r="G11" s="8" t="s">
        <v>605</v>
      </c>
      <c r="H11" s="8" t="s">
        <v>9</v>
      </c>
      <c r="I11" s="8" t="s">
        <v>606</v>
      </c>
      <c r="J11" s="8" t="s">
        <v>591</v>
      </c>
      <c r="K11" s="8" t="s">
        <v>592</v>
      </c>
      <c r="L11" s="8">
        <v>277464</v>
      </c>
      <c r="M11" s="8" t="s">
        <v>593</v>
      </c>
      <c r="N11" s="8" t="s">
        <v>111</v>
      </c>
      <c r="O11" s="8" t="s">
        <v>111</v>
      </c>
      <c r="P11" s="8" t="s">
        <v>111</v>
      </c>
      <c r="Q11" s="8" t="s">
        <v>111</v>
      </c>
      <c r="R11" s="8"/>
      <c r="S11" s="8" t="s">
        <v>112</v>
      </c>
      <c r="T11" s="8"/>
      <c r="U11" s="8" t="s">
        <v>594</v>
      </c>
    </row>
    <row r="12" spans="1:21" ht="48" x14ac:dyDescent="0.3">
      <c r="A12" s="8" t="s">
        <v>607</v>
      </c>
      <c r="B12" s="10">
        <v>319925</v>
      </c>
      <c r="C12" s="8" t="s">
        <v>116</v>
      </c>
      <c r="D12" s="8" t="s">
        <v>9</v>
      </c>
      <c r="E12" s="8" t="s">
        <v>588</v>
      </c>
      <c r="F12" s="8" t="s">
        <v>384</v>
      </c>
      <c r="G12" s="8" t="s">
        <v>605</v>
      </c>
      <c r="H12" s="8" t="s">
        <v>9</v>
      </c>
      <c r="I12" s="8" t="s">
        <v>608</v>
      </c>
      <c r="J12" s="8" t="s">
        <v>591</v>
      </c>
      <c r="K12" s="8" t="s">
        <v>592</v>
      </c>
      <c r="L12" s="8">
        <v>277464</v>
      </c>
      <c r="M12" s="8" t="s">
        <v>593</v>
      </c>
      <c r="N12" s="8" t="s">
        <v>111</v>
      </c>
      <c r="O12" s="8" t="s">
        <v>111</v>
      </c>
      <c r="P12" s="8" t="s">
        <v>111</v>
      </c>
      <c r="Q12" s="8" t="s">
        <v>111</v>
      </c>
      <c r="R12" s="8"/>
      <c r="S12" s="8" t="s">
        <v>112</v>
      </c>
      <c r="T12" s="8"/>
      <c r="U12" s="8" t="s">
        <v>594</v>
      </c>
    </row>
    <row r="13" spans="1:21" ht="90" customHeight="1" x14ac:dyDescent="0.3">
      <c r="A13" s="8" t="s">
        <v>609</v>
      </c>
      <c r="B13" s="10">
        <v>215656</v>
      </c>
      <c r="C13" s="8" t="s">
        <v>118</v>
      </c>
      <c r="D13" s="8" t="s">
        <v>9</v>
      </c>
      <c r="E13" s="8" t="s">
        <v>588</v>
      </c>
      <c r="F13" s="8" t="s">
        <v>384</v>
      </c>
      <c r="G13" s="8" t="s">
        <v>610</v>
      </c>
      <c r="H13" s="8" t="s">
        <v>9</v>
      </c>
      <c r="I13" s="8" t="s">
        <v>590</v>
      </c>
      <c r="J13" s="8" t="s">
        <v>591</v>
      </c>
      <c r="K13" s="8" t="s">
        <v>592</v>
      </c>
      <c r="L13" s="8" t="s">
        <v>355</v>
      </c>
      <c r="M13" s="8" t="s">
        <v>593</v>
      </c>
      <c r="N13" s="8" t="s">
        <v>111</v>
      </c>
      <c r="O13" s="8" t="s">
        <v>111</v>
      </c>
      <c r="P13" s="8" t="s">
        <v>111</v>
      </c>
      <c r="Q13" s="8" t="s">
        <v>111</v>
      </c>
      <c r="R13" s="8"/>
      <c r="S13" s="8" t="s">
        <v>112</v>
      </c>
      <c r="T13" s="8"/>
      <c r="U13" s="8" t="s">
        <v>594</v>
      </c>
    </row>
    <row r="14" spans="1:21" ht="90" customHeight="1" x14ac:dyDescent="0.3">
      <c r="A14" s="8" t="s">
        <v>611</v>
      </c>
      <c r="B14" s="10">
        <v>215656</v>
      </c>
      <c r="C14" s="8" t="s">
        <v>118</v>
      </c>
      <c r="D14" s="8" t="s">
        <v>9</v>
      </c>
      <c r="E14" s="8" t="s">
        <v>588</v>
      </c>
      <c r="F14" s="8" t="s">
        <v>384</v>
      </c>
      <c r="G14" s="8" t="s">
        <v>612</v>
      </c>
      <c r="H14" s="8" t="s">
        <v>9</v>
      </c>
      <c r="I14" s="8" t="s">
        <v>603</v>
      </c>
      <c r="J14" s="8" t="s">
        <v>591</v>
      </c>
      <c r="K14" s="8" t="s">
        <v>592</v>
      </c>
      <c r="L14" s="8" t="s">
        <v>355</v>
      </c>
      <c r="M14" s="8" t="s">
        <v>593</v>
      </c>
      <c r="N14" s="8" t="s">
        <v>111</v>
      </c>
      <c r="O14" s="8" t="s">
        <v>111</v>
      </c>
      <c r="P14" s="8" t="s">
        <v>111</v>
      </c>
      <c r="Q14" s="8" t="s">
        <v>111</v>
      </c>
      <c r="R14" s="8"/>
      <c r="S14" s="8" t="s">
        <v>112</v>
      </c>
      <c r="T14" s="8"/>
      <c r="U14" s="8" t="s">
        <v>594</v>
      </c>
    </row>
    <row r="15" spans="1:21" ht="60" x14ac:dyDescent="0.3">
      <c r="A15" s="8" t="s">
        <v>613</v>
      </c>
      <c r="B15" s="10">
        <v>215656</v>
      </c>
      <c r="C15" s="8" t="s">
        <v>118</v>
      </c>
      <c r="D15" s="8" t="s">
        <v>9</v>
      </c>
      <c r="E15" s="8" t="s">
        <v>588</v>
      </c>
      <c r="F15" s="8" t="s">
        <v>384</v>
      </c>
      <c r="G15" s="8" t="s">
        <v>614</v>
      </c>
      <c r="H15" s="8" t="s">
        <v>9</v>
      </c>
      <c r="I15" s="8" t="s">
        <v>601</v>
      </c>
      <c r="J15" s="8" t="s">
        <v>591</v>
      </c>
      <c r="K15" s="8" t="s">
        <v>592</v>
      </c>
      <c r="L15" s="8" t="s">
        <v>355</v>
      </c>
      <c r="M15" s="8" t="s">
        <v>593</v>
      </c>
      <c r="N15" s="8" t="s">
        <v>111</v>
      </c>
      <c r="O15" s="8" t="s">
        <v>111</v>
      </c>
      <c r="P15" s="8" t="s">
        <v>111</v>
      </c>
      <c r="Q15" s="8" t="s">
        <v>111</v>
      </c>
      <c r="R15" s="8"/>
      <c r="S15" s="8" t="s">
        <v>112</v>
      </c>
      <c r="T15" s="8"/>
      <c r="U15" s="8" t="s">
        <v>594</v>
      </c>
    </row>
    <row r="16" spans="1:21" ht="90" customHeight="1" x14ac:dyDescent="0.3">
      <c r="A16" s="8" t="s">
        <v>615</v>
      </c>
      <c r="B16" s="10">
        <v>215656</v>
      </c>
      <c r="C16" s="8" t="s">
        <v>118</v>
      </c>
      <c r="D16" s="8" t="s">
        <v>9</v>
      </c>
      <c r="E16" s="8" t="s">
        <v>588</v>
      </c>
      <c r="F16" s="8" t="s">
        <v>384</v>
      </c>
      <c r="G16" s="8" t="s">
        <v>616</v>
      </c>
      <c r="H16" s="8" t="s">
        <v>9</v>
      </c>
      <c r="I16" s="8" t="s">
        <v>617</v>
      </c>
      <c r="J16" s="8" t="s">
        <v>591</v>
      </c>
      <c r="K16" s="8" t="s">
        <v>592</v>
      </c>
      <c r="L16" s="8" t="s">
        <v>355</v>
      </c>
      <c r="M16" s="8" t="s">
        <v>593</v>
      </c>
      <c r="N16" s="8" t="s">
        <v>111</v>
      </c>
      <c r="O16" s="8" t="s">
        <v>111</v>
      </c>
      <c r="P16" s="8" t="s">
        <v>111</v>
      </c>
      <c r="Q16" s="8" t="s">
        <v>111</v>
      </c>
      <c r="R16" s="8"/>
      <c r="S16" s="8" t="s">
        <v>112</v>
      </c>
      <c r="T16" s="8"/>
      <c r="U16" s="8" t="s">
        <v>594</v>
      </c>
    </row>
    <row r="17" spans="1:21" ht="90" customHeight="1" x14ac:dyDescent="0.3">
      <c r="A17" s="8" t="s">
        <v>618</v>
      </c>
      <c r="B17" s="10">
        <v>215656</v>
      </c>
      <c r="C17" s="8" t="s">
        <v>118</v>
      </c>
      <c r="D17" s="8" t="s">
        <v>9</v>
      </c>
      <c r="E17" s="8" t="s">
        <v>588</v>
      </c>
      <c r="F17" s="8" t="s">
        <v>384</v>
      </c>
      <c r="G17" s="8" t="s">
        <v>610</v>
      </c>
      <c r="H17" s="8" t="s">
        <v>9</v>
      </c>
      <c r="I17" s="8" t="s">
        <v>619</v>
      </c>
      <c r="J17" s="8" t="s">
        <v>591</v>
      </c>
      <c r="K17" s="8" t="s">
        <v>592</v>
      </c>
      <c r="L17" s="8" t="s">
        <v>355</v>
      </c>
      <c r="M17" s="8" t="s">
        <v>593</v>
      </c>
      <c r="N17" s="8" t="s">
        <v>111</v>
      </c>
      <c r="O17" s="8" t="s">
        <v>111</v>
      </c>
      <c r="P17" s="8" t="s">
        <v>111</v>
      </c>
      <c r="Q17" s="8" t="s">
        <v>111</v>
      </c>
      <c r="R17" s="8"/>
      <c r="S17" s="8" t="s">
        <v>112</v>
      </c>
      <c r="T17" s="8"/>
      <c r="U17" s="8" t="s">
        <v>594</v>
      </c>
    </row>
    <row r="18" spans="1:21" ht="90" customHeight="1" x14ac:dyDescent="0.3">
      <c r="A18" s="8" t="s">
        <v>620</v>
      </c>
      <c r="B18" s="10">
        <v>215656</v>
      </c>
      <c r="C18" s="8" t="s">
        <v>118</v>
      </c>
      <c r="D18" s="8" t="s">
        <v>9</v>
      </c>
      <c r="E18" s="8" t="s">
        <v>588</v>
      </c>
      <c r="F18" s="8" t="s">
        <v>384</v>
      </c>
      <c r="G18" s="8" t="s">
        <v>612</v>
      </c>
      <c r="H18" s="8" t="s">
        <v>9</v>
      </c>
      <c r="I18" s="8" t="s">
        <v>621</v>
      </c>
      <c r="J18" s="8" t="s">
        <v>591</v>
      </c>
      <c r="K18" s="8" t="s">
        <v>592</v>
      </c>
      <c r="L18" s="8" t="s">
        <v>355</v>
      </c>
      <c r="M18" s="8" t="s">
        <v>593</v>
      </c>
      <c r="N18" s="8" t="s">
        <v>111</v>
      </c>
      <c r="O18" s="8" t="s">
        <v>111</v>
      </c>
      <c r="P18" s="8" t="s">
        <v>111</v>
      </c>
      <c r="Q18" s="8" t="s">
        <v>111</v>
      </c>
      <c r="R18" s="8"/>
      <c r="S18" s="8" t="s">
        <v>112</v>
      </c>
      <c r="T18" s="8"/>
      <c r="U18" s="8" t="s">
        <v>594</v>
      </c>
    </row>
    <row r="19" spans="1:21" ht="60" x14ac:dyDescent="0.3">
      <c r="A19" s="8" t="s">
        <v>622</v>
      </c>
      <c r="B19" s="10">
        <v>215656</v>
      </c>
      <c r="C19" s="8" t="s">
        <v>118</v>
      </c>
      <c r="D19" s="8" t="s">
        <v>9</v>
      </c>
      <c r="E19" s="8" t="s">
        <v>588</v>
      </c>
      <c r="F19" s="8" t="s">
        <v>384</v>
      </c>
      <c r="G19" s="8" t="s">
        <v>614</v>
      </c>
      <c r="H19" s="8" t="s">
        <v>9</v>
      </c>
      <c r="I19" s="8" t="s">
        <v>623</v>
      </c>
      <c r="J19" s="8" t="s">
        <v>591</v>
      </c>
      <c r="K19" s="8" t="s">
        <v>592</v>
      </c>
      <c r="L19" s="8" t="s">
        <v>355</v>
      </c>
      <c r="M19" s="8" t="s">
        <v>593</v>
      </c>
      <c r="N19" s="8" t="s">
        <v>111</v>
      </c>
      <c r="O19" s="8" t="s">
        <v>111</v>
      </c>
      <c r="P19" s="8" t="s">
        <v>111</v>
      </c>
      <c r="Q19" s="8" t="s">
        <v>111</v>
      </c>
      <c r="R19" s="8"/>
      <c r="S19" s="8" t="s">
        <v>112</v>
      </c>
      <c r="T19" s="8"/>
      <c r="U19" s="8" t="s">
        <v>594</v>
      </c>
    </row>
    <row r="20" spans="1:21" ht="90" customHeight="1" x14ac:dyDescent="0.3">
      <c r="A20" s="8" t="s">
        <v>624</v>
      </c>
      <c r="B20" s="10">
        <v>215656</v>
      </c>
      <c r="C20" s="8" t="s">
        <v>118</v>
      </c>
      <c r="D20" s="8" t="s">
        <v>9</v>
      </c>
      <c r="E20" s="8" t="s">
        <v>588</v>
      </c>
      <c r="F20" s="8" t="s">
        <v>384</v>
      </c>
      <c r="G20" s="8" t="s">
        <v>616</v>
      </c>
      <c r="H20" s="8" t="s">
        <v>9</v>
      </c>
      <c r="I20" s="8" t="s">
        <v>625</v>
      </c>
      <c r="J20" s="8" t="s">
        <v>591</v>
      </c>
      <c r="K20" s="8" t="s">
        <v>592</v>
      </c>
      <c r="L20" s="8" t="s">
        <v>355</v>
      </c>
      <c r="M20" s="8" t="s">
        <v>593</v>
      </c>
      <c r="N20" s="8" t="s">
        <v>111</v>
      </c>
      <c r="O20" s="8" t="s">
        <v>111</v>
      </c>
      <c r="P20" s="8" t="s">
        <v>111</v>
      </c>
      <c r="Q20" s="8" t="s">
        <v>111</v>
      </c>
      <c r="R20" s="8"/>
      <c r="S20" s="8" t="s">
        <v>112</v>
      </c>
      <c r="T20" s="8"/>
      <c r="U20" s="8" t="s">
        <v>594</v>
      </c>
    </row>
    <row r="21" spans="1:21" ht="24" x14ac:dyDescent="0.3">
      <c r="A21" s="8" t="s">
        <v>626</v>
      </c>
      <c r="B21" s="10">
        <v>319918</v>
      </c>
      <c r="C21" s="8" t="s">
        <v>120</v>
      </c>
      <c r="D21" s="8" t="s">
        <v>9</v>
      </c>
      <c r="E21" s="8" t="s">
        <v>588</v>
      </c>
      <c r="F21" s="8" t="s">
        <v>355</v>
      </c>
      <c r="G21" s="8" t="s">
        <v>355</v>
      </c>
      <c r="H21" s="8" t="s">
        <v>9</v>
      </c>
      <c r="I21" s="8" t="s">
        <v>355</v>
      </c>
      <c r="J21" s="8" t="s">
        <v>591</v>
      </c>
      <c r="K21" s="8" t="s">
        <v>592</v>
      </c>
      <c r="L21" s="8" t="s">
        <v>355</v>
      </c>
      <c r="M21" s="8" t="s">
        <v>593</v>
      </c>
      <c r="N21" s="8" t="s">
        <v>111</v>
      </c>
      <c r="O21" s="8" t="s">
        <v>111</v>
      </c>
      <c r="P21" s="8" t="s">
        <v>111</v>
      </c>
      <c r="Q21" s="8" t="s">
        <v>111</v>
      </c>
      <c r="R21" s="8"/>
      <c r="S21" s="8" t="s">
        <v>112</v>
      </c>
      <c r="T21" s="8"/>
      <c r="U21" s="8" t="s">
        <v>594</v>
      </c>
    </row>
    <row r="22" spans="1:21" ht="60" x14ac:dyDescent="0.3">
      <c r="A22" s="8" t="s">
        <v>627</v>
      </c>
      <c r="B22" s="10">
        <v>276577</v>
      </c>
      <c r="C22" s="8" t="s">
        <v>123</v>
      </c>
      <c r="D22" s="8" t="s">
        <v>9</v>
      </c>
      <c r="E22" s="8" t="s">
        <v>588</v>
      </c>
      <c r="F22" s="8" t="s">
        <v>384</v>
      </c>
      <c r="G22" s="8" t="s">
        <v>628</v>
      </c>
      <c r="H22" s="8" t="s">
        <v>9</v>
      </c>
      <c r="I22" s="8" t="s">
        <v>590</v>
      </c>
      <c r="J22" s="8" t="s">
        <v>591</v>
      </c>
      <c r="K22" s="8" t="s">
        <v>592</v>
      </c>
      <c r="L22" s="8" t="s">
        <v>355</v>
      </c>
      <c r="M22" s="8" t="s">
        <v>593</v>
      </c>
      <c r="N22" s="8" t="s">
        <v>111</v>
      </c>
      <c r="O22" s="8" t="s">
        <v>111</v>
      </c>
      <c r="P22" s="8" t="s">
        <v>111</v>
      </c>
      <c r="Q22" s="8" t="s">
        <v>111</v>
      </c>
      <c r="R22" s="8"/>
      <c r="S22" s="8" t="s">
        <v>112</v>
      </c>
      <c r="T22" s="8"/>
      <c r="U22" s="8" t="s">
        <v>594</v>
      </c>
    </row>
    <row r="23" spans="1:21" ht="60" x14ac:dyDescent="0.3">
      <c r="A23" s="8" t="s">
        <v>629</v>
      </c>
      <c r="B23" s="10">
        <v>276577</v>
      </c>
      <c r="C23" s="8" t="s">
        <v>123</v>
      </c>
      <c r="D23" s="8" t="s">
        <v>9</v>
      </c>
      <c r="E23" s="8" t="s">
        <v>588</v>
      </c>
      <c r="F23" s="8" t="s">
        <v>384</v>
      </c>
      <c r="G23" s="8" t="s">
        <v>628</v>
      </c>
      <c r="H23" s="8" t="s">
        <v>9</v>
      </c>
      <c r="I23" s="8" t="s">
        <v>603</v>
      </c>
      <c r="J23" s="8" t="s">
        <v>591</v>
      </c>
      <c r="K23" s="8" t="s">
        <v>592</v>
      </c>
      <c r="L23" s="8" t="s">
        <v>355</v>
      </c>
      <c r="M23" s="8" t="s">
        <v>593</v>
      </c>
      <c r="N23" s="8" t="s">
        <v>111</v>
      </c>
      <c r="O23" s="8" t="s">
        <v>111</v>
      </c>
      <c r="P23" s="8" t="s">
        <v>111</v>
      </c>
      <c r="Q23" s="8" t="s">
        <v>111</v>
      </c>
      <c r="R23" s="8"/>
      <c r="S23" s="8" t="s">
        <v>112</v>
      </c>
      <c r="T23" s="8"/>
      <c r="U23" s="8" t="s">
        <v>594</v>
      </c>
    </row>
    <row r="24" spans="1:21" ht="24" x14ac:dyDescent="0.3">
      <c r="A24" s="8" t="s">
        <v>630</v>
      </c>
      <c r="B24" s="10">
        <v>320308</v>
      </c>
      <c r="C24" s="8" t="s">
        <v>125</v>
      </c>
      <c r="D24" s="8" t="s">
        <v>9</v>
      </c>
      <c r="E24" s="8" t="s">
        <v>588</v>
      </c>
      <c r="F24" s="8" t="s">
        <v>357</v>
      </c>
      <c r="G24" s="8" t="s">
        <v>358</v>
      </c>
      <c r="H24" s="8" t="s">
        <v>9</v>
      </c>
      <c r="I24" s="8" t="s">
        <v>383</v>
      </c>
      <c r="J24" s="8" t="s">
        <v>591</v>
      </c>
      <c r="K24" s="8" t="s">
        <v>592</v>
      </c>
      <c r="L24" s="8" t="s">
        <v>631</v>
      </c>
      <c r="M24" s="8" t="s">
        <v>593</v>
      </c>
      <c r="N24" s="8" t="s">
        <v>111</v>
      </c>
      <c r="O24" s="8" t="s">
        <v>111</v>
      </c>
      <c r="P24" s="8" t="s">
        <v>111</v>
      </c>
      <c r="Q24" s="8" t="s">
        <v>111</v>
      </c>
      <c r="R24" s="8"/>
      <c r="S24" s="8" t="s">
        <v>112</v>
      </c>
      <c r="T24" s="8"/>
      <c r="U24" s="8" t="s">
        <v>594</v>
      </c>
    </row>
    <row r="25" spans="1:21" ht="24" x14ac:dyDescent="0.3">
      <c r="A25" s="8" t="s">
        <v>632</v>
      </c>
      <c r="B25" s="10">
        <v>315721</v>
      </c>
      <c r="C25" s="8" t="s">
        <v>127</v>
      </c>
      <c r="D25" s="8" t="s">
        <v>9</v>
      </c>
      <c r="E25" s="8" t="s">
        <v>588</v>
      </c>
      <c r="F25" s="8" t="s">
        <v>384</v>
      </c>
      <c r="G25" s="8" t="s">
        <v>633</v>
      </c>
      <c r="H25" s="8" t="s">
        <v>9</v>
      </c>
      <c r="I25" s="8" t="s">
        <v>606</v>
      </c>
      <c r="J25" s="8" t="s">
        <v>591</v>
      </c>
      <c r="K25" s="8" t="s">
        <v>592</v>
      </c>
      <c r="L25" s="8" t="s">
        <v>355</v>
      </c>
      <c r="M25" s="8" t="s">
        <v>593</v>
      </c>
      <c r="N25" s="8" t="s">
        <v>111</v>
      </c>
      <c r="O25" s="8" t="s">
        <v>111</v>
      </c>
      <c r="P25" s="8" t="s">
        <v>111</v>
      </c>
      <c r="Q25" s="8" t="s">
        <v>111</v>
      </c>
      <c r="R25" s="8"/>
      <c r="S25" s="8" t="s">
        <v>112</v>
      </c>
      <c r="T25" s="8"/>
      <c r="U25" s="8" t="s">
        <v>594</v>
      </c>
    </row>
    <row r="26" spans="1:21" ht="24" x14ac:dyDescent="0.3">
      <c r="A26" s="8" t="s">
        <v>634</v>
      </c>
      <c r="B26" s="10">
        <v>315721</v>
      </c>
      <c r="C26" s="8" t="s">
        <v>127</v>
      </c>
      <c r="D26" s="8" t="s">
        <v>9</v>
      </c>
      <c r="E26" s="8" t="s">
        <v>588</v>
      </c>
      <c r="F26" s="8" t="s">
        <v>384</v>
      </c>
      <c r="G26" s="8" t="s">
        <v>635</v>
      </c>
      <c r="H26" s="8" t="s">
        <v>9</v>
      </c>
      <c r="I26" s="8" t="s">
        <v>606</v>
      </c>
      <c r="J26" s="8" t="s">
        <v>591</v>
      </c>
      <c r="K26" s="8" t="s">
        <v>592</v>
      </c>
      <c r="L26" s="8" t="s">
        <v>355</v>
      </c>
      <c r="M26" s="8" t="s">
        <v>593</v>
      </c>
      <c r="N26" s="8" t="s">
        <v>111</v>
      </c>
      <c r="O26" s="8" t="s">
        <v>111</v>
      </c>
      <c r="P26" s="8" t="s">
        <v>111</v>
      </c>
      <c r="Q26" s="8" t="s">
        <v>111</v>
      </c>
      <c r="R26" s="8"/>
      <c r="S26" s="8" t="s">
        <v>112</v>
      </c>
      <c r="T26" s="8"/>
      <c r="U26" s="8" t="s">
        <v>594</v>
      </c>
    </row>
    <row r="27" spans="1:21" ht="24" x14ac:dyDescent="0.3">
      <c r="A27" s="8" t="s">
        <v>636</v>
      </c>
      <c r="B27" s="10">
        <v>315721</v>
      </c>
      <c r="C27" s="8" t="s">
        <v>127</v>
      </c>
      <c r="D27" s="8" t="s">
        <v>9</v>
      </c>
      <c r="E27" s="8" t="s">
        <v>588</v>
      </c>
      <c r="F27" s="8" t="s">
        <v>384</v>
      </c>
      <c r="G27" s="8" t="s">
        <v>637</v>
      </c>
      <c r="H27" s="8" t="s">
        <v>9</v>
      </c>
      <c r="I27" s="8" t="s">
        <v>606</v>
      </c>
      <c r="J27" s="8" t="s">
        <v>591</v>
      </c>
      <c r="K27" s="8" t="s">
        <v>592</v>
      </c>
      <c r="L27" s="8" t="s">
        <v>355</v>
      </c>
      <c r="M27" s="8" t="s">
        <v>593</v>
      </c>
      <c r="N27" s="8" t="s">
        <v>111</v>
      </c>
      <c r="O27" s="8" t="s">
        <v>111</v>
      </c>
      <c r="P27" s="8" t="s">
        <v>111</v>
      </c>
      <c r="Q27" s="8" t="s">
        <v>111</v>
      </c>
      <c r="R27" s="8"/>
      <c r="S27" s="8" t="s">
        <v>112</v>
      </c>
      <c r="T27" s="8"/>
      <c r="U27" s="8" t="s">
        <v>594</v>
      </c>
    </row>
    <row r="28" spans="1:21" ht="24" x14ac:dyDescent="0.3">
      <c r="A28" s="8" t="s">
        <v>638</v>
      </c>
      <c r="B28" s="10">
        <v>315721</v>
      </c>
      <c r="C28" s="8" t="s">
        <v>127</v>
      </c>
      <c r="D28" s="8" t="s">
        <v>9</v>
      </c>
      <c r="E28" s="8" t="s">
        <v>588</v>
      </c>
      <c r="F28" s="8" t="s">
        <v>384</v>
      </c>
      <c r="G28" s="8" t="s">
        <v>639</v>
      </c>
      <c r="H28" s="8" t="s">
        <v>9</v>
      </c>
      <c r="I28" s="8" t="s">
        <v>606</v>
      </c>
      <c r="J28" s="8" t="s">
        <v>591</v>
      </c>
      <c r="K28" s="8" t="s">
        <v>592</v>
      </c>
      <c r="L28" s="8" t="s">
        <v>355</v>
      </c>
      <c r="M28" s="8" t="s">
        <v>593</v>
      </c>
      <c r="N28" s="8" t="s">
        <v>111</v>
      </c>
      <c r="O28" s="8" t="s">
        <v>111</v>
      </c>
      <c r="P28" s="8" t="s">
        <v>111</v>
      </c>
      <c r="Q28" s="8" t="s">
        <v>111</v>
      </c>
      <c r="R28" s="8"/>
      <c r="S28" s="8" t="s">
        <v>112</v>
      </c>
      <c r="T28" s="8"/>
      <c r="U28" s="8" t="s">
        <v>594</v>
      </c>
    </row>
    <row r="29" spans="1:21" ht="24" x14ac:dyDescent="0.3">
      <c r="A29" s="8" t="s">
        <v>640</v>
      </c>
      <c r="B29" s="10">
        <v>315721</v>
      </c>
      <c r="C29" s="8" t="s">
        <v>127</v>
      </c>
      <c r="D29" s="8" t="s">
        <v>9</v>
      </c>
      <c r="E29" s="8" t="s">
        <v>588</v>
      </c>
      <c r="F29" s="8" t="s">
        <v>384</v>
      </c>
      <c r="G29" s="8" t="s">
        <v>641</v>
      </c>
      <c r="H29" s="8" t="s">
        <v>9</v>
      </c>
      <c r="I29" s="8" t="s">
        <v>606</v>
      </c>
      <c r="J29" s="8" t="s">
        <v>591</v>
      </c>
      <c r="K29" s="8" t="s">
        <v>592</v>
      </c>
      <c r="L29" s="8" t="s">
        <v>355</v>
      </c>
      <c r="M29" s="8" t="s">
        <v>593</v>
      </c>
      <c r="N29" s="8" t="s">
        <v>111</v>
      </c>
      <c r="O29" s="8" t="s">
        <v>111</v>
      </c>
      <c r="P29" s="8" t="s">
        <v>111</v>
      </c>
      <c r="Q29" s="8" t="s">
        <v>111</v>
      </c>
      <c r="R29" s="8"/>
      <c r="S29" s="8" t="s">
        <v>112</v>
      </c>
      <c r="T29" s="8"/>
      <c r="U29" s="8" t="s">
        <v>594</v>
      </c>
    </row>
    <row r="30" spans="1:21" ht="24" x14ac:dyDescent="0.3">
      <c r="A30" s="8" t="s">
        <v>642</v>
      </c>
      <c r="B30" s="10">
        <v>315721</v>
      </c>
      <c r="C30" s="8" t="s">
        <v>127</v>
      </c>
      <c r="D30" s="8" t="s">
        <v>9</v>
      </c>
      <c r="E30" s="8" t="s">
        <v>588</v>
      </c>
      <c r="F30" s="8" t="s">
        <v>384</v>
      </c>
      <c r="G30" s="8" t="s">
        <v>643</v>
      </c>
      <c r="H30" s="8" t="s">
        <v>9</v>
      </c>
      <c r="I30" s="8" t="s">
        <v>606</v>
      </c>
      <c r="J30" s="8" t="s">
        <v>591</v>
      </c>
      <c r="K30" s="8" t="s">
        <v>592</v>
      </c>
      <c r="L30" s="8" t="s">
        <v>355</v>
      </c>
      <c r="M30" s="8" t="s">
        <v>593</v>
      </c>
      <c r="N30" s="8" t="s">
        <v>111</v>
      </c>
      <c r="O30" s="8" t="s">
        <v>111</v>
      </c>
      <c r="P30" s="8" t="s">
        <v>111</v>
      </c>
      <c r="Q30" s="8" t="s">
        <v>111</v>
      </c>
      <c r="R30" s="8"/>
      <c r="S30" s="8" t="s">
        <v>112</v>
      </c>
      <c r="T30" s="8"/>
      <c r="U30" s="8" t="s">
        <v>594</v>
      </c>
    </row>
    <row r="31" spans="1:21" ht="24" x14ac:dyDescent="0.3">
      <c r="A31" s="8" t="s">
        <v>644</v>
      </c>
      <c r="B31" s="10">
        <v>315721</v>
      </c>
      <c r="C31" s="8" t="s">
        <v>127</v>
      </c>
      <c r="D31" s="8" t="s">
        <v>9</v>
      </c>
      <c r="E31" s="8" t="s">
        <v>588</v>
      </c>
      <c r="F31" s="8" t="s">
        <v>384</v>
      </c>
      <c r="G31" s="8" t="s">
        <v>645</v>
      </c>
      <c r="H31" s="8" t="s">
        <v>9</v>
      </c>
      <c r="I31" s="8" t="s">
        <v>606</v>
      </c>
      <c r="J31" s="8" t="s">
        <v>591</v>
      </c>
      <c r="K31" s="8" t="s">
        <v>592</v>
      </c>
      <c r="L31" s="8" t="s">
        <v>355</v>
      </c>
      <c r="M31" s="8" t="s">
        <v>593</v>
      </c>
      <c r="N31" s="8" t="s">
        <v>111</v>
      </c>
      <c r="O31" s="8" t="s">
        <v>111</v>
      </c>
      <c r="P31" s="8" t="s">
        <v>111</v>
      </c>
      <c r="Q31" s="8" t="s">
        <v>111</v>
      </c>
      <c r="R31" s="8"/>
      <c r="S31" s="8" t="s">
        <v>112</v>
      </c>
      <c r="T31" s="8"/>
      <c r="U31" s="8" t="s">
        <v>594</v>
      </c>
    </row>
    <row r="32" spans="1:21" ht="24" x14ac:dyDescent="0.3">
      <c r="A32" s="8" t="s">
        <v>646</v>
      </c>
      <c r="B32" s="10">
        <v>315721</v>
      </c>
      <c r="C32" s="8" t="s">
        <v>127</v>
      </c>
      <c r="D32" s="8" t="s">
        <v>9</v>
      </c>
      <c r="E32" s="8" t="s">
        <v>588</v>
      </c>
      <c r="F32" s="8" t="s">
        <v>384</v>
      </c>
      <c r="G32" s="8" t="s">
        <v>647</v>
      </c>
      <c r="H32" s="8" t="s">
        <v>9</v>
      </c>
      <c r="I32" s="8" t="s">
        <v>606</v>
      </c>
      <c r="J32" s="8" t="s">
        <v>591</v>
      </c>
      <c r="K32" s="8" t="s">
        <v>592</v>
      </c>
      <c r="L32" s="8" t="s">
        <v>355</v>
      </c>
      <c r="M32" s="8" t="s">
        <v>593</v>
      </c>
      <c r="N32" s="8" t="s">
        <v>111</v>
      </c>
      <c r="O32" s="8" t="s">
        <v>111</v>
      </c>
      <c r="P32" s="8" t="s">
        <v>111</v>
      </c>
      <c r="Q32" s="8" t="s">
        <v>111</v>
      </c>
      <c r="R32" s="8"/>
      <c r="S32" s="8" t="s">
        <v>112</v>
      </c>
      <c r="T32" s="8"/>
      <c r="U32" s="8" t="s">
        <v>594</v>
      </c>
    </row>
    <row r="33" spans="1:21" ht="24" x14ac:dyDescent="0.3">
      <c r="A33" s="8" t="s">
        <v>648</v>
      </c>
      <c r="B33" s="10">
        <v>315721</v>
      </c>
      <c r="C33" s="8" t="s">
        <v>127</v>
      </c>
      <c r="D33" s="8" t="s">
        <v>9</v>
      </c>
      <c r="E33" s="8" t="s">
        <v>588</v>
      </c>
      <c r="F33" s="8" t="s">
        <v>384</v>
      </c>
      <c r="G33" s="8" t="s">
        <v>649</v>
      </c>
      <c r="H33" s="8" t="s">
        <v>9</v>
      </c>
      <c r="I33" s="8" t="s">
        <v>606</v>
      </c>
      <c r="J33" s="8" t="s">
        <v>591</v>
      </c>
      <c r="K33" s="8" t="s">
        <v>592</v>
      </c>
      <c r="L33" s="8" t="s">
        <v>355</v>
      </c>
      <c r="M33" s="8" t="s">
        <v>593</v>
      </c>
      <c r="N33" s="8" t="s">
        <v>111</v>
      </c>
      <c r="O33" s="8" t="s">
        <v>111</v>
      </c>
      <c r="P33" s="8" t="s">
        <v>111</v>
      </c>
      <c r="Q33" s="8" t="s">
        <v>111</v>
      </c>
      <c r="R33" s="8"/>
      <c r="S33" s="8" t="s">
        <v>112</v>
      </c>
      <c r="T33" s="8"/>
      <c r="U33" s="8" t="s">
        <v>594</v>
      </c>
    </row>
    <row r="34" spans="1:21" ht="24" x14ac:dyDescent="0.3">
      <c r="A34" s="8" t="s">
        <v>650</v>
      </c>
      <c r="B34" s="10">
        <v>315721</v>
      </c>
      <c r="C34" s="8" t="s">
        <v>127</v>
      </c>
      <c r="D34" s="8" t="s">
        <v>9</v>
      </c>
      <c r="E34" s="8" t="s">
        <v>588</v>
      </c>
      <c r="F34" s="8" t="s">
        <v>384</v>
      </c>
      <c r="G34" s="8" t="s">
        <v>651</v>
      </c>
      <c r="H34" s="8" t="s">
        <v>9</v>
      </c>
      <c r="I34" s="8" t="s">
        <v>606</v>
      </c>
      <c r="J34" s="8" t="s">
        <v>591</v>
      </c>
      <c r="K34" s="8" t="s">
        <v>592</v>
      </c>
      <c r="L34" s="8" t="s">
        <v>355</v>
      </c>
      <c r="M34" s="8" t="s">
        <v>593</v>
      </c>
      <c r="N34" s="8" t="s">
        <v>111</v>
      </c>
      <c r="O34" s="8" t="s">
        <v>111</v>
      </c>
      <c r="P34" s="8" t="s">
        <v>111</v>
      </c>
      <c r="Q34" s="8" t="s">
        <v>111</v>
      </c>
      <c r="R34" s="8"/>
      <c r="S34" s="8" t="s">
        <v>112</v>
      </c>
      <c r="T34" s="8"/>
      <c r="U34" s="8" t="s">
        <v>594</v>
      </c>
    </row>
    <row r="35" spans="1:21" ht="24" x14ac:dyDescent="0.3">
      <c r="A35" s="8" t="s">
        <v>652</v>
      </c>
      <c r="B35" s="10">
        <v>315721</v>
      </c>
      <c r="C35" s="8" t="s">
        <v>127</v>
      </c>
      <c r="D35" s="8" t="s">
        <v>9</v>
      </c>
      <c r="E35" s="8" t="s">
        <v>588</v>
      </c>
      <c r="F35" s="8" t="s">
        <v>384</v>
      </c>
      <c r="G35" s="8" t="s">
        <v>653</v>
      </c>
      <c r="H35" s="8" t="s">
        <v>9</v>
      </c>
      <c r="I35" s="8" t="s">
        <v>654</v>
      </c>
      <c r="J35" s="8" t="s">
        <v>591</v>
      </c>
      <c r="K35" s="8" t="s">
        <v>592</v>
      </c>
      <c r="L35" s="8" t="s">
        <v>355</v>
      </c>
      <c r="M35" s="8" t="s">
        <v>593</v>
      </c>
      <c r="N35" s="8" t="s">
        <v>111</v>
      </c>
      <c r="O35" s="8" t="s">
        <v>111</v>
      </c>
      <c r="P35" s="8" t="s">
        <v>111</v>
      </c>
      <c r="Q35" s="8" t="s">
        <v>111</v>
      </c>
      <c r="R35" s="8"/>
      <c r="S35" s="8" t="s">
        <v>112</v>
      </c>
      <c r="T35" s="8"/>
      <c r="U35" s="8" t="s">
        <v>594</v>
      </c>
    </row>
    <row r="36" spans="1:21" ht="24" x14ac:dyDescent="0.3">
      <c r="A36" s="8" t="s">
        <v>655</v>
      </c>
      <c r="B36" s="10">
        <v>315721</v>
      </c>
      <c r="C36" s="8" t="s">
        <v>127</v>
      </c>
      <c r="D36" s="8" t="s">
        <v>9</v>
      </c>
      <c r="E36" s="8" t="s">
        <v>588</v>
      </c>
      <c r="F36" s="8" t="s">
        <v>384</v>
      </c>
      <c r="G36" s="8" t="s">
        <v>633</v>
      </c>
      <c r="H36" s="8" t="s">
        <v>9</v>
      </c>
      <c r="I36" s="8" t="s">
        <v>606</v>
      </c>
      <c r="J36" s="8" t="s">
        <v>591</v>
      </c>
      <c r="K36" s="8" t="s">
        <v>592</v>
      </c>
      <c r="L36" s="8" t="s">
        <v>355</v>
      </c>
      <c r="M36" s="8" t="s">
        <v>593</v>
      </c>
      <c r="N36" s="8" t="s">
        <v>111</v>
      </c>
      <c r="O36" s="8" t="s">
        <v>111</v>
      </c>
      <c r="P36" s="8" t="s">
        <v>111</v>
      </c>
      <c r="Q36" s="8" t="s">
        <v>111</v>
      </c>
      <c r="R36" s="8"/>
      <c r="S36" s="8" t="s">
        <v>112</v>
      </c>
      <c r="T36" s="8"/>
      <c r="U36" s="8" t="s">
        <v>594</v>
      </c>
    </row>
    <row r="37" spans="1:21" ht="24" x14ac:dyDescent="0.3">
      <c r="A37" s="8" t="s">
        <v>656</v>
      </c>
      <c r="B37" s="10">
        <v>315721</v>
      </c>
      <c r="C37" s="8" t="s">
        <v>127</v>
      </c>
      <c r="D37" s="8" t="s">
        <v>9</v>
      </c>
      <c r="E37" s="8" t="s">
        <v>588</v>
      </c>
      <c r="F37" s="8" t="s">
        <v>384</v>
      </c>
      <c r="G37" s="8" t="s">
        <v>635</v>
      </c>
      <c r="H37" s="8" t="s">
        <v>9</v>
      </c>
      <c r="I37" s="8" t="s">
        <v>606</v>
      </c>
      <c r="J37" s="8" t="s">
        <v>591</v>
      </c>
      <c r="K37" s="8" t="s">
        <v>592</v>
      </c>
      <c r="L37" s="8" t="s">
        <v>355</v>
      </c>
      <c r="M37" s="8" t="s">
        <v>593</v>
      </c>
      <c r="N37" s="8" t="s">
        <v>111</v>
      </c>
      <c r="O37" s="8" t="s">
        <v>111</v>
      </c>
      <c r="P37" s="8" t="s">
        <v>111</v>
      </c>
      <c r="Q37" s="8" t="s">
        <v>111</v>
      </c>
      <c r="R37" s="8"/>
      <c r="S37" s="8" t="s">
        <v>112</v>
      </c>
      <c r="T37" s="8"/>
      <c r="U37" s="8" t="s">
        <v>594</v>
      </c>
    </row>
    <row r="38" spans="1:21" ht="24" x14ac:dyDescent="0.3">
      <c r="A38" s="8" t="s">
        <v>657</v>
      </c>
      <c r="B38" s="10">
        <v>315721</v>
      </c>
      <c r="C38" s="8" t="s">
        <v>127</v>
      </c>
      <c r="D38" s="8" t="s">
        <v>9</v>
      </c>
      <c r="E38" s="8" t="s">
        <v>588</v>
      </c>
      <c r="F38" s="8" t="s">
        <v>384</v>
      </c>
      <c r="G38" s="8" t="s">
        <v>637</v>
      </c>
      <c r="H38" s="8" t="s">
        <v>9</v>
      </c>
      <c r="I38" s="8" t="s">
        <v>606</v>
      </c>
      <c r="J38" s="8" t="s">
        <v>591</v>
      </c>
      <c r="K38" s="8" t="s">
        <v>592</v>
      </c>
      <c r="L38" s="8" t="s">
        <v>355</v>
      </c>
      <c r="M38" s="8" t="s">
        <v>593</v>
      </c>
      <c r="N38" s="8" t="s">
        <v>111</v>
      </c>
      <c r="O38" s="8" t="s">
        <v>111</v>
      </c>
      <c r="P38" s="8" t="s">
        <v>111</v>
      </c>
      <c r="Q38" s="8" t="s">
        <v>111</v>
      </c>
      <c r="R38" s="8"/>
      <c r="S38" s="8" t="s">
        <v>112</v>
      </c>
      <c r="T38" s="8"/>
      <c r="U38" s="8" t="s">
        <v>594</v>
      </c>
    </row>
    <row r="39" spans="1:21" ht="24" x14ac:dyDescent="0.3">
      <c r="A39" s="8" t="s">
        <v>658</v>
      </c>
      <c r="B39" s="10">
        <v>315721</v>
      </c>
      <c r="C39" s="8" t="s">
        <v>127</v>
      </c>
      <c r="D39" s="8" t="s">
        <v>9</v>
      </c>
      <c r="E39" s="8" t="s">
        <v>588</v>
      </c>
      <c r="F39" s="8" t="s">
        <v>384</v>
      </c>
      <c r="G39" s="8" t="s">
        <v>639</v>
      </c>
      <c r="H39" s="8" t="s">
        <v>9</v>
      </c>
      <c r="I39" s="8" t="s">
        <v>606</v>
      </c>
      <c r="J39" s="8" t="s">
        <v>591</v>
      </c>
      <c r="K39" s="8" t="s">
        <v>592</v>
      </c>
      <c r="L39" s="8" t="s">
        <v>355</v>
      </c>
      <c r="M39" s="8" t="s">
        <v>593</v>
      </c>
      <c r="N39" s="8" t="s">
        <v>111</v>
      </c>
      <c r="O39" s="8" t="s">
        <v>111</v>
      </c>
      <c r="P39" s="8" t="s">
        <v>111</v>
      </c>
      <c r="Q39" s="8" t="s">
        <v>111</v>
      </c>
      <c r="R39" s="8"/>
      <c r="S39" s="8" t="s">
        <v>112</v>
      </c>
      <c r="T39" s="8"/>
      <c r="U39" s="8" t="s">
        <v>594</v>
      </c>
    </row>
    <row r="40" spans="1:21" ht="24" x14ac:dyDescent="0.3">
      <c r="A40" s="8" t="s">
        <v>659</v>
      </c>
      <c r="B40" s="10">
        <v>315721</v>
      </c>
      <c r="C40" s="8" t="s">
        <v>127</v>
      </c>
      <c r="D40" s="8" t="s">
        <v>9</v>
      </c>
      <c r="E40" s="8" t="s">
        <v>588</v>
      </c>
      <c r="F40" s="8" t="s">
        <v>384</v>
      </c>
      <c r="G40" s="8" t="s">
        <v>641</v>
      </c>
      <c r="H40" s="8" t="s">
        <v>9</v>
      </c>
      <c r="I40" s="8" t="s">
        <v>606</v>
      </c>
      <c r="J40" s="8" t="s">
        <v>591</v>
      </c>
      <c r="K40" s="8" t="s">
        <v>592</v>
      </c>
      <c r="L40" s="8" t="s">
        <v>355</v>
      </c>
      <c r="M40" s="8" t="s">
        <v>593</v>
      </c>
      <c r="N40" s="8" t="s">
        <v>111</v>
      </c>
      <c r="O40" s="8" t="s">
        <v>111</v>
      </c>
      <c r="P40" s="8" t="s">
        <v>111</v>
      </c>
      <c r="Q40" s="8" t="s">
        <v>111</v>
      </c>
      <c r="R40" s="8"/>
      <c r="S40" s="8" t="s">
        <v>112</v>
      </c>
      <c r="T40" s="8"/>
      <c r="U40" s="8" t="s">
        <v>594</v>
      </c>
    </row>
    <row r="41" spans="1:21" ht="24" x14ac:dyDescent="0.3">
      <c r="A41" s="8" t="s">
        <v>660</v>
      </c>
      <c r="B41" s="10">
        <v>315721</v>
      </c>
      <c r="C41" s="8" t="s">
        <v>127</v>
      </c>
      <c r="D41" s="8" t="s">
        <v>9</v>
      </c>
      <c r="E41" s="8" t="s">
        <v>588</v>
      </c>
      <c r="F41" s="8" t="s">
        <v>384</v>
      </c>
      <c r="G41" s="8" t="s">
        <v>643</v>
      </c>
      <c r="H41" s="8" t="s">
        <v>9</v>
      </c>
      <c r="I41" s="8" t="s">
        <v>606</v>
      </c>
      <c r="J41" s="8" t="s">
        <v>591</v>
      </c>
      <c r="K41" s="8" t="s">
        <v>592</v>
      </c>
      <c r="L41" s="8" t="s">
        <v>355</v>
      </c>
      <c r="M41" s="8" t="s">
        <v>593</v>
      </c>
      <c r="N41" s="8" t="s">
        <v>111</v>
      </c>
      <c r="O41" s="8" t="s">
        <v>111</v>
      </c>
      <c r="P41" s="8" t="s">
        <v>111</v>
      </c>
      <c r="Q41" s="8" t="s">
        <v>111</v>
      </c>
      <c r="R41" s="8"/>
      <c r="S41" s="8" t="s">
        <v>112</v>
      </c>
      <c r="T41" s="8"/>
      <c r="U41" s="8" t="s">
        <v>594</v>
      </c>
    </row>
    <row r="42" spans="1:21" ht="24" x14ac:dyDescent="0.3">
      <c r="A42" s="8" t="s">
        <v>661</v>
      </c>
      <c r="B42" s="10">
        <v>315721</v>
      </c>
      <c r="C42" s="8" t="s">
        <v>127</v>
      </c>
      <c r="D42" s="8" t="s">
        <v>9</v>
      </c>
      <c r="E42" s="8" t="s">
        <v>588</v>
      </c>
      <c r="F42" s="8" t="s">
        <v>384</v>
      </c>
      <c r="G42" s="8" t="s">
        <v>645</v>
      </c>
      <c r="H42" s="8" t="s">
        <v>9</v>
      </c>
      <c r="I42" s="8" t="s">
        <v>606</v>
      </c>
      <c r="J42" s="8" t="s">
        <v>591</v>
      </c>
      <c r="K42" s="8" t="s">
        <v>592</v>
      </c>
      <c r="L42" s="8" t="s">
        <v>355</v>
      </c>
      <c r="M42" s="8" t="s">
        <v>593</v>
      </c>
      <c r="N42" s="8" t="s">
        <v>111</v>
      </c>
      <c r="O42" s="8" t="s">
        <v>111</v>
      </c>
      <c r="P42" s="8" t="s">
        <v>111</v>
      </c>
      <c r="Q42" s="8" t="s">
        <v>111</v>
      </c>
      <c r="R42" s="8"/>
      <c r="S42" s="8" t="s">
        <v>112</v>
      </c>
      <c r="T42" s="8"/>
      <c r="U42" s="8" t="s">
        <v>594</v>
      </c>
    </row>
    <row r="43" spans="1:21" ht="24" x14ac:dyDescent="0.3">
      <c r="A43" s="8" t="s">
        <v>662</v>
      </c>
      <c r="B43" s="10">
        <v>315721</v>
      </c>
      <c r="C43" s="8" t="s">
        <v>127</v>
      </c>
      <c r="D43" s="8" t="s">
        <v>9</v>
      </c>
      <c r="E43" s="8" t="s">
        <v>588</v>
      </c>
      <c r="F43" s="8" t="s">
        <v>384</v>
      </c>
      <c r="G43" s="8" t="s">
        <v>647</v>
      </c>
      <c r="H43" s="8" t="s">
        <v>9</v>
      </c>
      <c r="I43" s="8" t="s">
        <v>606</v>
      </c>
      <c r="J43" s="8" t="s">
        <v>591</v>
      </c>
      <c r="K43" s="8" t="s">
        <v>592</v>
      </c>
      <c r="L43" s="8" t="s">
        <v>355</v>
      </c>
      <c r="M43" s="8" t="s">
        <v>593</v>
      </c>
      <c r="N43" s="8" t="s">
        <v>111</v>
      </c>
      <c r="O43" s="8" t="s">
        <v>111</v>
      </c>
      <c r="P43" s="8" t="s">
        <v>111</v>
      </c>
      <c r="Q43" s="8" t="s">
        <v>111</v>
      </c>
      <c r="R43" s="8"/>
      <c r="S43" s="8" t="s">
        <v>112</v>
      </c>
      <c r="T43" s="8"/>
      <c r="U43" s="8" t="s">
        <v>594</v>
      </c>
    </row>
    <row r="44" spans="1:21" ht="24" x14ac:dyDescent="0.3">
      <c r="A44" s="8" t="s">
        <v>663</v>
      </c>
      <c r="B44" s="10">
        <v>315721</v>
      </c>
      <c r="C44" s="8" t="s">
        <v>127</v>
      </c>
      <c r="D44" s="8" t="s">
        <v>9</v>
      </c>
      <c r="E44" s="8" t="s">
        <v>588</v>
      </c>
      <c r="F44" s="8" t="s">
        <v>384</v>
      </c>
      <c r="G44" s="8" t="s">
        <v>649</v>
      </c>
      <c r="H44" s="8" t="s">
        <v>9</v>
      </c>
      <c r="I44" s="8" t="s">
        <v>606</v>
      </c>
      <c r="J44" s="8" t="s">
        <v>591</v>
      </c>
      <c r="K44" s="8" t="s">
        <v>592</v>
      </c>
      <c r="L44" s="8" t="s">
        <v>355</v>
      </c>
      <c r="M44" s="8" t="s">
        <v>593</v>
      </c>
      <c r="N44" s="8" t="s">
        <v>111</v>
      </c>
      <c r="O44" s="8" t="s">
        <v>111</v>
      </c>
      <c r="P44" s="8" t="s">
        <v>111</v>
      </c>
      <c r="Q44" s="8" t="s">
        <v>111</v>
      </c>
      <c r="R44" s="8"/>
      <c r="S44" s="8" t="s">
        <v>112</v>
      </c>
      <c r="T44" s="8"/>
      <c r="U44" s="8" t="s">
        <v>594</v>
      </c>
    </row>
    <row r="45" spans="1:21" ht="24" x14ac:dyDescent="0.3">
      <c r="A45" s="8" t="s">
        <v>664</v>
      </c>
      <c r="B45" s="10">
        <v>315721</v>
      </c>
      <c r="C45" s="8" t="s">
        <v>127</v>
      </c>
      <c r="D45" s="8" t="s">
        <v>9</v>
      </c>
      <c r="E45" s="8" t="s">
        <v>588</v>
      </c>
      <c r="F45" s="8" t="s">
        <v>384</v>
      </c>
      <c r="G45" s="8" t="s">
        <v>651</v>
      </c>
      <c r="H45" s="8" t="s">
        <v>9</v>
      </c>
      <c r="I45" s="8" t="s">
        <v>606</v>
      </c>
      <c r="J45" s="8" t="s">
        <v>591</v>
      </c>
      <c r="K45" s="8" t="s">
        <v>592</v>
      </c>
      <c r="L45" s="8" t="s">
        <v>355</v>
      </c>
      <c r="M45" s="8" t="s">
        <v>593</v>
      </c>
      <c r="N45" s="8" t="s">
        <v>111</v>
      </c>
      <c r="O45" s="8" t="s">
        <v>111</v>
      </c>
      <c r="P45" s="8" t="s">
        <v>111</v>
      </c>
      <c r="Q45" s="8" t="s">
        <v>111</v>
      </c>
      <c r="R45" s="8"/>
      <c r="S45" s="8" t="s">
        <v>112</v>
      </c>
      <c r="T45" s="8"/>
      <c r="U45" s="8" t="s">
        <v>594</v>
      </c>
    </row>
    <row r="46" spans="1:21" ht="24" x14ac:dyDescent="0.3">
      <c r="A46" s="8" t="s">
        <v>665</v>
      </c>
      <c r="B46" s="10">
        <v>315721</v>
      </c>
      <c r="C46" s="8" t="s">
        <v>127</v>
      </c>
      <c r="D46" s="8" t="s">
        <v>9</v>
      </c>
      <c r="E46" s="8" t="s">
        <v>588</v>
      </c>
      <c r="F46" s="8" t="s">
        <v>384</v>
      </c>
      <c r="G46" s="8" t="s">
        <v>653</v>
      </c>
      <c r="H46" s="8" t="s">
        <v>9</v>
      </c>
      <c r="I46" s="8" t="s">
        <v>666</v>
      </c>
      <c r="J46" s="8" t="s">
        <v>591</v>
      </c>
      <c r="K46" s="8" t="s">
        <v>592</v>
      </c>
      <c r="L46" s="8" t="s">
        <v>355</v>
      </c>
      <c r="M46" s="8" t="s">
        <v>593</v>
      </c>
      <c r="N46" s="8" t="s">
        <v>111</v>
      </c>
      <c r="O46" s="8" t="s">
        <v>111</v>
      </c>
      <c r="P46" s="8" t="s">
        <v>111</v>
      </c>
      <c r="Q46" s="8" t="s">
        <v>111</v>
      </c>
      <c r="R46" s="8"/>
      <c r="S46" s="8" t="s">
        <v>112</v>
      </c>
      <c r="T46" s="8"/>
      <c r="U46" s="8" t="s">
        <v>594</v>
      </c>
    </row>
    <row r="47" spans="1:21" ht="24" x14ac:dyDescent="0.3">
      <c r="A47" s="8" t="s">
        <v>667</v>
      </c>
      <c r="B47" s="10">
        <v>315721</v>
      </c>
      <c r="C47" s="8" t="s">
        <v>127</v>
      </c>
      <c r="D47" s="8" t="s">
        <v>9</v>
      </c>
      <c r="E47" s="8" t="s">
        <v>588</v>
      </c>
      <c r="F47" s="8" t="s">
        <v>384</v>
      </c>
      <c r="G47" s="8" t="s">
        <v>633</v>
      </c>
      <c r="H47" s="8" t="s">
        <v>9</v>
      </c>
      <c r="I47" s="8" t="s">
        <v>608</v>
      </c>
      <c r="J47" s="8" t="s">
        <v>591</v>
      </c>
      <c r="K47" s="8" t="s">
        <v>592</v>
      </c>
      <c r="L47" s="8" t="s">
        <v>355</v>
      </c>
      <c r="M47" s="8" t="s">
        <v>593</v>
      </c>
      <c r="N47" s="8" t="s">
        <v>111</v>
      </c>
      <c r="O47" s="8" t="s">
        <v>111</v>
      </c>
      <c r="P47" s="8" t="s">
        <v>111</v>
      </c>
      <c r="Q47" s="8" t="s">
        <v>111</v>
      </c>
      <c r="R47" s="8"/>
      <c r="S47" s="8" t="s">
        <v>112</v>
      </c>
      <c r="T47" s="8"/>
      <c r="U47" s="8" t="s">
        <v>594</v>
      </c>
    </row>
    <row r="48" spans="1:21" ht="24" x14ac:dyDescent="0.3">
      <c r="A48" s="8" t="s">
        <v>668</v>
      </c>
      <c r="B48" s="10">
        <v>315721</v>
      </c>
      <c r="C48" s="8" t="s">
        <v>127</v>
      </c>
      <c r="D48" s="8" t="s">
        <v>9</v>
      </c>
      <c r="E48" s="8" t="s">
        <v>588</v>
      </c>
      <c r="F48" s="8" t="s">
        <v>384</v>
      </c>
      <c r="G48" s="8" t="s">
        <v>635</v>
      </c>
      <c r="H48" s="8" t="s">
        <v>9</v>
      </c>
      <c r="I48" s="8" t="s">
        <v>669</v>
      </c>
      <c r="J48" s="8" t="s">
        <v>591</v>
      </c>
      <c r="K48" s="8" t="s">
        <v>592</v>
      </c>
      <c r="L48" s="8" t="s">
        <v>355</v>
      </c>
      <c r="M48" s="8" t="s">
        <v>593</v>
      </c>
      <c r="N48" s="8" t="s">
        <v>111</v>
      </c>
      <c r="O48" s="8" t="s">
        <v>111</v>
      </c>
      <c r="P48" s="8" t="s">
        <v>111</v>
      </c>
      <c r="Q48" s="8" t="s">
        <v>111</v>
      </c>
      <c r="R48" s="8"/>
      <c r="S48" s="8" t="s">
        <v>112</v>
      </c>
      <c r="T48" s="8"/>
      <c r="U48" s="8" t="s">
        <v>594</v>
      </c>
    </row>
    <row r="49" spans="1:21" ht="24" x14ac:dyDescent="0.3">
      <c r="A49" s="8" t="s">
        <v>670</v>
      </c>
      <c r="B49" s="10">
        <v>315721</v>
      </c>
      <c r="C49" s="8" t="s">
        <v>127</v>
      </c>
      <c r="D49" s="8" t="s">
        <v>9</v>
      </c>
      <c r="E49" s="8" t="s">
        <v>588</v>
      </c>
      <c r="F49" s="8" t="s">
        <v>384</v>
      </c>
      <c r="G49" s="8" t="s">
        <v>637</v>
      </c>
      <c r="H49" s="8" t="s">
        <v>9</v>
      </c>
      <c r="I49" s="8" t="s">
        <v>671</v>
      </c>
      <c r="J49" s="8" t="s">
        <v>591</v>
      </c>
      <c r="K49" s="8" t="s">
        <v>592</v>
      </c>
      <c r="L49" s="8" t="s">
        <v>355</v>
      </c>
      <c r="M49" s="8" t="s">
        <v>593</v>
      </c>
      <c r="N49" s="8" t="s">
        <v>111</v>
      </c>
      <c r="O49" s="8" t="s">
        <v>111</v>
      </c>
      <c r="P49" s="8" t="s">
        <v>111</v>
      </c>
      <c r="Q49" s="8" t="s">
        <v>111</v>
      </c>
      <c r="R49" s="8"/>
      <c r="S49" s="8" t="s">
        <v>112</v>
      </c>
      <c r="T49" s="8"/>
      <c r="U49" s="8" t="s">
        <v>594</v>
      </c>
    </row>
    <row r="50" spans="1:21" ht="24" x14ac:dyDescent="0.3">
      <c r="A50" s="8" t="s">
        <v>672</v>
      </c>
      <c r="B50" s="10">
        <v>315721</v>
      </c>
      <c r="C50" s="8" t="s">
        <v>127</v>
      </c>
      <c r="D50" s="8" t="s">
        <v>9</v>
      </c>
      <c r="E50" s="8" t="s">
        <v>588</v>
      </c>
      <c r="F50" s="8" t="s">
        <v>384</v>
      </c>
      <c r="G50" s="8" t="s">
        <v>639</v>
      </c>
      <c r="H50" s="8" t="s">
        <v>9</v>
      </c>
      <c r="I50" s="8" t="s">
        <v>673</v>
      </c>
      <c r="J50" s="8" t="s">
        <v>591</v>
      </c>
      <c r="K50" s="8" t="s">
        <v>592</v>
      </c>
      <c r="L50" s="8" t="s">
        <v>355</v>
      </c>
      <c r="M50" s="8" t="s">
        <v>593</v>
      </c>
      <c r="N50" s="8" t="s">
        <v>111</v>
      </c>
      <c r="O50" s="8" t="s">
        <v>111</v>
      </c>
      <c r="P50" s="8" t="s">
        <v>111</v>
      </c>
      <c r="Q50" s="8" t="s">
        <v>111</v>
      </c>
      <c r="R50" s="8"/>
      <c r="S50" s="8" t="s">
        <v>112</v>
      </c>
      <c r="T50" s="8"/>
      <c r="U50" s="8" t="s">
        <v>594</v>
      </c>
    </row>
    <row r="51" spans="1:21" ht="24" x14ac:dyDescent="0.3">
      <c r="A51" s="8" t="s">
        <v>674</v>
      </c>
      <c r="B51" s="10">
        <v>315721</v>
      </c>
      <c r="C51" s="8" t="s">
        <v>127</v>
      </c>
      <c r="D51" s="8" t="s">
        <v>9</v>
      </c>
      <c r="E51" s="8" t="s">
        <v>588</v>
      </c>
      <c r="F51" s="8" t="s">
        <v>384</v>
      </c>
      <c r="G51" s="8" t="s">
        <v>641</v>
      </c>
      <c r="H51" s="8" t="s">
        <v>9</v>
      </c>
      <c r="I51" s="8" t="s">
        <v>675</v>
      </c>
      <c r="J51" s="8" t="s">
        <v>591</v>
      </c>
      <c r="K51" s="8" t="s">
        <v>592</v>
      </c>
      <c r="L51" s="8" t="s">
        <v>355</v>
      </c>
      <c r="M51" s="8" t="s">
        <v>593</v>
      </c>
      <c r="N51" s="8" t="s">
        <v>111</v>
      </c>
      <c r="O51" s="8" t="s">
        <v>111</v>
      </c>
      <c r="P51" s="8" t="s">
        <v>111</v>
      </c>
      <c r="Q51" s="8" t="s">
        <v>111</v>
      </c>
      <c r="R51" s="8"/>
      <c r="S51" s="8" t="s">
        <v>112</v>
      </c>
      <c r="T51" s="8"/>
      <c r="U51" s="8" t="s">
        <v>594</v>
      </c>
    </row>
    <row r="52" spans="1:21" ht="24" x14ac:dyDescent="0.3">
      <c r="A52" s="8" t="s">
        <v>676</v>
      </c>
      <c r="B52" s="10">
        <v>315721</v>
      </c>
      <c r="C52" s="8" t="s">
        <v>127</v>
      </c>
      <c r="D52" s="8" t="s">
        <v>9</v>
      </c>
      <c r="E52" s="8" t="s">
        <v>588</v>
      </c>
      <c r="F52" s="8" t="s">
        <v>384</v>
      </c>
      <c r="G52" s="8" t="s">
        <v>643</v>
      </c>
      <c r="H52" s="8" t="s">
        <v>9</v>
      </c>
      <c r="I52" s="8" t="s">
        <v>677</v>
      </c>
      <c r="J52" s="8" t="s">
        <v>591</v>
      </c>
      <c r="K52" s="8" t="s">
        <v>592</v>
      </c>
      <c r="L52" s="8" t="s">
        <v>355</v>
      </c>
      <c r="M52" s="8" t="s">
        <v>593</v>
      </c>
      <c r="N52" s="8" t="s">
        <v>111</v>
      </c>
      <c r="O52" s="8" t="s">
        <v>111</v>
      </c>
      <c r="P52" s="8" t="s">
        <v>111</v>
      </c>
      <c r="Q52" s="8" t="s">
        <v>111</v>
      </c>
      <c r="R52" s="8"/>
      <c r="S52" s="8" t="s">
        <v>112</v>
      </c>
      <c r="T52" s="8"/>
      <c r="U52" s="8" t="s">
        <v>594</v>
      </c>
    </row>
    <row r="53" spans="1:21" ht="24" x14ac:dyDescent="0.3">
      <c r="A53" s="8" t="s">
        <v>678</v>
      </c>
      <c r="B53" s="10">
        <v>315721</v>
      </c>
      <c r="C53" s="8" t="s">
        <v>127</v>
      </c>
      <c r="D53" s="8" t="s">
        <v>9</v>
      </c>
      <c r="E53" s="8" t="s">
        <v>588</v>
      </c>
      <c r="F53" s="8" t="s">
        <v>384</v>
      </c>
      <c r="G53" s="8" t="s">
        <v>645</v>
      </c>
      <c r="H53" s="8" t="s">
        <v>9</v>
      </c>
      <c r="I53" s="8" t="s">
        <v>679</v>
      </c>
      <c r="J53" s="8" t="s">
        <v>591</v>
      </c>
      <c r="K53" s="8" t="s">
        <v>592</v>
      </c>
      <c r="L53" s="8" t="s">
        <v>355</v>
      </c>
      <c r="M53" s="8" t="s">
        <v>593</v>
      </c>
      <c r="N53" s="8" t="s">
        <v>111</v>
      </c>
      <c r="O53" s="8" t="s">
        <v>111</v>
      </c>
      <c r="P53" s="8" t="s">
        <v>111</v>
      </c>
      <c r="Q53" s="8" t="s">
        <v>111</v>
      </c>
      <c r="R53" s="8"/>
      <c r="S53" s="8" t="s">
        <v>112</v>
      </c>
      <c r="T53" s="8"/>
      <c r="U53" s="8" t="s">
        <v>594</v>
      </c>
    </row>
    <row r="54" spans="1:21" ht="24" x14ac:dyDescent="0.3">
      <c r="A54" s="8" t="s">
        <v>680</v>
      </c>
      <c r="B54" s="10">
        <v>315721</v>
      </c>
      <c r="C54" s="8" t="s">
        <v>127</v>
      </c>
      <c r="D54" s="8" t="s">
        <v>9</v>
      </c>
      <c r="E54" s="8" t="s">
        <v>588</v>
      </c>
      <c r="F54" s="8" t="s">
        <v>384</v>
      </c>
      <c r="G54" s="8" t="s">
        <v>647</v>
      </c>
      <c r="H54" s="8" t="s">
        <v>9</v>
      </c>
      <c r="I54" s="8" t="s">
        <v>681</v>
      </c>
      <c r="J54" s="8" t="s">
        <v>591</v>
      </c>
      <c r="K54" s="8" t="s">
        <v>592</v>
      </c>
      <c r="L54" s="8" t="s">
        <v>355</v>
      </c>
      <c r="M54" s="8" t="s">
        <v>593</v>
      </c>
      <c r="N54" s="8" t="s">
        <v>111</v>
      </c>
      <c r="O54" s="8" t="s">
        <v>111</v>
      </c>
      <c r="P54" s="8" t="s">
        <v>111</v>
      </c>
      <c r="Q54" s="8" t="s">
        <v>111</v>
      </c>
      <c r="R54" s="8"/>
      <c r="S54" s="8" t="s">
        <v>112</v>
      </c>
      <c r="T54" s="8"/>
      <c r="U54" s="8" t="s">
        <v>594</v>
      </c>
    </row>
    <row r="55" spans="1:21" ht="24" x14ac:dyDescent="0.3">
      <c r="A55" s="8" t="s">
        <v>682</v>
      </c>
      <c r="B55" s="10">
        <v>315721</v>
      </c>
      <c r="C55" s="8" t="s">
        <v>127</v>
      </c>
      <c r="D55" s="8" t="s">
        <v>9</v>
      </c>
      <c r="E55" s="8" t="s">
        <v>588</v>
      </c>
      <c r="F55" s="8" t="s">
        <v>384</v>
      </c>
      <c r="G55" s="8" t="s">
        <v>649</v>
      </c>
      <c r="H55" s="8" t="s">
        <v>9</v>
      </c>
      <c r="I55" s="8" t="s">
        <v>683</v>
      </c>
      <c r="J55" s="8" t="s">
        <v>591</v>
      </c>
      <c r="K55" s="8" t="s">
        <v>592</v>
      </c>
      <c r="L55" s="8" t="s">
        <v>355</v>
      </c>
      <c r="M55" s="8" t="s">
        <v>593</v>
      </c>
      <c r="N55" s="8" t="s">
        <v>111</v>
      </c>
      <c r="O55" s="8" t="s">
        <v>111</v>
      </c>
      <c r="P55" s="8" t="s">
        <v>111</v>
      </c>
      <c r="Q55" s="8" t="s">
        <v>111</v>
      </c>
      <c r="R55" s="8"/>
      <c r="S55" s="8" t="s">
        <v>112</v>
      </c>
      <c r="T55" s="8"/>
      <c r="U55" s="8" t="s">
        <v>594</v>
      </c>
    </row>
    <row r="56" spans="1:21" ht="24" x14ac:dyDescent="0.3">
      <c r="A56" s="8" t="s">
        <v>684</v>
      </c>
      <c r="B56" s="10">
        <v>315721</v>
      </c>
      <c r="C56" s="8" t="s">
        <v>127</v>
      </c>
      <c r="D56" s="8" t="s">
        <v>9</v>
      </c>
      <c r="E56" s="8" t="s">
        <v>588</v>
      </c>
      <c r="F56" s="8" t="s">
        <v>384</v>
      </c>
      <c r="G56" s="8" t="s">
        <v>651</v>
      </c>
      <c r="H56" s="8" t="s">
        <v>9</v>
      </c>
      <c r="I56" s="8" t="s">
        <v>606</v>
      </c>
      <c r="J56" s="8" t="s">
        <v>591</v>
      </c>
      <c r="K56" s="8" t="s">
        <v>592</v>
      </c>
      <c r="L56" s="8" t="s">
        <v>355</v>
      </c>
      <c r="M56" s="8" t="s">
        <v>593</v>
      </c>
      <c r="N56" s="8" t="s">
        <v>111</v>
      </c>
      <c r="O56" s="8" t="s">
        <v>111</v>
      </c>
      <c r="P56" s="8" t="s">
        <v>111</v>
      </c>
      <c r="Q56" s="8" t="s">
        <v>111</v>
      </c>
      <c r="R56" s="8"/>
      <c r="S56" s="8" t="s">
        <v>112</v>
      </c>
      <c r="T56" s="8"/>
      <c r="U56" s="8" t="s">
        <v>594</v>
      </c>
    </row>
    <row r="57" spans="1:21" ht="24" x14ac:dyDescent="0.3">
      <c r="A57" s="8" t="s">
        <v>685</v>
      </c>
      <c r="B57" s="10">
        <v>315721</v>
      </c>
      <c r="C57" s="8" t="s">
        <v>127</v>
      </c>
      <c r="D57" s="8" t="s">
        <v>9</v>
      </c>
      <c r="E57" s="8" t="s">
        <v>588</v>
      </c>
      <c r="F57" s="8" t="s">
        <v>384</v>
      </c>
      <c r="G57" s="8" t="s">
        <v>653</v>
      </c>
      <c r="H57" s="8" t="s">
        <v>9</v>
      </c>
      <c r="I57" s="8" t="s">
        <v>606</v>
      </c>
      <c r="J57" s="8" t="s">
        <v>591</v>
      </c>
      <c r="K57" s="8" t="s">
        <v>592</v>
      </c>
      <c r="L57" s="8" t="s">
        <v>355</v>
      </c>
      <c r="M57" s="8" t="s">
        <v>593</v>
      </c>
      <c r="N57" s="8" t="s">
        <v>111</v>
      </c>
      <c r="O57" s="8" t="s">
        <v>111</v>
      </c>
      <c r="P57" s="8" t="s">
        <v>111</v>
      </c>
      <c r="Q57" s="8" t="s">
        <v>111</v>
      </c>
      <c r="R57" s="8"/>
      <c r="S57" s="8" t="s">
        <v>112</v>
      </c>
      <c r="T57" s="8"/>
      <c r="U57" s="8" t="s">
        <v>594</v>
      </c>
    </row>
    <row r="58" spans="1:21" ht="24" x14ac:dyDescent="0.3">
      <c r="A58" s="8" t="s">
        <v>686</v>
      </c>
      <c r="B58" s="10">
        <v>315721</v>
      </c>
      <c r="C58" s="8" t="s">
        <v>127</v>
      </c>
      <c r="D58" s="8" t="s">
        <v>9</v>
      </c>
      <c r="E58" s="8" t="s">
        <v>588</v>
      </c>
      <c r="F58" s="8" t="s">
        <v>384</v>
      </c>
      <c r="G58" s="8" t="s">
        <v>633</v>
      </c>
      <c r="H58" s="8" t="s">
        <v>9</v>
      </c>
      <c r="I58" s="8" t="s">
        <v>606</v>
      </c>
      <c r="J58" s="8" t="s">
        <v>591</v>
      </c>
      <c r="K58" s="8" t="s">
        <v>592</v>
      </c>
      <c r="L58" s="8" t="s">
        <v>355</v>
      </c>
      <c r="M58" s="8" t="s">
        <v>593</v>
      </c>
      <c r="N58" s="8" t="s">
        <v>111</v>
      </c>
      <c r="O58" s="8" t="s">
        <v>111</v>
      </c>
      <c r="P58" s="8" t="s">
        <v>111</v>
      </c>
      <c r="Q58" s="8" t="s">
        <v>111</v>
      </c>
      <c r="R58" s="8"/>
      <c r="S58" s="8" t="s">
        <v>112</v>
      </c>
      <c r="T58" s="8"/>
      <c r="U58" s="8" t="s">
        <v>594</v>
      </c>
    </row>
    <row r="59" spans="1:21" ht="24" x14ac:dyDescent="0.3">
      <c r="A59" s="8" t="s">
        <v>687</v>
      </c>
      <c r="B59" s="10">
        <v>315721</v>
      </c>
      <c r="C59" s="8" t="s">
        <v>127</v>
      </c>
      <c r="D59" s="8" t="s">
        <v>9</v>
      </c>
      <c r="E59" s="8" t="s">
        <v>588</v>
      </c>
      <c r="F59" s="8" t="s">
        <v>384</v>
      </c>
      <c r="G59" s="8" t="s">
        <v>635</v>
      </c>
      <c r="H59" s="8" t="s">
        <v>9</v>
      </c>
      <c r="I59" s="8" t="s">
        <v>606</v>
      </c>
      <c r="J59" s="8" t="s">
        <v>591</v>
      </c>
      <c r="K59" s="8" t="s">
        <v>592</v>
      </c>
      <c r="L59" s="8" t="s">
        <v>355</v>
      </c>
      <c r="M59" s="8" t="s">
        <v>593</v>
      </c>
      <c r="N59" s="8" t="s">
        <v>111</v>
      </c>
      <c r="O59" s="8" t="s">
        <v>111</v>
      </c>
      <c r="P59" s="8" t="s">
        <v>111</v>
      </c>
      <c r="Q59" s="8" t="s">
        <v>111</v>
      </c>
      <c r="R59" s="8"/>
      <c r="S59" s="8" t="s">
        <v>112</v>
      </c>
      <c r="T59" s="8"/>
      <c r="U59" s="8" t="s">
        <v>594</v>
      </c>
    </row>
    <row r="60" spans="1:21" ht="24" x14ac:dyDescent="0.3">
      <c r="A60" s="8" t="s">
        <v>688</v>
      </c>
      <c r="B60" s="10">
        <v>315721</v>
      </c>
      <c r="C60" s="8" t="s">
        <v>127</v>
      </c>
      <c r="D60" s="8" t="s">
        <v>9</v>
      </c>
      <c r="E60" s="8" t="s">
        <v>588</v>
      </c>
      <c r="F60" s="8" t="s">
        <v>384</v>
      </c>
      <c r="G60" s="8" t="s">
        <v>637</v>
      </c>
      <c r="H60" s="8" t="s">
        <v>9</v>
      </c>
      <c r="I60" s="8" t="s">
        <v>606</v>
      </c>
      <c r="J60" s="8" t="s">
        <v>591</v>
      </c>
      <c r="K60" s="8" t="s">
        <v>592</v>
      </c>
      <c r="L60" s="8" t="s">
        <v>355</v>
      </c>
      <c r="M60" s="8" t="s">
        <v>593</v>
      </c>
      <c r="N60" s="8" t="s">
        <v>111</v>
      </c>
      <c r="O60" s="8" t="s">
        <v>111</v>
      </c>
      <c r="P60" s="8" t="s">
        <v>111</v>
      </c>
      <c r="Q60" s="8" t="s">
        <v>111</v>
      </c>
      <c r="R60" s="8"/>
      <c r="S60" s="8" t="s">
        <v>112</v>
      </c>
      <c r="T60" s="8"/>
      <c r="U60" s="8" t="s">
        <v>594</v>
      </c>
    </row>
    <row r="61" spans="1:21" ht="24" x14ac:dyDescent="0.3">
      <c r="A61" s="8" t="s">
        <v>689</v>
      </c>
      <c r="B61" s="10">
        <v>315721</v>
      </c>
      <c r="C61" s="8" t="s">
        <v>127</v>
      </c>
      <c r="D61" s="8" t="s">
        <v>9</v>
      </c>
      <c r="E61" s="8" t="s">
        <v>588</v>
      </c>
      <c r="F61" s="8" t="s">
        <v>384</v>
      </c>
      <c r="G61" s="8" t="s">
        <v>639</v>
      </c>
      <c r="H61" s="8" t="s">
        <v>9</v>
      </c>
      <c r="I61" s="8" t="s">
        <v>606</v>
      </c>
      <c r="J61" s="8" t="s">
        <v>591</v>
      </c>
      <c r="K61" s="8" t="s">
        <v>592</v>
      </c>
      <c r="L61" s="8" t="s">
        <v>355</v>
      </c>
      <c r="M61" s="8" t="s">
        <v>593</v>
      </c>
      <c r="N61" s="8" t="s">
        <v>111</v>
      </c>
      <c r="O61" s="8" t="s">
        <v>111</v>
      </c>
      <c r="P61" s="8" t="s">
        <v>111</v>
      </c>
      <c r="Q61" s="8" t="s">
        <v>111</v>
      </c>
      <c r="R61" s="8"/>
      <c r="S61" s="8" t="s">
        <v>112</v>
      </c>
      <c r="T61" s="8"/>
      <c r="U61" s="8" t="s">
        <v>594</v>
      </c>
    </row>
    <row r="62" spans="1:21" ht="24" x14ac:dyDescent="0.3">
      <c r="A62" s="8" t="s">
        <v>690</v>
      </c>
      <c r="B62" s="10">
        <v>315721</v>
      </c>
      <c r="C62" s="8" t="s">
        <v>127</v>
      </c>
      <c r="D62" s="8" t="s">
        <v>9</v>
      </c>
      <c r="E62" s="8" t="s">
        <v>588</v>
      </c>
      <c r="F62" s="8" t="s">
        <v>384</v>
      </c>
      <c r="G62" s="8" t="s">
        <v>641</v>
      </c>
      <c r="H62" s="8" t="s">
        <v>9</v>
      </c>
      <c r="I62" s="8" t="s">
        <v>606</v>
      </c>
      <c r="J62" s="8" t="s">
        <v>591</v>
      </c>
      <c r="K62" s="8" t="s">
        <v>592</v>
      </c>
      <c r="L62" s="8" t="s">
        <v>355</v>
      </c>
      <c r="M62" s="8" t="s">
        <v>593</v>
      </c>
      <c r="N62" s="8" t="s">
        <v>111</v>
      </c>
      <c r="O62" s="8" t="s">
        <v>111</v>
      </c>
      <c r="P62" s="8" t="s">
        <v>111</v>
      </c>
      <c r="Q62" s="8" t="s">
        <v>111</v>
      </c>
      <c r="R62" s="8"/>
      <c r="S62" s="8" t="s">
        <v>112</v>
      </c>
      <c r="T62" s="8"/>
      <c r="U62" s="8" t="s">
        <v>594</v>
      </c>
    </row>
    <row r="63" spans="1:21" ht="24" x14ac:dyDescent="0.3">
      <c r="A63" s="8" t="s">
        <v>691</v>
      </c>
      <c r="B63" s="10">
        <v>315721</v>
      </c>
      <c r="C63" s="8" t="s">
        <v>127</v>
      </c>
      <c r="D63" s="8" t="s">
        <v>9</v>
      </c>
      <c r="E63" s="8" t="s">
        <v>588</v>
      </c>
      <c r="F63" s="8" t="s">
        <v>384</v>
      </c>
      <c r="G63" s="8" t="s">
        <v>643</v>
      </c>
      <c r="H63" s="8" t="s">
        <v>9</v>
      </c>
      <c r="I63" s="8" t="s">
        <v>606</v>
      </c>
      <c r="J63" s="8" t="s">
        <v>591</v>
      </c>
      <c r="K63" s="8" t="s">
        <v>592</v>
      </c>
      <c r="L63" s="8" t="s">
        <v>355</v>
      </c>
      <c r="M63" s="8" t="s">
        <v>593</v>
      </c>
      <c r="N63" s="8" t="s">
        <v>111</v>
      </c>
      <c r="O63" s="8" t="s">
        <v>111</v>
      </c>
      <c r="P63" s="8" t="s">
        <v>111</v>
      </c>
      <c r="Q63" s="8" t="s">
        <v>111</v>
      </c>
      <c r="R63" s="8"/>
      <c r="S63" s="8" t="s">
        <v>112</v>
      </c>
      <c r="T63" s="8"/>
      <c r="U63" s="8" t="s">
        <v>594</v>
      </c>
    </row>
    <row r="64" spans="1:21" ht="24" x14ac:dyDescent="0.3">
      <c r="A64" s="8" t="s">
        <v>692</v>
      </c>
      <c r="B64" s="10">
        <v>315721</v>
      </c>
      <c r="C64" s="8" t="s">
        <v>127</v>
      </c>
      <c r="D64" s="8" t="s">
        <v>9</v>
      </c>
      <c r="E64" s="8" t="s">
        <v>588</v>
      </c>
      <c r="F64" s="8" t="s">
        <v>384</v>
      </c>
      <c r="G64" s="8" t="s">
        <v>645</v>
      </c>
      <c r="H64" s="8" t="s">
        <v>9</v>
      </c>
      <c r="I64" s="8" t="s">
        <v>606</v>
      </c>
      <c r="J64" s="8" t="s">
        <v>591</v>
      </c>
      <c r="K64" s="8" t="s">
        <v>592</v>
      </c>
      <c r="L64" s="8" t="s">
        <v>355</v>
      </c>
      <c r="M64" s="8" t="s">
        <v>593</v>
      </c>
      <c r="N64" s="8" t="s">
        <v>111</v>
      </c>
      <c r="O64" s="8" t="s">
        <v>111</v>
      </c>
      <c r="P64" s="8" t="s">
        <v>111</v>
      </c>
      <c r="Q64" s="8" t="s">
        <v>111</v>
      </c>
      <c r="R64" s="8"/>
      <c r="S64" s="8" t="s">
        <v>112</v>
      </c>
      <c r="T64" s="8"/>
      <c r="U64" s="8" t="s">
        <v>594</v>
      </c>
    </row>
    <row r="65" spans="1:21" ht="24" x14ac:dyDescent="0.3">
      <c r="A65" s="8" t="s">
        <v>693</v>
      </c>
      <c r="B65" s="10">
        <v>315721</v>
      </c>
      <c r="C65" s="8" t="s">
        <v>127</v>
      </c>
      <c r="D65" s="8" t="s">
        <v>9</v>
      </c>
      <c r="E65" s="8" t="s">
        <v>588</v>
      </c>
      <c r="F65" s="8" t="s">
        <v>384</v>
      </c>
      <c r="G65" s="8" t="s">
        <v>647</v>
      </c>
      <c r="H65" s="8" t="s">
        <v>9</v>
      </c>
      <c r="I65" s="8" t="s">
        <v>606</v>
      </c>
      <c r="J65" s="8" t="s">
        <v>591</v>
      </c>
      <c r="K65" s="8" t="s">
        <v>592</v>
      </c>
      <c r="L65" s="8" t="s">
        <v>355</v>
      </c>
      <c r="M65" s="8" t="s">
        <v>593</v>
      </c>
      <c r="N65" s="8" t="s">
        <v>111</v>
      </c>
      <c r="O65" s="8" t="s">
        <v>111</v>
      </c>
      <c r="P65" s="8" t="s">
        <v>111</v>
      </c>
      <c r="Q65" s="8" t="s">
        <v>111</v>
      </c>
      <c r="R65" s="8"/>
      <c r="S65" s="8" t="s">
        <v>112</v>
      </c>
      <c r="T65" s="8"/>
      <c r="U65" s="8" t="s">
        <v>594</v>
      </c>
    </row>
    <row r="66" spans="1:21" ht="24" x14ac:dyDescent="0.3">
      <c r="A66" s="8" t="s">
        <v>694</v>
      </c>
      <c r="B66" s="10">
        <v>315721</v>
      </c>
      <c r="C66" s="8" t="s">
        <v>127</v>
      </c>
      <c r="D66" s="8" t="s">
        <v>9</v>
      </c>
      <c r="E66" s="8" t="s">
        <v>588</v>
      </c>
      <c r="F66" s="8" t="s">
        <v>384</v>
      </c>
      <c r="G66" s="8" t="s">
        <v>649</v>
      </c>
      <c r="H66" s="8" t="s">
        <v>9</v>
      </c>
      <c r="I66" s="8" t="s">
        <v>606</v>
      </c>
      <c r="J66" s="8" t="s">
        <v>591</v>
      </c>
      <c r="K66" s="8" t="s">
        <v>592</v>
      </c>
      <c r="L66" s="8" t="s">
        <v>355</v>
      </c>
      <c r="M66" s="8" t="s">
        <v>593</v>
      </c>
      <c r="N66" s="8" t="s">
        <v>111</v>
      </c>
      <c r="O66" s="8" t="s">
        <v>111</v>
      </c>
      <c r="P66" s="8" t="s">
        <v>111</v>
      </c>
      <c r="Q66" s="8" t="s">
        <v>111</v>
      </c>
      <c r="R66" s="8"/>
      <c r="S66" s="8" t="s">
        <v>112</v>
      </c>
      <c r="T66" s="8"/>
      <c r="U66" s="8" t="s">
        <v>594</v>
      </c>
    </row>
    <row r="67" spans="1:21" ht="24" x14ac:dyDescent="0.3">
      <c r="A67" s="8" t="s">
        <v>695</v>
      </c>
      <c r="B67" s="10">
        <v>315721</v>
      </c>
      <c r="C67" s="8" t="s">
        <v>127</v>
      </c>
      <c r="D67" s="8" t="s">
        <v>9</v>
      </c>
      <c r="E67" s="8" t="s">
        <v>588</v>
      </c>
      <c r="F67" s="8" t="s">
        <v>384</v>
      </c>
      <c r="G67" s="8" t="s">
        <v>651</v>
      </c>
      <c r="H67" s="8" t="s">
        <v>9</v>
      </c>
      <c r="I67" s="8" t="s">
        <v>606</v>
      </c>
      <c r="J67" s="8" t="s">
        <v>591</v>
      </c>
      <c r="K67" s="8" t="s">
        <v>592</v>
      </c>
      <c r="L67" s="8" t="s">
        <v>355</v>
      </c>
      <c r="M67" s="8" t="s">
        <v>593</v>
      </c>
      <c r="N67" s="8" t="s">
        <v>111</v>
      </c>
      <c r="O67" s="8" t="s">
        <v>111</v>
      </c>
      <c r="P67" s="8" t="s">
        <v>111</v>
      </c>
      <c r="Q67" s="8" t="s">
        <v>111</v>
      </c>
      <c r="R67" s="8"/>
      <c r="S67" s="8" t="s">
        <v>112</v>
      </c>
      <c r="T67" s="8"/>
      <c r="U67" s="8" t="s">
        <v>594</v>
      </c>
    </row>
    <row r="68" spans="1:21" ht="24" x14ac:dyDescent="0.3">
      <c r="A68" s="8" t="s">
        <v>696</v>
      </c>
      <c r="B68" s="10">
        <v>315721</v>
      </c>
      <c r="C68" s="8" t="s">
        <v>127</v>
      </c>
      <c r="D68" s="8" t="s">
        <v>9</v>
      </c>
      <c r="E68" s="8" t="s">
        <v>588</v>
      </c>
      <c r="F68" s="8" t="s">
        <v>384</v>
      </c>
      <c r="G68" s="8" t="s">
        <v>653</v>
      </c>
      <c r="H68" s="8" t="s">
        <v>9</v>
      </c>
      <c r="I68" s="8" t="s">
        <v>697</v>
      </c>
      <c r="J68" s="8" t="s">
        <v>591</v>
      </c>
      <c r="K68" s="8" t="s">
        <v>592</v>
      </c>
      <c r="L68" s="8" t="s">
        <v>355</v>
      </c>
      <c r="M68" s="8" t="s">
        <v>593</v>
      </c>
      <c r="N68" s="8" t="s">
        <v>111</v>
      </c>
      <c r="O68" s="8" t="s">
        <v>111</v>
      </c>
      <c r="P68" s="8" t="s">
        <v>111</v>
      </c>
      <c r="Q68" s="8" t="s">
        <v>111</v>
      </c>
      <c r="R68" s="8"/>
      <c r="S68" s="8" t="s">
        <v>112</v>
      </c>
      <c r="T68" s="8"/>
      <c r="U68" s="8" t="s">
        <v>594</v>
      </c>
    </row>
    <row r="69" spans="1:21" ht="24" x14ac:dyDescent="0.3">
      <c r="A69" s="8" t="s">
        <v>698</v>
      </c>
      <c r="B69" s="10">
        <v>315721</v>
      </c>
      <c r="C69" s="8" t="s">
        <v>127</v>
      </c>
      <c r="D69" s="8" t="s">
        <v>9</v>
      </c>
      <c r="E69" s="8" t="s">
        <v>588</v>
      </c>
      <c r="F69" s="8" t="s">
        <v>384</v>
      </c>
      <c r="G69" s="8" t="s">
        <v>633</v>
      </c>
      <c r="H69" s="8" t="s">
        <v>9</v>
      </c>
      <c r="I69" s="8" t="s">
        <v>606</v>
      </c>
      <c r="J69" s="8" t="s">
        <v>591</v>
      </c>
      <c r="K69" s="8" t="s">
        <v>592</v>
      </c>
      <c r="L69" s="8" t="s">
        <v>355</v>
      </c>
      <c r="M69" s="8" t="s">
        <v>593</v>
      </c>
      <c r="N69" s="8" t="s">
        <v>111</v>
      </c>
      <c r="O69" s="8" t="s">
        <v>111</v>
      </c>
      <c r="P69" s="8" t="s">
        <v>111</v>
      </c>
      <c r="Q69" s="8" t="s">
        <v>111</v>
      </c>
      <c r="R69" s="8"/>
      <c r="S69" s="8" t="s">
        <v>112</v>
      </c>
      <c r="T69" s="8"/>
      <c r="U69" s="8" t="s">
        <v>594</v>
      </c>
    </row>
    <row r="70" spans="1:21" ht="24" x14ac:dyDescent="0.3">
      <c r="A70" s="8" t="s">
        <v>699</v>
      </c>
      <c r="B70" s="10">
        <v>315721</v>
      </c>
      <c r="C70" s="8" t="s">
        <v>127</v>
      </c>
      <c r="D70" s="8" t="s">
        <v>9</v>
      </c>
      <c r="E70" s="8" t="s">
        <v>588</v>
      </c>
      <c r="F70" s="8" t="s">
        <v>384</v>
      </c>
      <c r="G70" s="8" t="s">
        <v>635</v>
      </c>
      <c r="H70" s="8" t="s">
        <v>9</v>
      </c>
      <c r="I70" s="8" t="s">
        <v>606</v>
      </c>
      <c r="J70" s="8" t="s">
        <v>591</v>
      </c>
      <c r="K70" s="8" t="s">
        <v>592</v>
      </c>
      <c r="L70" s="8" t="s">
        <v>355</v>
      </c>
      <c r="M70" s="8" t="s">
        <v>593</v>
      </c>
      <c r="N70" s="8" t="s">
        <v>111</v>
      </c>
      <c r="O70" s="8" t="s">
        <v>111</v>
      </c>
      <c r="P70" s="8" t="s">
        <v>111</v>
      </c>
      <c r="Q70" s="8" t="s">
        <v>111</v>
      </c>
      <c r="R70" s="8"/>
      <c r="S70" s="8" t="s">
        <v>112</v>
      </c>
      <c r="T70" s="8"/>
      <c r="U70" s="8" t="s">
        <v>594</v>
      </c>
    </row>
    <row r="71" spans="1:21" ht="24" x14ac:dyDescent="0.3">
      <c r="A71" s="8" t="s">
        <v>700</v>
      </c>
      <c r="B71" s="10">
        <v>315721</v>
      </c>
      <c r="C71" s="8" t="s">
        <v>127</v>
      </c>
      <c r="D71" s="8" t="s">
        <v>9</v>
      </c>
      <c r="E71" s="8" t="s">
        <v>588</v>
      </c>
      <c r="F71" s="8" t="s">
        <v>384</v>
      </c>
      <c r="G71" s="8" t="s">
        <v>637</v>
      </c>
      <c r="H71" s="8" t="s">
        <v>9</v>
      </c>
      <c r="I71" s="8" t="s">
        <v>606</v>
      </c>
      <c r="J71" s="8" t="s">
        <v>591</v>
      </c>
      <c r="K71" s="8" t="s">
        <v>592</v>
      </c>
      <c r="L71" s="8" t="s">
        <v>355</v>
      </c>
      <c r="M71" s="8" t="s">
        <v>593</v>
      </c>
      <c r="N71" s="8" t="s">
        <v>111</v>
      </c>
      <c r="O71" s="8" t="s">
        <v>111</v>
      </c>
      <c r="P71" s="8" t="s">
        <v>111</v>
      </c>
      <c r="Q71" s="8" t="s">
        <v>111</v>
      </c>
      <c r="R71" s="8"/>
      <c r="S71" s="8" t="s">
        <v>112</v>
      </c>
      <c r="T71" s="8"/>
      <c r="U71" s="8" t="s">
        <v>594</v>
      </c>
    </row>
    <row r="72" spans="1:21" ht="24" x14ac:dyDescent="0.3">
      <c r="A72" s="8" t="s">
        <v>701</v>
      </c>
      <c r="B72" s="10">
        <v>315721</v>
      </c>
      <c r="C72" s="8" t="s">
        <v>127</v>
      </c>
      <c r="D72" s="8" t="s">
        <v>9</v>
      </c>
      <c r="E72" s="8" t="s">
        <v>588</v>
      </c>
      <c r="F72" s="8" t="s">
        <v>384</v>
      </c>
      <c r="G72" s="8" t="s">
        <v>639</v>
      </c>
      <c r="H72" s="8" t="s">
        <v>9</v>
      </c>
      <c r="I72" s="8" t="s">
        <v>606</v>
      </c>
      <c r="J72" s="8" t="s">
        <v>591</v>
      </c>
      <c r="K72" s="8" t="s">
        <v>592</v>
      </c>
      <c r="L72" s="8" t="s">
        <v>355</v>
      </c>
      <c r="M72" s="8" t="s">
        <v>593</v>
      </c>
      <c r="N72" s="8" t="s">
        <v>111</v>
      </c>
      <c r="O72" s="8" t="s">
        <v>111</v>
      </c>
      <c r="P72" s="8" t="s">
        <v>111</v>
      </c>
      <c r="Q72" s="8" t="s">
        <v>111</v>
      </c>
      <c r="R72" s="8"/>
      <c r="S72" s="8" t="s">
        <v>112</v>
      </c>
      <c r="T72" s="8"/>
      <c r="U72" s="8" t="s">
        <v>594</v>
      </c>
    </row>
    <row r="73" spans="1:21" ht="24" x14ac:dyDescent="0.3">
      <c r="A73" s="8" t="s">
        <v>702</v>
      </c>
      <c r="B73" s="10">
        <v>315721</v>
      </c>
      <c r="C73" s="8" t="s">
        <v>127</v>
      </c>
      <c r="D73" s="8" t="s">
        <v>9</v>
      </c>
      <c r="E73" s="8" t="s">
        <v>588</v>
      </c>
      <c r="F73" s="8" t="s">
        <v>384</v>
      </c>
      <c r="G73" s="8" t="s">
        <v>641</v>
      </c>
      <c r="H73" s="8" t="s">
        <v>9</v>
      </c>
      <c r="I73" s="8" t="s">
        <v>606</v>
      </c>
      <c r="J73" s="8" t="s">
        <v>591</v>
      </c>
      <c r="K73" s="8" t="s">
        <v>592</v>
      </c>
      <c r="L73" s="8" t="s">
        <v>355</v>
      </c>
      <c r="M73" s="8" t="s">
        <v>593</v>
      </c>
      <c r="N73" s="8" t="s">
        <v>111</v>
      </c>
      <c r="O73" s="8" t="s">
        <v>111</v>
      </c>
      <c r="P73" s="8" t="s">
        <v>111</v>
      </c>
      <c r="Q73" s="8" t="s">
        <v>111</v>
      </c>
      <c r="R73" s="8"/>
      <c r="S73" s="8" t="s">
        <v>112</v>
      </c>
      <c r="T73" s="8"/>
      <c r="U73" s="8" t="s">
        <v>594</v>
      </c>
    </row>
    <row r="74" spans="1:21" ht="24" x14ac:dyDescent="0.3">
      <c r="A74" s="8" t="s">
        <v>703</v>
      </c>
      <c r="B74" s="10">
        <v>315721</v>
      </c>
      <c r="C74" s="8" t="s">
        <v>127</v>
      </c>
      <c r="D74" s="8" t="s">
        <v>9</v>
      </c>
      <c r="E74" s="8" t="s">
        <v>588</v>
      </c>
      <c r="F74" s="8" t="s">
        <v>384</v>
      </c>
      <c r="G74" s="8" t="s">
        <v>643</v>
      </c>
      <c r="H74" s="8" t="s">
        <v>9</v>
      </c>
      <c r="I74" s="8" t="s">
        <v>606</v>
      </c>
      <c r="J74" s="8" t="s">
        <v>591</v>
      </c>
      <c r="K74" s="8" t="s">
        <v>592</v>
      </c>
      <c r="L74" s="8" t="s">
        <v>355</v>
      </c>
      <c r="M74" s="8" t="s">
        <v>593</v>
      </c>
      <c r="N74" s="8" t="s">
        <v>111</v>
      </c>
      <c r="O74" s="8" t="s">
        <v>111</v>
      </c>
      <c r="P74" s="8" t="s">
        <v>111</v>
      </c>
      <c r="Q74" s="8" t="s">
        <v>111</v>
      </c>
      <c r="R74" s="8"/>
      <c r="S74" s="8" t="s">
        <v>112</v>
      </c>
      <c r="T74" s="8"/>
      <c r="U74" s="8" t="s">
        <v>594</v>
      </c>
    </row>
    <row r="75" spans="1:21" ht="24" x14ac:dyDescent="0.3">
      <c r="A75" s="8" t="s">
        <v>704</v>
      </c>
      <c r="B75" s="10">
        <v>315721</v>
      </c>
      <c r="C75" s="8" t="s">
        <v>127</v>
      </c>
      <c r="D75" s="8" t="s">
        <v>9</v>
      </c>
      <c r="E75" s="8" t="s">
        <v>588</v>
      </c>
      <c r="F75" s="8" t="s">
        <v>384</v>
      </c>
      <c r="G75" s="8" t="s">
        <v>645</v>
      </c>
      <c r="H75" s="8" t="s">
        <v>9</v>
      </c>
      <c r="I75" s="8" t="s">
        <v>606</v>
      </c>
      <c r="J75" s="8" t="s">
        <v>591</v>
      </c>
      <c r="K75" s="8" t="s">
        <v>592</v>
      </c>
      <c r="L75" s="8" t="s">
        <v>355</v>
      </c>
      <c r="M75" s="8" t="s">
        <v>593</v>
      </c>
      <c r="N75" s="8" t="s">
        <v>111</v>
      </c>
      <c r="O75" s="8" t="s">
        <v>111</v>
      </c>
      <c r="P75" s="8" t="s">
        <v>111</v>
      </c>
      <c r="Q75" s="8" t="s">
        <v>111</v>
      </c>
      <c r="R75" s="8"/>
      <c r="S75" s="8" t="s">
        <v>112</v>
      </c>
      <c r="T75" s="8"/>
      <c r="U75" s="8" t="s">
        <v>594</v>
      </c>
    </row>
    <row r="76" spans="1:21" ht="24" x14ac:dyDescent="0.3">
      <c r="A76" s="8" t="s">
        <v>705</v>
      </c>
      <c r="B76" s="10">
        <v>315721</v>
      </c>
      <c r="C76" s="8" t="s">
        <v>127</v>
      </c>
      <c r="D76" s="8" t="s">
        <v>9</v>
      </c>
      <c r="E76" s="8" t="s">
        <v>588</v>
      </c>
      <c r="F76" s="8" t="s">
        <v>384</v>
      </c>
      <c r="G76" s="8" t="s">
        <v>647</v>
      </c>
      <c r="H76" s="8" t="s">
        <v>9</v>
      </c>
      <c r="I76" s="8" t="s">
        <v>606</v>
      </c>
      <c r="J76" s="8" t="s">
        <v>591</v>
      </c>
      <c r="K76" s="8" t="s">
        <v>592</v>
      </c>
      <c r="L76" s="8" t="s">
        <v>355</v>
      </c>
      <c r="M76" s="8" t="s">
        <v>593</v>
      </c>
      <c r="N76" s="8" t="s">
        <v>111</v>
      </c>
      <c r="O76" s="8" t="s">
        <v>111</v>
      </c>
      <c r="P76" s="8" t="s">
        <v>111</v>
      </c>
      <c r="Q76" s="8" t="s">
        <v>111</v>
      </c>
      <c r="R76" s="8"/>
      <c r="S76" s="8" t="s">
        <v>112</v>
      </c>
      <c r="T76" s="8"/>
      <c r="U76" s="8" t="s">
        <v>594</v>
      </c>
    </row>
    <row r="77" spans="1:21" ht="24" x14ac:dyDescent="0.3">
      <c r="A77" s="8" t="s">
        <v>706</v>
      </c>
      <c r="B77" s="10">
        <v>315721</v>
      </c>
      <c r="C77" s="8" t="s">
        <v>127</v>
      </c>
      <c r="D77" s="8" t="s">
        <v>9</v>
      </c>
      <c r="E77" s="8" t="s">
        <v>588</v>
      </c>
      <c r="F77" s="8" t="s">
        <v>384</v>
      </c>
      <c r="G77" s="8" t="s">
        <v>649</v>
      </c>
      <c r="H77" s="8" t="s">
        <v>9</v>
      </c>
      <c r="I77" s="8" t="s">
        <v>606</v>
      </c>
      <c r="J77" s="8" t="s">
        <v>591</v>
      </c>
      <c r="K77" s="8" t="s">
        <v>592</v>
      </c>
      <c r="L77" s="8" t="s">
        <v>355</v>
      </c>
      <c r="M77" s="8" t="s">
        <v>593</v>
      </c>
      <c r="N77" s="8" t="s">
        <v>111</v>
      </c>
      <c r="O77" s="8" t="s">
        <v>111</v>
      </c>
      <c r="P77" s="8" t="s">
        <v>111</v>
      </c>
      <c r="Q77" s="8" t="s">
        <v>111</v>
      </c>
      <c r="R77" s="8"/>
      <c r="S77" s="8" t="s">
        <v>112</v>
      </c>
      <c r="T77" s="8"/>
      <c r="U77" s="8" t="s">
        <v>594</v>
      </c>
    </row>
    <row r="78" spans="1:21" ht="24" x14ac:dyDescent="0.3">
      <c r="A78" s="8" t="s">
        <v>707</v>
      </c>
      <c r="B78" s="10">
        <v>315721</v>
      </c>
      <c r="C78" s="8" t="s">
        <v>127</v>
      </c>
      <c r="D78" s="8" t="s">
        <v>9</v>
      </c>
      <c r="E78" s="8" t="s">
        <v>588</v>
      </c>
      <c r="F78" s="8" t="s">
        <v>384</v>
      </c>
      <c r="G78" s="8" t="s">
        <v>651</v>
      </c>
      <c r="H78" s="8" t="s">
        <v>9</v>
      </c>
      <c r="I78" s="8" t="s">
        <v>708</v>
      </c>
      <c r="J78" s="8" t="s">
        <v>591</v>
      </c>
      <c r="K78" s="8" t="s">
        <v>592</v>
      </c>
      <c r="L78" s="8" t="s">
        <v>355</v>
      </c>
      <c r="M78" s="8" t="s">
        <v>593</v>
      </c>
      <c r="N78" s="8" t="s">
        <v>111</v>
      </c>
      <c r="O78" s="8" t="s">
        <v>111</v>
      </c>
      <c r="P78" s="8" t="s">
        <v>111</v>
      </c>
      <c r="Q78" s="8" t="s">
        <v>111</v>
      </c>
      <c r="R78" s="8"/>
      <c r="S78" s="8" t="s">
        <v>112</v>
      </c>
      <c r="T78" s="8"/>
      <c r="U78" s="8" t="s">
        <v>594</v>
      </c>
    </row>
    <row r="79" spans="1:21" ht="24" x14ac:dyDescent="0.3">
      <c r="A79" s="8" t="s">
        <v>709</v>
      </c>
      <c r="B79" s="10">
        <v>315721</v>
      </c>
      <c r="C79" s="8" t="s">
        <v>127</v>
      </c>
      <c r="D79" s="8" t="s">
        <v>9</v>
      </c>
      <c r="E79" s="8" t="s">
        <v>588</v>
      </c>
      <c r="F79" s="8" t="s">
        <v>384</v>
      </c>
      <c r="G79" s="8" t="s">
        <v>653</v>
      </c>
      <c r="H79" s="8" t="s">
        <v>9</v>
      </c>
      <c r="I79" s="8" t="s">
        <v>606</v>
      </c>
      <c r="J79" s="8" t="s">
        <v>591</v>
      </c>
      <c r="K79" s="8" t="s">
        <v>592</v>
      </c>
      <c r="L79" s="8" t="s">
        <v>355</v>
      </c>
      <c r="M79" s="8" t="s">
        <v>593</v>
      </c>
      <c r="N79" s="8" t="s">
        <v>111</v>
      </c>
      <c r="O79" s="8" t="s">
        <v>111</v>
      </c>
      <c r="P79" s="8" t="s">
        <v>111</v>
      </c>
      <c r="Q79" s="8" t="s">
        <v>111</v>
      </c>
      <c r="R79" s="8"/>
      <c r="S79" s="8" t="s">
        <v>112</v>
      </c>
      <c r="T79" s="8"/>
      <c r="U79" s="8" t="s">
        <v>594</v>
      </c>
    </row>
    <row r="80" spans="1:21" ht="48" x14ac:dyDescent="0.3">
      <c r="A80" s="8" t="s">
        <v>710</v>
      </c>
      <c r="B80" s="10">
        <v>273952</v>
      </c>
      <c r="C80" s="8" t="s">
        <v>129</v>
      </c>
      <c r="D80" s="8" t="s">
        <v>9</v>
      </c>
      <c r="E80" s="8" t="s">
        <v>588</v>
      </c>
      <c r="F80" s="8" t="s">
        <v>384</v>
      </c>
      <c r="G80" s="8" t="s">
        <v>711</v>
      </c>
      <c r="H80" s="8" t="s">
        <v>9</v>
      </c>
      <c r="I80" s="8" t="s">
        <v>355</v>
      </c>
      <c r="J80" s="8" t="s">
        <v>591</v>
      </c>
      <c r="K80" s="8" t="s">
        <v>592</v>
      </c>
      <c r="L80" s="8" t="s">
        <v>355</v>
      </c>
      <c r="M80" s="8" t="s">
        <v>593</v>
      </c>
      <c r="N80" s="8" t="s">
        <v>111</v>
      </c>
      <c r="O80" s="8" t="s">
        <v>111</v>
      </c>
      <c r="P80" s="8" t="s">
        <v>111</v>
      </c>
      <c r="Q80" s="8" t="s">
        <v>111</v>
      </c>
      <c r="R80" s="8"/>
      <c r="S80" s="8" t="s">
        <v>112</v>
      </c>
      <c r="T80" s="8"/>
      <c r="U80" s="8" t="s">
        <v>594</v>
      </c>
    </row>
    <row r="81" spans="1:21" ht="48" x14ac:dyDescent="0.3">
      <c r="A81" s="8" t="s">
        <v>712</v>
      </c>
      <c r="B81" s="10">
        <v>273952</v>
      </c>
      <c r="C81" s="8" t="s">
        <v>129</v>
      </c>
      <c r="D81" s="8" t="s">
        <v>9</v>
      </c>
      <c r="E81" s="8" t="s">
        <v>588</v>
      </c>
      <c r="F81" s="8" t="s">
        <v>384</v>
      </c>
      <c r="G81" s="8" t="s">
        <v>711</v>
      </c>
      <c r="H81" s="8" t="s">
        <v>9</v>
      </c>
      <c r="I81" s="8" t="s">
        <v>590</v>
      </c>
      <c r="J81" s="8" t="s">
        <v>591</v>
      </c>
      <c r="K81" s="8" t="s">
        <v>592</v>
      </c>
      <c r="L81" s="8" t="s">
        <v>355</v>
      </c>
      <c r="M81" s="8" t="s">
        <v>593</v>
      </c>
      <c r="N81" s="8" t="s">
        <v>111</v>
      </c>
      <c r="O81" s="8" t="s">
        <v>111</v>
      </c>
      <c r="P81" s="8" t="s">
        <v>111</v>
      </c>
      <c r="Q81" s="8" t="s">
        <v>111</v>
      </c>
      <c r="R81" s="8"/>
      <c r="S81" s="8" t="s">
        <v>112</v>
      </c>
      <c r="T81" s="8"/>
      <c r="U81" s="8" t="s">
        <v>594</v>
      </c>
    </row>
    <row r="82" spans="1:21" ht="24" x14ac:dyDescent="0.3">
      <c r="A82" s="8" t="s">
        <v>713</v>
      </c>
      <c r="B82" s="10">
        <v>297212</v>
      </c>
      <c r="C82" s="8" t="s">
        <v>131</v>
      </c>
      <c r="D82" s="8" t="s">
        <v>9</v>
      </c>
      <c r="E82" s="8" t="s">
        <v>588</v>
      </c>
      <c r="F82" s="8" t="s">
        <v>384</v>
      </c>
      <c r="G82" s="8" t="s">
        <v>714</v>
      </c>
      <c r="H82" s="8" t="s">
        <v>9</v>
      </c>
      <c r="I82" s="8" t="s">
        <v>606</v>
      </c>
      <c r="J82" s="8" t="s">
        <v>591</v>
      </c>
      <c r="K82" s="8" t="s">
        <v>592</v>
      </c>
      <c r="L82" s="8" t="s">
        <v>715</v>
      </c>
      <c r="M82" s="8" t="s">
        <v>593</v>
      </c>
      <c r="N82" s="8" t="s">
        <v>111</v>
      </c>
      <c r="O82" s="8" t="s">
        <v>111</v>
      </c>
      <c r="P82" s="8" t="s">
        <v>111</v>
      </c>
      <c r="Q82" s="8" t="s">
        <v>111</v>
      </c>
      <c r="R82" s="8"/>
      <c r="S82" s="8" t="s">
        <v>112</v>
      </c>
      <c r="T82" s="8"/>
      <c r="U82" s="8" t="s">
        <v>594</v>
      </c>
    </row>
    <row r="83" spans="1:21" ht="24" x14ac:dyDescent="0.3">
      <c r="A83" s="8" t="s">
        <v>716</v>
      </c>
      <c r="B83" s="10">
        <v>297212</v>
      </c>
      <c r="C83" s="8" t="s">
        <v>131</v>
      </c>
      <c r="D83" s="8" t="s">
        <v>9</v>
      </c>
      <c r="E83" s="8" t="s">
        <v>588</v>
      </c>
      <c r="F83" s="8" t="s">
        <v>384</v>
      </c>
      <c r="G83" s="8" t="s">
        <v>714</v>
      </c>
      <c r="H83" s="8" t="s">
        <v>9</v>
      </c>
      <c r="I83" s="8" t="s">
        <v>717</v>
      </c>
      <c r="J83" s="8" t="s">
        <v>591</v>
      </c>
      <c r="K83" s="8" t="s">
        <v>592</v>
      </c>
      <c r="L83" s="8" t="s">
        <v>715</v>
      </c>
      <c r="M83" s="8" t="s">
        <v>593</v>
      </c>
      <c r="N83" s="8" t="s">
        <v>111</v>
      </c>
      <c r="O83" s="8" t="s">
        <v>111</v>
      </c>
      <c r="P83" s="8" t="s">
        <v>111</v>
      </c>
      <c r="Q83" s="8" t="s">
        <v>111</v>
      </c>
      <c r="R83" s="8"/>
      <c r="S83" s="8" t="s">
        <v>112</v>
      </c>
      <c r="T83" s="8"/>
      <c r="U83" s="8" t="s">
        <v>594</v>
      </c>
    </row>
    <row r="84" spans="1:21" ht="24" x14ac:dyDescent="0.3">
      <c r="A84" s="8" t="s">
        <v>718</v>
      </c>
      <c r="B84" s="10">
        <v>300954</v>
      </c>
      <c r="C84" s="8" t="s">
        <v>133</v>
      </c>
      <c r="D84" s="8" t="s">
        <v>9</v>
      </c>
      <c r="E84" s="8" t="s">
        <v>588</v>
      </c>
      <c r="F84" s="8" t="s">
        <v>357</v>
      </c>
      <c r="G84" s="8" t="s">
        <v>465</v>
      </c>
      <c r="H84" s="8" t="s">
        <v>9</v>
      </c>
      <c r="I84" s="8" t="s">
        <v>719</v>
      </c>
      <c r="J84" s="8" t="s">
        <v>591</v>
      </c>
      <c r="K84" s="8" t="s">
        <v>592</v>
      </c>
      <c r="L84" s="8" t="s">
        <v>720</v>
      </c>
      <c r="M84" s="8" t="s">
        <v>593</v>
      </c>
      <c r="N84" s="8" t="s">
        <v>111</v>
      </c>
      <c r="O84" s="8" t="s">
        <v>111</v>
      </c>
      <c r="P84" s="8" t="s">
        <v>111</v>
      </c>
      <c r="Q84" s="8" t="s">
        <v>111</v>
      </c>
      <c r="R84" s="8"/>
      <c r="S84" s="8" t="s">
        <v>112</v>
      </c>
      <c r="T84" s="8"/>
      <c r="U84" s="8" t="s">
        <v>594</v>
      </c>
    </row>
    <row r="85" spans="1:21" ht="24" x14ac:dyDescent="0.3">
      <c r="A85" s="8" t="s">
        <v>721</v>
      </c>
      <c r="B85" s="10">
        <v>300954</v>
      </c>
      <c r="C85" s="8" t="s">
        <v>133</v>
      </c>
      <c r="D85" s="8" t="s">
        <v>9</v>
      </c>
      <c r="E85" s="8" t="s">
        <v>588</v>
      </c>
      <c r="F85" s="8" t="s">
        <v>357</v>
      </c>
      <c r="G85" s="8" t="s">
        <v>465</v>
      </c>
      <c r="H85" s="8" t="s">
        <v>9</v>
      </c>
      <c r="I85" s="8" t="s">
        <v>722</v>
      </c>
      <c r="J85" s="8" t="s">
        <v>591</v>
      </c>
      <c r="K85" s="8" t="s">
        <v>592</v>
      </c>
      <c r="L85" s="8" t="s">
        <v>720</v>
      </c>
      <c r="M85" s="8" t="s">
        <v>593</v>
      </c>
      <c r="N85" s="8" t="s">
        <v>111</v>
      </c>
      <c r="O85" s="8" t="s">
        <v>111</v>
      </c>
      <c r="P85" s="8" t="s">
        <v>111</v>
      </c>
      <c r="Q85" s="8" t="s">
        <v>111</v>
      </c>
      <c r="R85" s="8"/>
      <c r="S85" s="8" t="s">
        <v>112</v>
      </c>
      <c r="T85" s="8"/>
      <c r="U85" s="8" t="s">
        <v>594</v>
      </c>
    </row>
    <row r="86" spans="1:21" ht="36" x14ac:dyDescent="0.3">
      <c r="A86" s="8" t="s">
        <v>723</v>
      </c>
      <c r="B86" s="10">
        <v>234366</v>
      </c>
      <c r="C86" s="8" t="s">
        <v>135</v>
      </c>
      <c r="D86" s="8" t="s">
        <v>9</v>
      </c>
      <c r="E86" s="8" t="s">
        <v>588</v>
      </c>
      <c r="F86" s="8" t="s">
        <v>384</v>
      </c>
      <c r="G86" s="8" t="s">
        <v>724</v>
      </c>
      <c r="H86" s="8" t="s">
        <v>9</v>
      </c>
      <c r="I86" s="8" t="s">
        <v>355</v>
      </c>
      <c r="J86" s="8" t="s">
        <v>591</v>
      </c>
      <c r="K86" s="8" t="s">
        <v>592</v>
      </c>
      <c r="L86" s="8" t="s">
        <v>355</v>
      </c>
      <c r="M86" s="8" t="s">
        <v>593</v>
      </c>
      <c r="N86" s="8" t="s">
        <v>111</v>
      </c>
      <c r="O86" s="8" t="s">
        <v>111</v>
      </c>
      <c r="P86" s="8" t="s">
        <v>111</v>
      </c>
      <c r="Q86" s="8" t="s">
        <v>111</v>
      </c>
      <c r="R86" s="8"/>
      <c r="S86" s="8" t="s">
        <v>112</v>
      </c>
      <c r="T86" s="8"/>
      <c r="U86" s="8" t="s">
        <v>594</v>
      </c>
    </row>
    <row r="87" spans="1:21" ht="36" x14ac:dyDescent="0.3">
      <c r="A87" s="8" t="s">
        <v>725</v>
      </c>
      <c r="B87" s="10">
        <v>234366</v>
      </c>
      <c r="C87" s="8" t="s">
        <v>135</v>
      </c>
      <c r="D87" s="8" t="s">
        <v>9</v>
      </c>
      <c r="E87" s="8" t="s">
        <v>588</v>
      </c>
      <c r="F87" s="8" t="s">
        <v>384</v>
      </c>
      <c r="G87" s="8" t="s">
        <v>726</v>
      </c>
      <c r="H87" s="8" t="s">
        <v>9</v>
      </c>
      <c r="I87" s="8" t="s">
        <v>355</v>
      </c>
      <c r="J87" s="8" t="s">
        <v>591</v>
      </c>
      <c r="K87" s="8" t="s">
        <v>592</v>
      </c>
      <c r="L87" s="8" t="s">
        <v>355</v>
      </c>
      <c r="M87" s="8" t="s">
        <v>593</v>
      </c>
      <c r="N87" s="8" t="s">
        <v>111</v>
      </c>
      <c r="O87" s="8" t="s">
        <v>111</v>
      </c>
      <c r="P87" s="8" t="s">
        <v>111</v>
      </c>
      <c r="Q87" s="8" t="s">
        <v>111</v>
      </c>
      <c r="R87" s="8"/>
      <c r="S87" s="8" t="s">
        <v>112</v>
      </c>
      <c r="T87" s="8"/>
      <c r="U87" s="8" t="s">
        <v>594</v>
      </c>
    </row>
    <row r="88" spans="1:21" ht="36" x14ac:dyDescent="0.3">
      <c r="A88" s="8" t="s">
        <v>727</v>
      </c>
      <c r="B88" s="10">
        <v>234366</v>
      </c>
      <c r="C88" s="8" t="s">
        <v>135</v>
      </c>
      <c r="D88" s="8" t="s">
        <v>9</v>
      </c>
      <c r="E88" s="8" t="s">
        <v>588</v>
      </c>
      <c r="F88" s="8" t="s">
        <v>384</v>
      </c>
      <c r="G88" s="8" t="s">
        <v>724</v>
      </c>
      <c r="H88" s="8" t="s">
        <v>9</v>
      </c>
      <c r="I88" s="8" t="s">
        <v>590</v>
      </c>
      <c r="J88" s="8" t="s">
        <v>591</v>
      </c>
      <c r="K88" s="8" t="s">
        <v>592</v>
      </c>
      <c r="L88" s="8" t="s">
        <v>355</v>
      </c>
      <c r="M88" s="8" t="s">
        <v>593</v>
      </c>
      <c r="N88" s="8" t="s">
        <v>111</v>
      </c>
      <c r="O88" s="8" t="s">
        <v>111</v>
      </c>
      <c r="P88" s="8" t="s">
        <v>111</v>
      </c>
      <c r="Q88" s="8" t="s">
        <v>111</v>
      </c>
      <c r="R88" s="8"/>
      <c r="S88" s="8" t="s">
        <v>112</v>
      </c>
      <c r="T88" s="8"/>
      <c r="U88" s="8" t="s">
        <v>594</v>
      </c>
    </row>
    <row r="89" spans="1:21" ht="36" x14ac:dyDescent="0.3">
      <c r="A89" s="8" t="s">
        <v>728</v>
      </c>
      <c r="B89" s="10">
        <v>234366</v>
      </c>
      <c r="C89" s="8" t="s">
        <v>135</v>
      </c>
      <c r="D89" s="8" t="s">
        <v>9</v>
      </c>
      <c r="E89" s="8" t="s">
        <v>588</v>
      </c>
      <c r="F89" s="8" t="s">
        <v>384</v>
      </c>
      <c r="G89" s="8" t="s">
        <v>726</v>
      </c>
      <c r="H89" s="8" t="s">
        <v>9</v>
      </c>
      <c r="I89" s="8" t="s">
        <v>603</v>
      </c>
      <c r="J89" s="8" t="s">
        <v>591</v>
      </c>
      <c r="K89" s="8" t="s">
        <v>592</v>
      </c>
      <c r="L89" s="8" t="s">
        <v>355</v>
      </c>
      <c r="M89" s="8" t="s">
        <v>593</v>
      </c>
      <c r="N89" s="8" t="s">
        <v>111</v>
      </c>
      <c r="O89" s="8" t="s">
        <v>111</v>
      </c>
      <c r="P89" s="8" t="s">
        <v>111</v>
      </c>
      <c r="Q89" s="8" t="s">
        <v>111</v>
      </c>
      <c r="R89" s="8"/>
      <c r="S89" s="8" t="s">
        <v>112</v>
      </c>
      <c r="T89" s="8"/>
      <c r="U89" s="8" t="s">
        <v>594</v>
      </c>
    </row>
    <row r="90" spans="1:21" ht="24" x14ac:dyDescent="0.3">
      <c r="A90" s="8" t="s">
        <v>729</v>
      </c>
      <c r="B90" s="10">
        <v>293981</v>
      </c>
      <c r="C90" s="8" t="s">
        <v>137</v>
      </c>
      <c r="D90" s="8" t="s">
        <v>9</v>
      </c>
      <c r="E90" s="8" t="s">
        <v>588</v>
      </c>
      <c r="F90" s="8" t="s">
        <v>384</v>
      </c>
      <c r="G90" s="8" t="s">
        <v>730</v>
      </c>
      <c r="H90" s="8" t="s">
        <v>9</v>
      </c>
      <c r="I90" s="8" t="s">
        <v>606</v>
      </c>
      <c r="J90" s="8" t="s">
        <v>591</v>
      </c>
      <c r="K90" s="8" t="s">
        <v>592</v>
      </c>
      <c r="L90" s="8" t="s">
        <v>355</v>
      </c>
      <c r="M90" s="8" t="s">
        <v>593</v>
      </c>
      <c r="N90" s="8" t="s">
        <v>111</v>
      </c>
      <c r="O90" s="8" t="s">
        <v>111</v>
      </c>
      <c r="P90" s="8" t="s">
        <v>111</v>
      </c>
      <c r="Q90" s="8" t="s">
        <v>111</v>
      </c>
      <c r="R90" s="8"/>
      <c r="S90" s="8" t="s">
        <v>112</v>
      </c>
      <c r="T90" s="8"/>
      <c r="U90" s="8" t="s">
        <v>594</v>
      </c>
    </row>
    <row r="91" spans="1:21" ht="24" x14ac:dyDescent="0.3">
      <c r="A91" s="8" t="s">
        <v>731</v>
      </c>
      <c r="B91" s="10">
        <v>293981</v>
      </c>
      <c r="C91" s="8" t="s">
        <v>137</v>
      </c>
      <c r="D91" s="8" t="s">
        <v>9</v>
      </c>
      <c r="E91" s="8" t="s">
        <v>588</v>
      </c>
      <c r="F91" s="8" t="s">
        <v>384</v>
      </c>
      <c r="G91" s="8" t="s">
        <v>730</v>
      </c>
      <c r="H91" s="8" t="s">
        <v>9</v>
      </c>
      <c r="I91" s="8" t="s">
        <v>732</v>
      </c>
      <c r="J91" s="8" t="s">
        <v>591</v>
      </c>
      <c r="K91" s="8" t="s">
        <v>592</v>
      </c>
      <c r="L91" s="8" t="s">
        <v>355</v>
      </c>
      <c r="M91" s="8" t="s">
        <v>593</v>
      </c>
      <c r="N91" s="8" t="s">
        <v>111</v>
      </c>
      <c r="O91" s="8" t="s">
        <v>111</v>
      </c>
      <c r="P91" s="8" t="s">
        <v>111</v>
      </c>
      <c r="Q91" s="8" t="s">
        <v>111</v>
      </c>
      <c r="R91" s="8"/>
      <c r="S91" s="8" t="s">
        <v>112</v>
      </c>
      <c r="T91" s="8"/>
      <c r="U91" s="8" t="s">
        <v>594</v>
      </c>
    </row>
    <row r="92" spans="1:21" ht="24" x14ac:dyDescent="0.3">
      <c r="A92" s="8" t="s">
        <v>733</v>
      </c>
      <c r="B92" s="10">
        <v>292990</v>
      </c>
      <c r="C92" s="8" t="s">
        <v>139</v>
      </c>
      <c r="D92" s="8" t="s">
        <v>9</v>
      </c>
      <c r="E92" s="8" t="s">
        <v>588</v>
      </c>
      <c r="F92" s="8" t="s">
        <v>357</v>
      </c>
      <c r="G92" s="8" t="s">
        <v>358</v>
      </c>
      <c r="H92" s="8" t="s">
        <v>9</v>
      </c>
      <c r="I92" s="8" t="s">
        <v>734</v>
      </c>
      <c r="J92" s="8" t="s">
        <v>591</v>
      </c>
      <c r="K92" s="8" t="s">
        <v>592</v>
      </c>
      <c r="L92" s="8" t="s">
        <v>735</v>
      </c>
      <c r="M92" s="8" t="s">
        <v>593</v>
      </c>
      <c r="N92" s="8" t="s">
        <v>111</v>
      </c>
      <c r="O92" s="8" t="s">
        <v>111</v>
      </c>
      <c r="P92" s="8" t="s">
        <v>111</v>
      </c>
      <c r="Q92" s="8" t="s">
        <v>111</v>
      </c>
      <c r="R92" s="8"/>
      <c r="S92" s="8" t="s">
        <v>112</v>
      </c>
      <c r="T92" s="8"/>
      <c r="U92" s="8" t="s">
        <v>594</v>
      </c>
    </row>
    <row r="93" spans="1:21" ht="24" x14ac:dyDescent="0.3">
      <c r="A93" s="8" t="s">
        <v>736</v>
      </c>
      <c r="B93" s="10">
        <v>293148</v>
      </c>
      <c r="C93" s="8" t="s">
        <v>141</v>
      </c>
      <c r="D93" s="8" t="s">
        <v>9</v>
      </c>
      <c r="E93" s="8" t="s">
        <v>588</v>
      </c>
      <c r="F93" s="8" t="s">
        <v>384</v>
      </c>
      <c r="G93" s="8" t="s">
        <v>714</v>
      </c>
      <c r="H93" s="8" t="s">
        <v>9</v>
      </c>
      <c r="I93" s="8" t="s">
        <v>606</v>
      </c>
      <c r="J93" s="8" t="s">
        <v>591</v>
      </c>
      <c r="K93" s="8" t="s">
        <v>592</v>
      </c>
      <c r="L93" s="8" t="s">
        <v>737</v>
      </c>
      <c r="M93" s="8" t="s">
        <v>593</v>
      </c>
      <c r="N93" s="8" t="s">
        <v>111</v>
      </c>
      <c r="O93" s="8" t="s">
        <v>111</v>
      </c>
      <c r="P93" s="8" t="s">
        <v>111</v>
      </c>
      <c r="Q93" s="8" t="s">
        <v>111</v>
      </c>
      <c r="R93" s="8"/>
      <c r="S93" s="8" t="s">
        <v>112</v>
      </c>
      <c r="T93" s="8"/>
      <c r="U93" s="8" t="s">
        <v>594</v>
      </c>
    </row>
    <row r="94" spans="1:21" ht="24" x14ac:dyDescent="0.3">
      <c r="A94" s="8" t="s">
        <v>738</v>
      </c>
      <c r="B94" s="10">
        <v>293148</v>
      </c>
      <c r="C94" s="8" t="s">
        <v>141</v>
      </c>
      <c r="D94" s="8" t="s">
        <v>9</v>
      </c>
      <c r="E94" s="8" t="s">
        <v>588</v>
      </c>
      <c r="F94" s="8" t="s">
        <v>384</v>
      </c>
      <c r="G94" s="8" t="s">
        <v>714</v>
      </c>
      <c r="H94" s="8" t="s">
        <v>9</v>
      </c>
      <c r="I94" s="8" t="s">
        <v>608</v>
      </c>
      <c r="J94" s="8" t="s">
        <v>591</v>
      </c>
      <c r="K94" s="8" t="s">
        <v>592</v>
      </c>
      <c r="L94" s="8" t="s">
        <v>737</v>
      </c>
      <c r="M94" s="8" t="s">
        <v>593</v>
      </c>
      <c r="N94" s="8" t="s">
        <v>111</v>
      </c>
      <c r="O94" s="8" t="s">
        <v>111</v>
      </c>
      <c r="P94" s="8" t="s">
        <v>111</v>
      </c>
      <c r="Q94" s="8" t="s">
        <v>111</v>
      </c>
      <c r="R94" s="8"/>
      <c r="S94" s="8" t="s">
        <v>112</v>
      </c>
      <c r="T94" s="8"/>
      <c r="U94" s="8" t="s">
        <v>594</v>
      </c>
    </row>
    <row r="95" spans="1:21" ht="24" x14ac:dyDescent="0.3">
      <c r="A95" s="8" t="s">
        <v>739</v>
      </c>
      <c r="B95" s="10">
        <v>292739</v>
      </c>
      <c r="C95" s="8" t="s">
        <v>143</v>
      </c>
      <c r="D95" s="8" t="s">
        <v>9</v>
      </c>
      <c r="E95" s="8" t="s">
        <v>588</v>
      </c>
      <c r="F95" s="8" t="s">
        <v>357</v>
      </c>
      <c r="G95" s="8" t="s">
        <v>740</v>
      </c>
      <c r="H95" s="8" t="s">
        <v>9</v>
      </c>
      <c r="I95" s="8" t="s">
        <v>741</v>
      </c>
      <c r="J95" s="8" t="s">
        <v>591</v>
      </c>
      <c r="K95" s="8" t="s">
        <v>592</v>
      </c>
      <c r="L95" s="8" t="s">
        <v>355</v>
      </c>
      <c r="M95" s="8" t="s">
        <v>593</v>
      </c>
      <c r="N95" s="8" t="s">
        <v>111</v>
      </c>
      <c r="O95" s="8" t="s">
        <v>111</v>
      </c>
      <c r="P95" s="8" t="s">
        <v>111</v>
      </c>
      <c r="Q95" s="8" t="s">
        <v>111</v>
      </c>
      <c r="R95" s="8"/>
      <c r="S95" s="8" t="s">
        <v>112</v>
      </c>
      <c r="T95" s="8"/>
      <c r="U95" s="8" t="s">
        <v>594</v>
      </c>
    </row>
    <row r="96" spans="1:21" ht="72" x14ac:dyDescent="0.3">
      <c r="A96" s="8" t="s">
        <v>742</v>
      </c>
      <c r="B96" s="10">
        <v>292589</v>
      </c>
      <c r="C96" s="8" t="s">
        <v>145</v>
      </c>
      <c r="D96" s="8" t="s">
        <v>9</v>
      </c>
      <c r="E96" s="8" t="s">
        <v>588</v>
      </c>
      <c r="F96" s="8" t="s">
        <v>384</v>
      </c>
      <c r="G96" s="8" t="s">
        <v>743</v>
      </c>
      <c r="H96" s="8" t="s">
        <v>9</v>
      </c>
      <c r="I96" s="8" t="s">
        <v>671</v>
      </c>
      <c r="J96" s="8" t="s">
        <v>591</v>
      </c>
      <c r="K96" s="8" t="s">
        <v>592</v>
      </c>
      <c r="L96" s="8" t="s">
        <v>355</v>
      </c>
      <c r="M96" s="8" t="s">
        <v>593</v>
      </c>
      <c r="N96" s="8" t="s">
        <v>111</v>
      </c>
      <c r="O96" s="8" t="s">
        <v>111</v>
      </c>
      <c r="P96" s="8" t="s">
        <v>111</v>
      </c>
      <c r="Q96" s="8" t="s">
        <v>111</v>
      </c>
      <c r="R96" s="8"/>
      <c r="S96" s="8" t="s">
        <v>112</v>
      </c>
      <c r="T96" s="8"/>
      <c r="U96" s="8" t="s">
        <v>594</v>
      </c>
    </row>
    <row r="97" spans="1:21" ht="72" x14ac:dyDescent="0.3">
      <c r="A97" s="8" t="s">
        <v>744</v>
      </c>
      <c r="B97" s="10">
        <v>292589</v>
      </c>
      <c r="C97" s="8" t="s">
        <v>145</v>
      </c>
      <c r="D97" s="8" t="s">
        <v>9</v>
      </c>
      <c r="E97" s="8" t="s">
        <v>588</v>
      </c>
      <c r="F97" s="8" t="s">
        <v>384</v>
      </c>
      <c r="G97" s="8" t="s">
        <v>743</v>
      </c>
      <c r="H97" s="8" t="s">
        <v>9</v>
      </c>
      <c r="I97" s="8" t="s">
        <v>745</v>
      </c>
      <c r="J97" s="8" t="s">
        <v>591</v>
      </c>
      <c r="K97" s="8" t="s">
        <v>592</v>
      </c>
      <c r="L97" s="8" t="s">
        <v>355</v>
      </c>
      <c r="M97" s="8" t="s">
        <v>593</v>
      </c>
      <c r="N97" s="8" t="s">
        <v>111</v>
      </c>
      <c r="O97" s="8" t="s">
        <v>111</v>
      </c>
      <c r="P97" s="8" t="s">
        <v>111</v>
      </c>
      <c r="Q97" s="8" t="s">
        <v>111</v>
      </c>
      <c r="R97" s="8"/>
      <c r="S97" s="8" t="s">
        <v>112</v>
      </c>
      <c r="T97" s="8"/>
      <c r="U97" s="8" t="s">
        <v>594</v>
      </c>
    </row>
    <row r="98" spans="1:21" ht="24" x14ac:dyDescent="0.3">
      <c r="A98" s="8" t="s">
        <v>746</v>
      </c>
      <c r="B98" s="10">
        <v>245616</v>
      </c>
      <c r="C98" s="8" t="s">
        <v>147</v>
      </c>
      <c r="D98" s="8" t="s">
        <v>9</v>
      </c>
      <c r="E98" s="8" t="s">
        <v>588</v>
      </c>
      <c r="F98" s="8" t="s">
        <v>384</v>
      </c>
      <c r="G98" s="8" t="s">
        <v>747</v>
      </c>
      <c r="H98" s="8" t="s">
        <v>9</v>
      </c>
      <c r="I98" s="8" t="s">
        <v>590</v>
      </c>
      <c r="J98" s="8" t="s">
        <v>591</v>
      </c>
      <c r="K98" s="8" t="s">
        <v>592</v>
      </c>
      <c r="L98" s="8" t="s">
        <v>355</v>
      </c>
      <c r="M98" s="8" t="s">
        <v>593</v>
      </c>
      <c r="N98" s="8" t="s">
        <v>111</v>
      </c>
      <c r="O98" s="8" t="s">
        <v>111</v>
      </c>
      <c r="P98" s="8" t="s">
        <v>111</v>
      </c>
      <c r="Q98" s="8" t="s">
        <v>111</v>
      </c>
      <c r="R98" s="8"/>
      <c r="S98" s="8" t="s">
        <v>112</v>
      </c>
      <c r="T98" s="8"/>
      <c r="U98" s="8" t="s">
        <v>594</v>
      </c>
    </row>
    <row r="99" spans="1:21" ht="24" x14ac:dyDescent="0.3">
      <c r="A99" s="8" t="s">
        <v>748</v>
      </c>
      <c r="B99" s="10">
        <v>245616</v>
      </c>
      <c r="C99" s="8" t="s">
        <v>147</v>
      </c>
      <c r="D99" s="8" t="s">
        <v>9</v>
      </c>
      <c r="E99" s="8" t="s">
        <v>588</v>
      </c>
      <c r="F99" s="8" t="s">
        <v>384</v>
      </c>
      <c r="G99" s="8" t="s">
        <v>747</v>
      </c>
      <c r="H99" s="8" t="s">
        <v>9</v>
      </c>
      <c r="I99" s="8" t="s">
        <v>603</v>
      </c>
      <c r="J99" s="8" t="s">
        <v>591</v>
      </c>
      <c r="K99" s="8" t="s">
        <v>592</v>
      </c>
      <c r="L99" s="8" t="s">
        <v>355</v>
      </c>
      <c r="M99" s="8" t="s">
        <v>593</v>
      </c>
      <c r="N99" s="8" t="s">
        <v>111</v>
      </c>
      <c r="O99" s="8" t="s">
        <v>111</v>
      </c>
      <c r="P99" s="8" t="s">
        <v>111</v>
      </c>
      <c r="Q99" s="8" t="s">
        <v>111</v>
      </c>
      <c r="R99" s="8"/>
      <c r="S99" s="8" t="s">
        <v>112</v>
      </c>
      <c r="T99" s="8"/>
      <c r="U99" s="8" t="s">
        <v>594</v>
      </c>
    </row>
    <row r="100" spans="1:21" ht="60" x14ac:dyDescent="0.3">
      <c r="A100" s="8" t="s">
        <v>749</v>
      </c>
      <c r="B100" s="10">
        <v>258825</v>
      </c>
      <c r="C100" s="8" t="s">
        <v>149</v>
      </c>
      <c r="D100" s="8" t="s">
        <v>9</v>
      </c>
      <c r="E100" s="8" t="s">
        <v>588</v>
      </c>
      <c r="F100" s="8" t="s">
        <v>384</v>
      </c>
      <c r="G100" s="8" t="s">
        <v>750</v>
      </c>
      <c r="H100" s="8" t="s">
        <v>9</v>
      </c>
      <c r="I100" s="8" t="s">
        <v>590</v>
      </c>
      <c r="J100" s="8" t="s">
        <v>591</v>
      </c>
      <c r="K100" s="8" t="s">
        <v>592</v>
      </c>
      <c r="L100" s="8" t="s">
        <v>355</v>
      </c>
      <c r="M100" s="8" t="s">
        <v>593</v>
      </c>
      <c r="N100" s="8" t="s">
        <v>111</v>
      </c>
      <c r="O100" s="8" t="s">
        <v>111</v>
      </c>
      <c r="P100" s="8" t="s">
        <v>111</v>
      </c>
      <c r="Q100" s="8" t="s">
        <v>111</v>
      </c>
      <c r="R100" s="8"/>
      <c r="S100" s="8" t="s">
        <v>112</v>
      </c>
      <c r="T100" s="8"/>
      <c r="U100" s="8" t="s">
        <v>594</v>
      </c>
    </row>
    <row r="101" spans="1:21" ht="60" x14ac:dyDescent="0.3">
      <c r="A101" s="8" t="s">
        <v>751</v>
      </c>
      <c r="B101" s="10">
        <v>258825</v>
      </c>
      <c r="C101" s="8" t="s">
        <v>149</v>
      </c>
      <c r="D101" s="8" t="s">
        <v>9</v>
      </c>
      <c r="E101" s="8" t="s">
        <v>588</v>
      </c>
      <c r="F101" s="8" t="s">
        <v>384</v>
      </c>
      <c r="G101" s="8" t="s">
        <v>752</v>
      </c>
      <c r="H101" s="8" t="s">
        <v>9</v>
      </c>
      <c r="I101" s="8" t="s">
        <v>603</v>
      </c>
      <c r="J101" s="8" t="s">
        <v>591</v>
      </c>
      <c r="K101" s="8" t="s">
        <v>592</v>
      </c>
      <c r="L101" s="8" t="s">
        <v>355</v>
      </c>
      <c r="M101" s="8" t="s">
        <v>593</v>
      </c>
      <c r="N101" s="8" t="s">
        <v>111</v>
      </c>
      <c r="O101" s="8" t="s">
        <v>111</v>
      </c>
      <c r="P101" s="8" t="s">
        <v>111</v>
      </c>
      <c r="Q101" s="8" t="s">
        <v>111</v>
      </c>
      <c r="R101" s="8"/>
      <c r="S101" s="8" t="s">
        <v>112</v>
      </c>
      <c r="T101" s="8"/>
      <c r="U101" s="8" t="s">
        <v>594</v>
      </c>
    </row>
    <row r="102" spans="1:21" ht="48" x14ac:dyDescent="0.3">
      <c r="A102" s="8" t="s">
        <v>753</v>
      </c>
      <c r="B102" s="10">
        <v>258825</v>
      </c>
      <c r="C102" s="8" t="s">
        <v>149</v>
      </c>
      <c r="D102" s="8" t="s">
        <v>9</v>
      </c>
      <c r="E102" s="8" t="s">
        <v>588</v>
      </c>
      <c r="F102" s="8" t="s">
        <v>384</v>
      </c>
      <c r="G102" s="8" t="s">
        <v>754</v>
      </c>
      <c r="H102" s="8" t="s">
        <v>9</v>
      </c>
      <c r="I102" s="8" t="s">
        <v>601</v>
      </c>
      <c r="J102" s="8" t="s">
        <v>591</v>
      </c>
      <c r="K102" s="8" t="s">
        <v>592</v>
      </c>
      <c r="L102" s="8" t="s">
        <v>355</v>
      </c>
      <c r="M102" s="8" t="s">
        <v>593</v>
      </c>
      <c r="N102" s="8" t="s">
        <v>111</v>
      </c>
      <c r="O102" s="8" t="s">
        <v>111</v>
      </c>
      <c r="P102" s="8" t="s">
        <v>111</v>
      </c>
      <c r="Q102" s="8" t="s">
        <v>111</v>
      </c>
      <c r="R102" s="8"/>
      <c r="S102" s="8" t="s">
        <v>112</v>
      </c>
      <c r="T102" s="8"/>
      <c r="U102" s="8" t="s">
        <v>594</v>
      </c>
    </row>
    <row r="103" spans="1:21" ht="60" x14ac:dyDescent="0.3">
      <c r="A103" s="8" t="s">
        <v>755</v>
      </c>
      <c r="B103" s="10">
        <v>258825</v>
      </c>
      <c r="C103" s="8" t="s">
        <v>149</v>
      </c>
      <c r="D103" s="8" t="s">
        <v>9</v>
      </c>
      <c r="E103" s="8" t="s">
        <v>588</v>
      </c>
      <c r="F103" s="8" t="s">
        <v>384</v>
      </c>
      <c r="G103" s="8" t="s">
        <v>756</v>
      </c>
      <c r="H103" s="8" t="s">
        <v>9</v>
      </c>
      <c r="I103" s="8" t="s">
        <v>355</v>
      </c>
      <c r="J103" s="8" t="s">
        <v>591</v>
      </c>
      <c r="K103" s="8" t="s">
        <v>592</v>
      </c>
      <c r="L103" s="8" t="s">
        <v>355</v>
      </c>
      <c r="M103" s="8" t="s">
        <v>593</v>
      </c>
      <c r="N103" s="8" t="s">
        <v>111</v>
      </c>
      <c r="O103" s="8" t="s">
        <v>111</v>
      </c>
      <c r="P103" s="8" t="s">
        <v>111</v>
      </c>
      <c r="Q103" s="8" t="s">
        <v>111</v>
      </c>
      <c r="R103" s="8"/>
      <c r="S103" s="8" t="s">
        <v>112</v>
      </c>
      <c r="T103" s="8"/>
      <c r="U103" s="8" t="s">
        <v>594</v>
      </c>
    </row>
    <row r="104" spans="1:21" ht="60" x14ac:dyDescent="0.3">
      <c r="A104" s="8" t="s">
        <v>757</v>
      </c>
      <c r="B104" s="10">
        <v>258825</v>
      </c>
      <c r="C104" s="8" t="s">
        <v>149</v>
      </c>
      <c r="D104" s="8" t="s">
        <v>9</v>
      </c>
      <c r="E104" s="8" t="s">
        <v>588</v>
      </c>
      <c r="F104" s="8" t="s">
        <v>384</v>
      </c>
      <c r="G104" s="8" t="s">
        <v>750</v>
      </c>
      <c r="H104" s="8" t="s">
        <v>9</v>
      </c>
      <c r="I104" s="8" t="s">
        <v>590</v>
      </c>
      <c r="J104" s="8" t="s">
        <v>591</v>
      </c>
      <c r="K104" s="8" t="s">
        <v>592</v>
      </c>
      <c r="L104" s="8" t="s">
        <v>355</v>
      </c>
      <c r="M104" s="8" t="s">
        <v>593</v>
      </c>
      <c r="N104" s="8" t="s">
        <v>111</v>
      </c>
      <c r="O104" s="8" t="s">
        <v>111</v>
      </c>
      <c r="P104" s="8" t="s">
        <v>111</v>
      </c>
      <c r="Q104" s="8" t="s">
        <v>111</v>
      </c>
      <c r="R104" s="8"/>
      <c r="S104" s="8" t="s">
        <v>112</v>
      </c>
      <c r="T104" s="8"/>
      <c r="U104" s="8" t="s">
        <v>594</v>
      </c>
    </row>
    <row r="105" spans="1:21" ht="60" x14ac:dyDescent="0.3">
      <c r="A105" s="8" t="s">
        <v>758</v>
      </c>
      <c r="B105" s="10">
        <v>258825</v>
      </c>
      <c r="C105" s="8" t="s">
        <v>149</v>
      </c>
      <c r="D105" s="8" t="s">
        <v>9</v>
      </c>
      <c r="E105" s="8" t="s">
        <v>588</v>
      </c>
      <c r="F105" s="8" t="s">
        <v>384</v>
      </c>
      <c r="G105" s="8" t="s">
        <v>752</v>
      </c>
      <c r="H105" s="8" t="s">
        <v>9</v>
      </c>
      <c r="I105" s="8" t="s">
        <v>623</v>
      </c>
      <c r="J105" s="8" t="s">
        <v>591</v>
      </c>
      <c r="K105" s="8" t="s">
        <v>592</v>
      </c>
      <c r="L105" s="8" t="s">
        <v>355</v>
      </c>
      <c r="M105" s="8" t="s">
        <v>593</v>
      </c>
      <c r="N105" s="8" t="s">
        <v>111</v>
      </c>
      <c r="O105" s="8" t="s">
        <v>111</v>
      </c>
      <c r="P105" s="8" t="s">
        <v>111</v>
      </c>
      <c r="Q105" s="8" t="s">
        <v>111</v>
      </c>
      <c r="R105" s="8"/>
      <c r="S105" s="8" t="s">
        <v>112</v>
      </c>
      <c r="T105" s="8"/>
      <c r="U105" s="8" t="s">
        <v>594</v>
      </c>
    </row>
    <row r="106" spans="1:21" ht="48" x14ac:dyDescent="0.3">
      <c r="A106" s="8" t="s">
        <v>759</v>
      </c>
      <c r="B106" s="10">
        <v>258825</v>
      </c>
      <c r="C106" s="8" t="s">
        <v>149</v>
      </c>
      <c r="D106" s="8" t="s">
        <v>9</v>
      </c>
      <c r="E106" s="8" t="s">
        <v>588</v>
      </c>
      <c r="F106" s="8" t="s">
        <v>384</v>
      </c>
      <c r="G106" s="8" t="s">
        <v>754</v>
      </c>
      <c r="H106" s="8" t="s">
        <v>9</v>
      </c>
      <c r="I106" s="8" t="s">
        <v>619</v>
      </c>
      <c r="J106" s="8" t="s">
        <v>591</v>
      </c>
      <c r="K106" s="8" t="s">
        <v>592</v>
      </c>
      <c r="L106" s="8" t="s">
        <v>355</v>
      </c>
      <c r="M106" s="8" t="s">
        <v>593</v>
      </c>
      <c r="N106" s="8" t="s">
        <v>111</v>
      </c>
      <c r="O106" s="8" t="s">
        <v>111</v>
      </c>
      <c r="P106" s="8" t="s">
        <v>111</v>
      </c>
      <c r="Q106" s="8" t="s">
        <v>111</v>
      </c>
      <c r="R106" s="8"/>
      <c r="S106" s="8" t="s">
        <v>112</v>
      </c>
      <c r="T106" s="8"/>
      <c r="U106" s="8" t="s">
        <v>594</v>
      </c>
    </row>
    <row r="107" spans="1:21" ht="60" x14ac:dyDescent="0.3">
      <c r="A107" s="8" t="s">
        <v>760</v>
      </c>
      <c r="B107" s="10">
        <v>258825</v>
      </c>
      <c r="C107" s="8" t="s">
        <v>149</v>
      </c>
      <c r="D107" s="8" t="s">
        <v>9</v>
      </c>
      <c r="E107" s="8" t="s">
        <v>588</v>
      </c>
      <c r="F107" s="8" t="s">
        <v>384</v>
      </c>
      <c r="G107" s="8" t="s">
        <v>756</v>
      </c>
      <c r="H107" s="8" t="s">
        <v>9</v>
      </c>
      <c r="I107" s="8" t="s">
        <v>617</v>
      </c>
      <c r="J107" s="8" t="s">
        <v>591</v>
      </c>
      <c r="K107" s="8" t="s">
        <v>592</v>
      </c>
      <c r="L107" s="8" t="s">
        <v>355</v>
      </c>
      <c r="M107" s="8" t="s">
        <v>593</v>
      </c>
      <c r="N107" s="8" t="s">
        <v>111</v>
      </c>
      <c r="O107" s="8" t="s">
        <v>111</v>
      </c>
      <c r="P107" s="8" t="s">
        <v>111</v>
      </c>
      <c r="Q107" s="8" t="s">
        <v>111</v>
      </c>
      <c r="R107" s="8"/>
      <c r="S107" s="8" t="s">
        <v>112</v>
      </c>
      <c r="T107" s="8"/>
      <c r="U107" s="8" t="s">
        <v>594</v>
      </c>
    </row>
    <row r="108" spans="1:21" ht="24" x14ac:dyDescent="0.3">
      <c r="A108" s="8" t="s">
        <v>761</v>
      </c>
      <c r="B108" s="10">
        <v>280257</v>
      </c>
      <c r="C108" s="8" t="s">
        <v>151</v>
      </c>
      <c r="D108" s="8" t="s">
        <v>9</v>
      </c>
      <c r="E108" s="8" t="s">
        <v>588</v>
      </c>
      <c r="F108" s="8" t="s">
        <v>357</v>
      </c>
      <c r="G108" s="8" t="s">
        <v>762</v>
      </c>
      <c r="H108" s="8" t="s">
        <v>9</v>
      </c>
      <c r="I108" s="8" t="s">
        <v>590</v>
      </c>
      <c r="J108" s="8" t="s">
        <v>591</v>
      </c>
      <c r="K108" s="8" t="s">
        <v>592</v>
      </c>
      <c r="L108" s="8" t="s">
        <v>355</v>
      </c>
      <c r="M108" s="8" t="s">
        <v>593</v>
      </c>
      <c r="N108" s="8" t="s">
        <v>111</v>
      </c>
      <c r="O108" s="8" t="s">
        <v>111</v>
      </c>
      <c r="P108" s="8" t="s">
        <v>111</v>
      </c>
      <c r="Q108" s="8" t="s">
        <v>111</v>
      </c>
      <c r="R108" s="8"/>
      <c r="S108" s="8" t="s">
        <v>112</v>
      </c>
      <c r="T108" s="8"/>
      <c r="U108" s="8" t="s">
        <v>594</v>
      </c>
    </row>
    <row r="109" spans="1:21" ht="24" x14ac:dyDescent="0.3">
      <c r="A109" s="8" t="s">
        <v>763</v>
      </c>
      <c r="B109" s="10">
        <v>290338</v>
      </c>
      <c r="C109" s="8" t="s">
        <v>153</v>
      </c>
      <c r="D109" s="8" t="s">
        <v>9</v>
      </c>
      <c r="E109" s="8" t="s">
        <v>588</v>
      </c>
      <c r="F109" s="8" t="s">
        <v>355</v>
      </c>
      <c r="G109" s="8" t="s">
        <v>355</v>
      </c>
      <c r="H109" s="8" t="s">
        <v>9</v>
      </c>
      <c r="I109" s="8" t="s">
        <v>355</v>
      </c>
      <c r="J109" s="8" t="s">
        <v>591</v>
      </c>
      <c r="K109" s="8" t="s">
        <v>592</v>
      </c>
      <c r="L109" s="8" t="s">
        <v>355</v>
      </c>
      <c r="M109" s="8" t="s">
        <v>593</v>
      </c>
      <c r="N109" s="8" t="s">
        <v>111</v>
      </c>
      <c r="O109" s="8" t="s">
        <v>111</v>
      </c>
      <c r="P109" s="8" t="s">
        <v>111</v>
      </c>
      <c r="Q109" s="8" t="s">
        <v>111</v>
      </c>
      <c r="R109" s="8"/>
      <c r="S109" s="8" t="s">
        <v>112</v>
      </c>
      <c r="T109" s="8"/>
      <c r="U109" s="8" t="s">
        <v>594</v>
      </c>
    </row>
    <row r="110" spans="1:21" ht="24" x14ac:dyDescent="0.3">
      <c r="A110" s="8" t="s">
        <v>764</v>
      </c>
      <c r="B110" s="10">
        <v>292626</v>
      </c>
      <c r="C110" s="8" t="s">
        <v>155</v>
      </c>
      <c r="D110" s="8" t="s">
        <v>9</v>
      </c>
      <c r="E110" s="8" t="s">
        <v>588</v>
      </c>
      <c r="F110" s="8" t="s">
        <v>384</v>
      </c>
      <c r="G110" s="8" t="s">
        <v>765</v>
      </c>
      <c r="H110" s="8" t="s">
        <v>9</v>
      </c>
      <c r="I110" s="8" t="s">
        <v>766</v>
      </c>
      <c r="J110" s="8" t="s">
        <v>591</v>
      </c>
      <c r="K110" s="8" t="s">
        <v>592</v>
      </c>
      <c r="L110" s="8" t="s">
        <v>355</v>
      </c>
      <c r="M110" s="8" t="s">
        <v>593</v>
      </c>
      <c r="N110" s="8" t="s">
        <v>111</v>
      </c>
      <c r="O110" s="8" t="s">
        <v>111</v>
      </c>
      <c r="P110" s="8" t="s">
        <v>111</v>
      </c>
      <c r="Q110" s="8" t="s">
        <v>111</v>
      </c>
      <c r="R110" s="8"/>
      <c r="S110" s="8" t="s">
        <v>112</v>
      </c>
      <c r="T110" s="8"/>
      <c r="U110" s="8" t="s">
        <v>594</v>
      </c>
    </row>
    <row r="111" spans="1:21" ht="60" x14ac:dyDescent="0.3">
      <c r="A111" s="8" t="s">
        <v>767</v>
      </c>
      <c r="B111" s="10">
        <v>292626</v>
      </c>
      <c r="C111" s="8" t="s">
        <v>155</v>
      </c>
      <c r="D111" s="8" t="s">
        <v>9</v>
      </c>
      <c r="E111" s="8" t="s">
        <v>588</v>
      </c>
      <c r="F111" s="8" t="s">
        <v>384</v>
      </c>
      <c r="G111" s="8" t="s">
        <v>768</v>
      </c>
      <c r="H111" s="8" t="s">
        <v>9</v>
      </c>
      <c r="I111" s="8" t="s">
        <v>769</v>
      </c>
      <c r="J111" s="8" t="s">
        <v>591</v>
      </c>
      <c r="K111" s="8" t="s">
        <v>592</v>
      </c>
      <c r="L111" s="8" t="s">
        <v>355</v>
      </c>
      <c r="M111" s="8" t="s">
        <v>593</v>
      </c>
      <c r="N111" s="8" t="s">
        <v>111</v>
      </c>
      <c r="O111" s="8" t="s">
        <v>111</v>
      </c>
      <c r="P111" s="8" t="s">
        <v>111</v>
      </c>
      <c r="Q111" s="8" t="s">
        <v>111</v>
      </c>
      <c r="R111" s="8"/>
      <c r="S111" s="8" t="s">
        <v>112</v>
      </c>
      <c r="T111" s="8"/>
      <c r="U111" s="8" t="s">
        <v>594</v>
      </c>
    </row>
    <row r="112" spans="1:21" ht="24" x14ac:dyDescent="0.3">
      <c r="A112" s="8" t="s">
        <v>770</v>
      </c>
      <c r="B112" s="10">
        <v>292626</v>
      </c>
      <c r="C112" s="8" t="s">
        <v>155</v>
      </c>
      <c r="D112" s="8" t="s">
        <v>9</v>
      </c>
      <c r="E112" s="8" t="s">
        <v>588</v>
      </c>
      <c r="F112" s="8" t="s">
        <v>384</v>
      </c>
      <c r="G112" s="8" t="s">
        <v>771</v>
      </c>
      <c r="H112" s="8" t="s">
        <v>9</v>
      </c>
      <c r="I112" s="8" t="s">
        <v>772</v>
      </c>
      <c r="J112" s="8" t="s">
        <v>591</v>
      </c>
      <c r="K112" s="8" t="s">
        <v>592</v>
      </c>
      <c r="L112" s="8" t="s">
        <v>355</v>
      </c>
      <c r="M112" s="8" t="s">
        <v>593</v>
      </c>
      <c r="N112" s="8" t="s">
        <v>111</v>
      </c>
      <c r="O112" s="8" t="s">
        <v>111</v>
      </c>
      <c r="P112" s="8" t="s">
        <v>111</v>
      </c>
      <c r="Q112" s="8" t="s">
        <v>111</v>
      </c>
      <c r="R112" s="8"/>
      <c r="S112" s="8" t="s">
        <v>112</v>
      </c>
      <c r="T112" s="8"/>
      <c r="U112" s="8" t="s">
        <v>594</v>
      </c>
    </row>
    <row r="113" spans="1:21" ht="24" x14ac:dyDescent="0.3">
      <c r="A113" s="8" t="s">
        <v>773</v>
      </c>
      <c r="B113" s="10">
        <v>292626</v>
      </c>
      <c r="C113" s="8" t="s">
        <v>155</v>
      </c>
      <c r="D113" s="8" t="s">
        <v>9</v>
      </c>
      <c r="E113" s="8" t="s">
        <v>588</v>
      </c>
      <c r="F113" s="8" t="s">
        <v>384</v>
      </c>
      <c r="G113" s="8" t="s">
        <v>774</v>
      </c>
      <c r="H113" s="8" t="s">
        <v>9</v>
      </c>
      <c r="I113" s="8" t="s">
        <v>775</v>
      </c>
      <c r="J113" s="8" t="s">
        <v>591</v>
      </c>
      <c r="K113" s="8" t="s">
        <v>592</v>
      </c>
      <c r="L113" s="8" t="s">
        <v>355</v>
      </c>
      <c r="M113" s="8" t="s">
        <v>593</v>
      </c>
      <c r="N113" s="8" t="s">
        <v>111</v>
      </c>
      <c r="O113" s="8" t="s">
        <v>111</v>
      </c>
      <c r="P113" s="8" t="s">
        <v>111</v>
      </c>
      <c r="Q113" s="8" t="s">
        <v>111</v>
      </c>
      <c r="R113" s="8"/>
      <c r="S113" s="8" t="s">
        <v>112</v>
      </c>
      <c r="T113" s="8"/>
      <c r="U113" s="8" t="s">
        <v>594</v>
      </c>
    </row>
    <row r="114" spans="1:21" ht="24" x14ac:dyDescent="0.3">
      <c r="A114" s="8" t="s">
        <v>776</v>
      </c>
      <c r="B114" s="10">
        <v>292626</v>
      </c>
      <c r="C114" s="8" t="s">
        <v>155</v>
      </c>
      <c r="D114" s="8" t="s">
        <v>9</v>
      </c>
      <c r="E114" s="8" t="s">
        <v>588</v>
      </c>
      <c r="F114" s="8" t="s">
        <v>384</v>
      </c>
      <c r="G114" s="8" t="s">
        <v>777</v>
      </c>
      <c r="H114" s="8" t="s">
        <v>9</v>
      </c>
      <c r="I114" s="8" t="s">
        <v>778</v>
      </c>
      <c r="J114" s="8" t="s">
        <v>591</v>
      </c>
      <c r="K114" s="8" t="s">
        <v>592</v>
      </c>
      <c r="L114" s="8" t="s">
        <v>355</v>
      </c>
      <c r="M114" s="8" t="s">
        <v>593</v>
      </c>
      <c r="N114" s="8" t="s">
        <v>111</v>
      </c>
      <c r="O114" s="8" t="s">
        <v>111</v>
      </c>
      <c r="P114" s="8" t="s">
        <v>111</v>
      </c>
      <c r="Q114" s="8" t="s">
        <v>111</v>
      </c>
      <c r="R114" s="8"/>
      <c r="S114" s="8" t="s">
        <v>112</v>
      </c>
      <c r="T114" s="8"/>
      <c r="U114" s="8" t="s">
        <v>594</v>
      </c>
    </row>
    <row r="115" spans="1:21" ht="60" x14ac:dyDescent="0.3">
      <c r="A115" s="8" t="s">
        <v>779</v>
      </c>
      <c r="B115" s="10">
        <v>292626</v>
      </c>
      <c r="C115" s="8" t="s">
        <v>155</v>
      </c>
      <c r="D115" s="8" t="s">
        <v>9</v>
      </c>
      <c r="E115" s="8" t="s">
        <v>588</v>
      </c>
      <c r="F115" s="8" t="s">
        <v>384</v>
      </c>
      <c r="G115" s="8" t="s">
        <v>780</v>
      </c>
      <c r="H115" s="8" t="s">
        <v>9</v>
      </c>
      <c r="I115" s="8" t="s">
        <v>781</v>
      </c>
      <c r="J115" s="8" t="s">
        <v>591</v>
      </c>
      <c r="K115" s="8" t="s">
        <v>592</v>
      </c>
      <c r="L115" s="8" t="s">
        <v>355</v>
      </c>
      <c r="M115" s="8" t="s">
        <v>593</v>
      </c>
      <c r="N115" s="8" t="s">
        <v>111</v>
      </c>
      <c r="O115" s="8" t="s">
        <v>111</v>
      </c>
      <c r="P115" s="8" t="s">
        <v>111</v>
      </c>
      <c r="Q115" s="8" t="s">
        <v>111</v>
      </c>
      <c r="R115" s="8"/>
      <c r="S115" s="8" t="s">
        <v>112</v>
      </c>
      <c r="T115" s="8"/>
      <c r="U115" s="8" t="s">
        <v>594</v>
      </c>
    </row>
    <row r="116" spans="1:21" ht="72" x14ac:dyDescent="0.3">
      <c r="A116" s="8" t="s">
        <v>782</v>
      </c>
      <c r="B116" s="10">
        <v>292626</v>
      </c>
      <c r="C116" s="8" t="s">
        <v>155</v>
      </c>
      <c r="D116" s="8" t="s">
        <v>9</v>
      </c>
      <c r="E116" s="8" t="s">
        <v>588</v>
      </c>
      <c r="F116" s="8" t="s">
        <v>384</v>
      </c>
      <c r="G116" s="8" t="s">
        <v>783</v>
      </c>
      <c r="H116" s="8" t="s">
        <v>9</v>
      </c>
      <c r="I116" s="8" t="s">
        <v>784</v>
      </c>
      <c r="J116" s="8" t="s">
        <v>591</v>
      </c>
      <c r="K116" s="8" t="s">
        <v>592</v>
      </c>
      <c r="L116" s="8" t="s">
        <v>355</v>
      </c>
      <c r="M116" s="8" t="s">
        <v>593</v>
      </c>
      <c r="N116" s="8" t="s">
        <v>111</v>
      </c>
      <c r="O116" s="8" t="s">
        <v>111</v>
      </c>
      <c r="P116" s="8" t="s">
        <v>111</v>
      </c>
      <c r="Q116" s="8" t="s">
        <v>111</v>
      </c>
      <c r="R116" s="8"/>
      <c r="S116" s="8" t="s">
        <v>112</v>
      </c>
      <c r="T116" s="8"/>
      <c r="U116" s="8" t="s">
        <v>594</v>
      </c>
    </row>
    <row r="117" spans="1:21" ht="72" x14ac:dyDescent="0.3">
      <c r="A117" s="8" t="s">
        <v>785</v>
      </c>
      <c r="B117" s="10">
        <v>292626</v>
      </c>
      <c r="C117" s="8" t="s">
        <v>155</v>
      </c>
      <c r="D117" s="8" t="s">
        <v>9</v>
      </c>
      <c r="E117" s="8" t="s">
        <v>588</v>
      </c>
      <c r="F117" s="8" t="s">
        <v>384</v>
      </c>
      <c r="G117" s="8" t="s">
        <v>786</v>
      </c>
      <c r="H117" s="8" t="s">
        <v>9</v>
      </c>
      <c r="I117" s="8" t="s">
        <v>787</v>
      </c>
      <c r="J117" s="8" t="s">
        <v>591</v>
      </c>
      <c r="K117" s="8" t="s">
        <v>592</v>
      </c>
      <c r="L117" s="8" t="s">
        <v>355</v>
      </c>
      <c r="M117" s="8" t="s">
        <v>593</v>
      </c>
      <c r="N117" s="8" t="s">
        <v>111</v>
      </c>
      <c r="O117" s="8" t="s">
        <v>111</v>
      </c>
      <c r="P117" s="8" t="s">
        <v>111</v>
      </c>
      <c r="Q117" s="8" t="s">
        <v>111</v>
      </c>
      <c r="R117" s="8"/>
      <c r="S117" s="8" t="s">
        <v>112</v>
      </c>
      <c r="T117" s="8"/>
      <c r="U117" s="8" t="s">
        <v>594</v>
      </c>
    </row>
    <row r="118" spans="1:21" ht="72" x14ac:dyDescent="0.3">
      <c r="A118" s="8" t="s">
        <v>788</v>
      </c>
      <c r="B118" s="10">
        <v>292626</v>
      </c>
      <c r="C118" s="8" t="s">
        <v>155</v>
      </c>
      <c r="D118" s="8" t="s">
        <v>9</v>
      </c>
      <c r="E118" s="8" t="s">
        <v>588</v>
      </c>
      <c r="F118" s="8" t="s">
        <v>384</v>
      </c>
      <c r="G118" s="8" t="s">
        <v>789</v>
      </c>
      <c r="H118" s="8" t="s">
        <v>9</v>
      </c>
      <c r="I118" s="8" t="s">
        <v>790</v>
      </c>
      <c r="J118" s="8" t="s">
        <v>591</v>
      </c>
      <c r="K118" s="8" t="s">
        <v>592</v>
      </c>
      <c r="L118" s="8" t="s">
        <v>355</v>
      </c>
      <c r="M118" s="8" t="s">
        <v>593</v>
      </c>
      <c r="N118" s="8" t="s">
        <v>111</v>
      </c>
      <c r="O118" s="8" t="s">
        <v>111</v>
      </c>
      <c r="P118" s="8" t="s">
        <v>111</v>
      </c>
      <c r="Q118" s="8" t="s">
        <v>111</v>
      </c>
      <c r="R118" s="8"/>
      <c r="S118" s="8" t="s">
        <v>112</v>
      </c>
      <c r="T118" s="8"/>
      <c r="U118" s="8" t="s">
        <v>594</v>
      </c>
    </row>
    <row r="119" spans="1:21" ht="72" x14ac:dyDescent="0.3">
      <c r="A119" s="8" t="s">
        <v>791</v>
      </c>
      <c r="B119" s="10">
        <v>292626</v>
      </c>
      <c r="C119" s="8" t="s">
        <v>155</v>
      </c>
      <c r="D119" s="8" t="s">
        <v>9</v>
      </c>
      <c r="E119" s="8" t="s">
        <v>588</v>
      </c>
      <c r="F119" s="8" t="s">
        <v>384</v>
      </c>
      <c r="G119" s="8" t="s">
        <v>792</v>
      </c>
      <c r="H119" s="8" t="s">
        <v>9</v>
      </c>
      <c r="I119" s="8" t="s">
        <v>793</v>
      </c>
      <c r="J119" s="8" t="s">
        <v>591</v>
      </c>
      <c r="K119" s="8" t="s">
        <v>592</v>
      </c>
      <c r="L119" s="8" t="s">
        <v>355</v>
      </c>
      <c r="M119" s="8" t="s">
        <v>593</v>
      </c>
      <c r="N119" s="8" t="s">
        <v>111</v>
      </c>
      <c r="O119" s="8" t="s">
        <v>111</v>
      </c>
      <c r="P119" s="8" t="s">
        <v>111</v>
      </c>
      <c r="Q119" s="8" t="s">
        <v>111</v>
      </c>
      <c r="R119" s="8"/>
      <c r="S119" s="8" t="s">
        <v>112</v>
      </c>
      <c r="T119" s="8"/>
      <c r="U119" s="8" t="s">
        <v>594</v>
      </c>
    </row>
    <row r="120" spans="1:21" ht="72" x14ac:dyDescent="0.3">
      <c r="A120" s="8" t="s">
        <v>794</v>
      </c>
      <c r="B120" s="10">
        <v>292626</v>
      </c>
      <c r="C120" s="8" t="s">
        <v>155</v>
      </c>
      <c r="D120" s="8" t="s">
        <v>9</v>
      </c>
      <c r="E120" s="8" t="s">
        <v>588</v>
      </c>
      <c r="F120" s="8" t="s">
        <v>384</v>
      </c>
      <c r="G120" s="8" t="s">
        <v>795</v>
      </c>
      <c r="H120" s="8" t="s">
        <v>9</v>
      </c>
      <c r="I120" s="8" t="s">
        <v>784</v>
      </c>
      <c r="J120" s="8" t="s">
        <v>591</v>
      </c>
      <c r="K120" s="8" t="s">
        <v>592</v>
      </c>
      <c r="L120" s="8" t="s">
        <v>355</v>
      </c>
      <c r="M120" s="8" t="s">
        <v>593</v>
      </c>
      <c r="N120" s="8" t="s">
        <v>111</v>
      </c>
      <c r="O120" s="8" t="s">
        <v>111</v>
      </c>
      <c r="P120" s="8" t="s">
        <v>111</v>
      </c>
      <c r="Q120" s="8" t="s">
        <v>111</v>
      </c>
      <c r="R120" s="8"/>
      <c r="S120" s="8" t="s">
        <v>112</v>
      </c>
      <c r="T120" s="8"/>
      <c r="U120" s="8" t="s">
        <v>594</v>
      </c>
    </row>
    <row r="121" spans="1:21" ht="60" x14ac:dyDescent="0.3">
      <c r="A121" s="8" t="s">
        <v>796</v>
      </c>
      <c r="B121" s="10">
        <v>292626</v>
      </c>
      <c r="C121" s="8" t="s">
        <v>155</v>
      </c>
      <c r="D121" s="8" t="s">
        <v>9</v>
      </c>
      <c r="E121" s="8" t="s">
        <v>588</v>
      </c>
      <c r="F121" s="8" t="s">
        <v>384</v>
      </c>
      <c r="G121" s="8" t="s">
        <v>797</v>
      </c>
      <c r="H121" s="8" t="s">
        <v>9</v>
      </c>
      <c r="I121" s="8" t="s">
        <v>798</v>
      </c>
      <c r="J121" s="8" t="s">
        <v>591</v>
      </c>
      <c r="K121" s="8" t="s">
        <v>592</v>
      </c>
      <c r="L121" s="8" t="s">
        <v>355</v>
      </c>
      <c r="M121" s="8" t="s">
        <v>593</v>
      </c>
      <c r="N121" s="8" t="s">
        <v>111</v>
      </c>
      <c r="O121" s="8" t="s">
        <v>111</v>
      </c>
      <c r="P121" s="8" t="s">
        <v>111</v>
      </c>
      <c r="Q121" s="8" t="s">
        <v>111</v>
      </c>
      <c r="R121" s="8"/>
      <c r="S121" s="8" t="s">
        <v>112</v>
      </c>
      <c r="T121" s="8"/>
      <c r="U121" s="8" t="s">
        <v>594</v>
      </c>
    </row>
    <row r="122" spans="1:21" ht="60" x14ac:dyDescent="0.3">
      <c r="A122" s="8" t="s">
        <v>799</v>
      </c>
      <c r="B122" s="10">
        <v>292626</v>
      </c>
      <c r="C122" s="8" t="s">
        <v>155</v>
      </c>
      <c r="D122" s="8" t="s">
        <v>9</v>
      </c>
      <c r="E122" s="8" t="s">
        <v>588</v>
      </c>
      <c r="F122" s="8" t="s">
        <v>384</v>
      </c>
      <c r="G122" s="8" t="s">
        <v>800</v>
      </c>
      <c r="H122" s="8" t="s">
        <v>9</v>
      </c>
      <c r="I122" s="8" t="s">
        <v>801</v>
      </c>
      <c r="J122" s="8" t="s">
        <v>591</v>
      </c>
      <c r="K122" s="8" t="s">
        <v>592</v>
      </c>
      <c r="L122" s="8" t="s">
        <v>355</v>
      </c>
      <c r="M122" s="8" t="s">
        <v>593</v>
      </c>
      <c r="N122" s="8" t="s">
        <v>111</v>
      </c>
      <c r="O122" s="8" t="s">
        <v>111</v>
      </c>
      <c r="P122" s="8" t="s">
        <v>111</v>
      </c>
      <c r="Q122" s="8" t="s">
        <v>111</v>
      </c>
      <c r="R122" s="8"/>
      <c r="S122" s="8" t="s">
        <v>112</v>
      </c>
      <c r="T122" s="8"/>
      <c r="U122" s="8" t="s">
        <v>594</v>
      </c>
    </row>
    <row r="123" spans="1:21" ht="24" x14ac:dyDescent="0.3">
      <c r="A123" s="8" t="s">
        <v>802</v>
      </c>
      <c r="B123" s="10">
        <v>292626</v>
      </c>
      <c r="C123" s="8" t="s">
        <v>155</v>
      </c>
      <c r="D123" s="8" t="s">
        <v>9</v>
      </c>
      <c r="E123" s="8" t="s">
        <v>588</v>
      </c>
      <c r="F123" s="8" t="s">
        <v>384</v>
      </c>
      <c r="G123" s="8" t="s">
        <v>765</v>
      </c>
      <c r="H123" s="8" t="s">
        <v>9</v>
      </c>
      <c r="I123" s="8" t="s">
        <v>606</v>
      </c>
      <c r="J123" s="8" t="s">
        <v>591</v>
      </c>
      <c r="K123" s="8" t="s">
        <v>592</v>
      </c>
      <c r="L123" s="8" t="s">
        <v>355</v>
      </c>
      <c r="M123" s="8" t="s">
        <v>593</v>
      </c>
      <c r="N123" s="8" t="s">
        <v>111</v>
      </c>
      <c r="O123" s="8" t="s">
        <v>111</v>
      </c>
      <c r="P123" s="8" t="s">
        <v>111</v>
      </c>
      <c r="Q123" s="8" t="s">
        <v>111</v>
      </c>
      <c r="R123" s="8"/>
      <c r="S123" s="8" t="s">
        <v>112</v>
      </c>
      <c r="T123" s="8"/>
      <c r="U123" s="8" t="s">
        <v>594</v>
      </c>
    </row>
    <row r="124" spans="1:21" ht="60" x14ac:dyDescent="0.3">
      <c r="A124" s="8" t="s">
        <v>803</v>
      </c>
      <c r="B124" s="10">
        <v>292626</v>
      </c>
      <c r="C124" s="8" t="s">
        <v>155</v>
      </c>
      <c r="D124" s="8" t="s">
        <v>9</v>
      </c>
      <c r="E124" s="8" t="s">
        <v>588</v>
      </c>
      <c r="F124" s="8" t="s">
        <v>384</v>
      </c>
      <c r="G124" s="8" t="s">
        <v>768</v>
      </c>
      <c r="H124" s="8" t="s">
        <v>9</v>
      </c>
      <c r="I124" s="8" t="s">
        <v>606</v>
      </c>
      <c r="J124" s="8" t="s">
        <v>591</v>
      </c>
      <c r="K124" s="8" t="s">
        <v>592</v>
      </c>
      <c r="L124" s="8" t="s">
        <v>355</v>
      </c>
      <c r="M124" s="8" t="s">
        <v>593</v>
      </c>
      <c r="N124" s="8" t="s">
        <v>111</v>
      </c>
      <c r="O124" s="8" t="s">
        <v>111</v>
      </c>
      <c r="P124" s="8" t="s">
        <v>111</v>
      </c>
      <c r="Q124" s="8" t="s">
        <v>111</v>
      </c>
      <c r="R124" s="8"/>
      <c r="S124" s="8" t="s">
        <v>112</v>
      </c>
      <c r="T124" s="8"/>
      <c r="U124" s="8" t="s">
        <v>594</v>
      </c>
    </row>
    <row r="125" spans="1:21" ht="24" x14ac:dyDescent="0.3">
      <c r="A125" s="8" t="s">
        <v>804</v>
      </c>
      <c r="B125" s="10">
        <v>292626</v>
      </c>
      <c r="C125" s="8" t="s">
        <v>155</v>
      </c>
      <c r="D125" s="8" t="s">
        <v>9</v>
      </c>
      <c r="E125" s="8" t="s">
        <v>588</v>
      </c>
      <c r="F125" s="8" t="s">
        <v>384</v>
      </c>
      <c r="G125" s="8" t="s">
        <v>771</v>
      </c>
      <c r="H125" s="8" t="s">
        <v>9</v>
      </c>
      <c r="I125" s="8" t="s">
        <v>606</v>
      </c>
      <c r="J125" s="8" t="s">
        <v>591</v>
      </c>
      <c r="K125" s="8" t="s">
        <v>592</v>
      </c>
      <c r="L125" s="8" t="s">
        <v>355</v>
      </c>
      <c r="M125" s="8" t="s">
        <v>593</v>
      </c>
      <c r="N125" s="8" t="s">
        <v>111</v>
      </c>
      <c r="O125" s="8" t="s">
        <v>111</v>
      </c>
      <c r="P125" s="8" t="s">
        <v>111</v>
      </c>
      <c r="Q125" s="8" t="s">
        <v>111</v>
      </c>
      <c r="R125" s="8"/>
      <c r="S125" s="8" t="s">
        <v>112</v>
      </c>
      <c r="T125" s="8"/>
      <c r="U125" s="8" t="s">
        <v>594</v>
      </c>
    </row>
    <row r="126" spans="1:21" ht="24" x14ac:dyDescent="0.3">
      <c r="A126" s="8" t="s">
        <v>805</v>
      </c>
      <c r="B126" s="10">
        <v>292626</v>
      </c>
      <c r="C126" s="8" t="s">
        <v>155</v>
      </c>
      <c r="D126" s="8" t="s">
        <v>9</v>
      </c>
      <c r="E126" s="8" t="s">
        <v>588</v>
      </c>
      <c r="F126" s="8" t="s">
        <v>384</v>
      </c>
      <c r="G126" s="8" t="s">
        <v>774</v>
      </c>
      <c r="H126" s="8" t="s">
        <v>9</v>
      </c>
      <c r="I126" s="8" t="s">
        <v>606</v>
      </c>
      <c r="J126" s="8" t="s">
        <v>591</v>
      </c>
      <c r="K126" s="8" t="s">
        <v>592</v>
      </c>
      <c r="L126" s="8" t="s">
        <v>355</v>
      </c>
      <c r="M126" s="8" t="s">
        <v>593</v>
      </c>
      <c r="N126" s="8" t="s">
        <v>111</v>
      </c>
      <c r="O126" s="8" t="s">
        <v>111</v>
      </c>
      <c r="P126" s="8" t="s">
        <v>111</v>
      </c>
      <c r="Q126" s="8" t="s">
        <v>111</v>
      </c>
      <c r="R126" s="8"/>
      <c r="S126" s="8" t="s">
        <v>112</v>
      </c>
      <c r="T126" s="8"/>
      <c r="U126" s="8" t="s">
        <v>594</v>
      </c>
    </row>
    <row r="127" spans="1:21" ht="24" x14ac:dyDescent="0.3">
      <c r="A127" s="8" t="s">
        <v>806</v>
      </c>
      <c r="B127" s="10">
        <v>292626</v>
      </c>
      <c r="C127" s="8" t="s">
        <v>155</v>
      </c>
      <c r="D127" s="8" t="s">
        <v>9</v>
      </c>
      <c r="E127" s="8" t="s">
        <v>588</v>
      </c>
      <c r="F127" s="8" t="s">
        <v>384</v>
      </c>
      <c r="G127" s="8" t="s">
        <v>777</v>
      </c>
      <c r="H127" s="8" t="s">
        <v>9</v>
      </c>
      <c r="I127" s="8" t="s">
        <v>606</v>
      </c>
      <c r="J127" s="8" t="s">
        <v>591</v>
      </c>
      <c r="K127" s="8" t="s">
        <v>592</v>
      </c>
      <c r="L127" s="8" t="s">
        <v>355</v>
      </c>
      <c r="M127" s="8" t="s">
        <v>593</v>
      </c>
      <c r="N127" s="8" t="s">
        <v>111</v>
      </c>
      <c r="O127" s="8" t="s">
        <v>111</v>
      </c>
      <c r="P127" s="8" t="s">
        <v>111</v>
      </c>
      <c r="Q127" s="8" t="s">
        <v>111</v>
      </c>
      <c r="R127" s="8"/>
      <c r="S127" s="8" t="s">
        <v>112</v>
      </c>
      <c r="T127" s="8"/>
      <c r="U127" s="8" t="s">
        <v>594</v>
      </c>
    </row>
    <row r="128" spans="1:21" ht="60" x14ac:dyDescent="0.3">
      <c r="A128" s="8" t="s">
        <v>807</v>
      </c>
      <c r="B128" s="10">
        <v>292626</v>
      </c>
      <c r="C128" s="8" t="s">
        <v>155</v>
      </c>
      <c r="D128" s="8" t="s">
        <v>9</v>
      </c>
      <c r="E128" s="8" t="s">
        <v>588</v>
      </c>
      <c r="F128" s="8" t="s">
        <v>384</v>
      </c>
      <c r="G128" s="8" t="s">
        <v>780</v>
      </c>
      <c r="H128" s="8" t="s">
        <v>9</v>
      </c>
      <c r="I128" s="8" t="s">
        <v>606</v>
      </c>
      <c r="J128" s="8" t="s">
        <v>591</v>
      </c>
      <c r="K128" s="8" t="s">
        <v>592</v>
      </c>
      <c r="L128" s="8" t="s">
        <v>355</v>
      </c>
      <c r="M128" s="8" t="s">
        <v>593</v>
      </c>
      <c r="N128" s="8" t="s">
        <v>111</v>
      </c>
      <c r="O128" s="8" t="s">
        <v>111</v>
      </c>
      <c r="P128" s="8" t="s">
        <v>111</v>
      </c>
      <c r="Q128" s="8" t="s">
        <v>111</v>
      </c>
      <c r="R128" s="8"/>
      <c r="S128" s="8" t="s">
        <v>112</v>
      </c>
      <c r="T128" s="8"/>
      <c r="U128" s="8" t="s">
        <v>594</v>
      </c>
    </row>
    <row r="129" spans="1:21" ht="72" x14ac:dyDescent="0.3">
      <c r="A129" s="8" t="s">
        <v>808</v>
      </c>
      <c r="B129" s="10">
        <v>292626</v>
      </c>
      <c r="C129" s="8" t="s">
        <v>155</v>
      </c>
      <c r="D129" s="8" t="s">
        <v>9</v>
      </c>
      <c r="E129" s="8" t="s">
        <v>588</v>
      </c>
      <c r="F129" s="8" t="s">
        <v>384</v>
      </c>
      <c r="G129" s="8" t="s">
        <v>783</v>
      </c>
      <c r="H129" s="8" t="s">
        <v>9</v>
      </c>
      <c r="I129" s="8" t="s">
        <v>606</v>
      </c>
      <c r="J129" s="8" t="s">
        <v>591</v>
      </c>
      <c r="K129" s="8" t="s">
        <v>592</v>
      </c>
      <c r="L129" s="8" t="s">
        <v>355</v>
      </c>
      <c r="M129" s="8" t="s">
        <v>593</v>
      </c>
      <c r="N129" s="8" t="s">
        <v>111</v>
      </c>
      <c r="O129" s="8" t="s">
        <v>111</v>
      </c>
      <c r="P129" s="8" t="s">
        <v>111</v>
      </c>
      <c r="Q129" s="8" t="s">
        <v>111</v>
      </c>
      <c r="R129" s="8"/>
      <c r="S129" s="8" t="s">
        <v>112</v>
      </c>
      <c r="T129" s="8"/>
      <c r="U129" s="8" t="s">
        <v>594</v>
      </c>
    </row>
    <row r="130" spans="1:21" ht="72" x14ac:dyDescent="0.3">
      <c r="A130" s="8" t="s">
        <v>809</v>
      </c>
      <c r="B130" s="10">
        <v>292626</v>
      </c>
      <c r="C130" s="8" t="s">
        <v>155</v>
      </c>
      <c r="D130" s="8" t="s">
        <v>9</v>
      </c>
      <c r="E130" s="8" t="s">
        <v>588</v>
      </c>
      <c r="F130" s="8" t="s">
        <v>384</v>
      </c>
      <c r="G130" s="8" t="s">
        <v>786</v>
      </c>
      <c r="H130" s="8" t="s">
        <v>9</v>
      </c>
      <c r="I130" s="8" t="s">
        <v>606</v>
      </c>
      <c r="J130" s="8" t="s">
        <v>591</v>
      </c>
      <c r="K130" s="8" t="s">
        <v>592</v>
      </c>
      <c r="L130" s="8" t="s">
        <v>355</v>
      </c>
      <c r="M130" s="8" t="s">
        <v>593</v>
      </c>
      <c r="N130" s="8" t="s">
        <v>111</v>
      </c>
      <c r="O130" s="8" t="s">
        <v>111</v>
      </c>
      <c r="P130" s="8" t="s">
        <v>111</v>
      </c>
      <c r="Q130" s="8" t="s">
        <v>111</v>
      </c>
      <c r="R130" s="8"/>
      <c r="S130" s="8" t="s">
        <v>112</v>
      </c>
      <c r="T130" s="8"/>
      <c r="U130" s="8" t="s">
        <v>594</v>
      </c>
    </row>
    <row r="131" spans="1:21" ht="72" x14ac:dyDescent="0.3">
      <c r="A131" s="8" t="s">
        <v>810</v>
      </c>
      <c r="B131" s="10">
        <v>292626</v>
      </c>
      <c r="C131" s="8" t="s">
        <v>155</v>
      </c>
      <c r="D131" s="8" t="s">
        <v>9</v>
      </c>
      <c r="E131" s="8" t="s">
        <v>588</v>
      </c>
      <c r="F131" s="8" t="s">
        <v>384</v>
      </c>
      <c r="G131" s="8" t="s">
        <v>789</v>
      </c>
      <c r="H131" s="8" t="s">
        <v>9</v>
      </c>
      <c r="I131" s="8" t="s">
        <v>606</v>
      </c>
      <c r="J131" s="8" t="s">
        <v>591</v>
      </c>
      <c r="K131" s="8" t="s">
        <v>592</v>
      </c>
      <c r="L131" s="8" t="s">
        <v>355</v>
      </c>
      <c r="M131" s="8" t="s">
        <v>593</v>
      </c>
      <c r="N131" s="8" t="s">
        <v>111</v>
      </c>
      <c r="O131" s="8" t="s">
        <v>111</v>
      </c>
      <c r="P131" s="8" t="s">
        <v>111</v>
      </c>
      <c r="Q131" s="8" t="s">
        <v>111</v>
      </c>
      <c r="R131" s="8"/>
      <c r="S131" s="8" t="s">
        <v>112</v>
      </c>
      <c r="T131" s="8"/>
      <c r="U131" s="8" t="s">
        <v>594</v>
      </c>
    </row>
    <row r="132" spans="1:21" ht="72" x14ac:dyDescent="0.3">
      <c r="A132" s="8" t="s">
        <v>811</v>
      </c>
      <c r="B132" s="10">
        <v>292626</v>
      </c>
      <c r="C132" s="8" t="s">
        <v>155</v>
      </c>
      <c r="D132" s="8" t="s">
        <v>9</v>
      </c>
      <c r="E132" s="8" t="s">
        <v>588</v>
      </c>
      <c r="F132" s="8" t="s">
        <v>384</v>
      </c>
      <c r="G132" s="8" t="s">
        <v>792</v>
      </c>
      <c r="H132" s="8" t="s">
        <v>9</v>
      </c>
      <c r="I132" s="8" t="s">
        <v>606</v>
      </c>
      <c r="J132" s="8" t="s">
        <v>591</v>
      </c>
      <c r="K132" s="8" t="s">
        <v>592</v>
      </c>
      <c r="L132" s="8" t="s">
        <v>355</v>
      </c>
      <c r="M132" s="8" t="s">
        <v>593</v>
      </c>
      <c r="N132" s="8" t="s">
        <v>111</v>
      </c>
      <c r="O132" s="8" t="s">
        <v>111</v>
      </c>
      <c r="P132" s="8" t="s">
        <v>111</v>
      </c>
      <c r="Q132" s="8" t="s">
        <v>111</v>
      </c>
      <c r="R132" s="8"/>
      <c r="S132" s="8" t="s">
        <v>112</v>
      </c>
      <c r="T132" s="8"/>
      <c r="U132" s="8" t="s">
        <v>594</v>
      </c>
    </row>
    <row r="133" spans="1:21" ht="72" x14ac:dyDescent="0.3">
      <c r="A133" s="8" t="s">
        <v>812</v>
      </c>
      <c r="B133" s="10">
        <v>292626</v>
      </c>
      <c r="C133" s="8" t="s">
        <v>155</v>
      </c>
      <c r="D133" s="8" t="s">
        <v>9</v>
      </c>
      <c r="E133" s="8" t="s">
        <v>588</v>
      </c>
      <c r="F133" s="8" t="s">
        <v>384</v>
      </c>
      <c r="G133" s="8" t="s">
        <v>795</v>
      </c>
      <c r="H133" s="8" t="s">
        <v>9</v>
      </c>
      <c r="I133" s="8" t="s">
        <v>606</v>
      </c>
      <c r="J133" s="8" t="s">
        <v>591</v>
      </c>
      <c r="K133" s="8" t="s">
        <v>592</v>
      </c>
      <c r="L133" s="8" t="s">
        <v>355</v>
      </c>
      <c r="M133" s="8" t="s">
        <v>593</v>
      </c>
      <c r="N133" s="8" t="s">
        <v>111</v>
      </c>
      <c r="O133" s="8" t="s">
        <v>111</v>
      </c>
      <c r="P133" s="8" t="s">
        <v>111</v>
      </c>
      <c r="Q133" s="8" t="s">
        <v>111</v>
      </c>
      <c r="R133" s="8"/>
      <c r="S133" s="8" t="s">
        <v>112</v>
      </c>
      <c r="T133" s="8"/>
      <c r="U133" s="8" t="s">
        <v>594</v>
      </c>
    </row>
    <row r="134" spans="1:21" ht="60" x14ac:dyDescent="0.3">
      <c r="A134" s="8" t="s">
        <v>813</v>
      </c>
      <c r="B134" s="10">
        <v>292626</v>
      </c>
      <c r="C134" s="8" t="s">
        <v>155</v>
      </c>
      <c r="D134" s="8" t="s">
        <v>9</v>
      </c>
      <c r="E134" s="8" t="s">
        <v>588</v>
      </c>
      <c r="F134" s="8" t="s">
        <v>384</v>
      </c>
      <c r="G134" s="8" t="s">
        <v>797</v>
      </c>
      <c r="H134" s="8" t="s">
        <v>9</v>
      </c>
      <c r="I134" s="8" t="s">
        <v>606</v>
      </c>
      <c r="J134" s="8" t="s">
        <v>591</v>
      </c>
      <c r="K134" s="8" t="s">
        <v>592</v>
      </c>
      <c r="L134" s="8" t="s">
        <v>355</v>
      </c>
      <c r="M134" s="8" t="s">
        <v>593</v>
      </c>
      <c r="N134" s="8" t="s">
        <v>111</v>
      </c>
      <c r="O134" s="8" t="s">
        <v>111</v>
      </c>
      <c r="P134" s="8" t="s">
        <v>111</v>
      </c>
      <c r="Q134" s="8" t="s">
        <v>111</v>
      </c>
      <c r="R134" s="8"/>
      <c r="S134" s="8" t="s">
        <v>112</v>
      </c>
      <c r="T134" s="8"/>
      <c r="U134" s="8" t="s">
        <v>594</v>
      </c>
    </row>
    <row r="135" spans="1:21" ht="60" x14ac:dyDescent="0.3">
      <c r="A135" s="8" t="s">
        <v>814</v>
      </c>
      <c r="B135" s="10">
        <v>292626</v>
      </c>
      <c r="C135" s="8" t="s">
        <v>155</v>
      </c>
      <c r="D135" s="8" t="s">
        <v>9</v>
      </c>
      <c r="E135" s="8" t="s">
        <v>588</v>
      </c>
      <c r="F135" s="8" t="s">
        <v>384</v>
      </c>
      <c r="G135" s="8" t="s">
        <v>800</v>
      </c>
      <c r="H135" s="8" t="s">
        <v>9</v>
      </c>
      <c r="I135" s="8" t="s">
        <v>606</v>
      </c>
      <c r="J135" s="8" t="s">
        <v>591</v>
      </c>
      <c r="K135" s="8" t="s">
        <v>592</v>
      </c>
      <c r="L135" s="8" t="s">
        <v>355</v>
      </c>
      <c r="M135" s="8" t="s">
        <v>593</v>
      </c>
      <c r="N135" s="8" t="s">
        <v>111</v>
      </c>
      <c r="O135" s="8" t="s">
        <v>111</v>
      </c>
      <c r="P135" s="8" t="s">
        <v>111</v>
      </c>
      <c r="Q135" s="8" t="s">
        <v>111</v>
      </c>
      <c r="R135" s="8"/>
      <c r="S135" s="8" t="s">
        <v>112</v>
      </c>
      <c r="T135" s="8"/>
      <c r="U135" s="8" t="s">
        <v>594</v>
      </c>
    </row>
    <row r="136" spans="1:21" ht="24" x14ac:dyDescent="0.3">
      <c r="A136" s="8" t="s">
        <v>815</v>
      </c>
      <c r="B136" s="10">
        <v>292626</v>
      </c>
      <c r="C136" s="8" t="s">
        <v>155</v>
      </c>
      <c r="D136" s="8" t="s">
        <v>9</v>
      </c>
      <c r="E136" s="8" t="s">
        <v>588</v>
      </c>
      <c r="F136" s="8" t="s">
        <v>384</v>
      </c>
      <c r="G136" s="8" t="s">
        <v>765</v>
      </c>
      <c r="H136" s="8" t="s">
        <v>9</v>
      </c>
      <c r="I136" s="8" t="s">
        <v>606</v>
      </c>
      <c r="J136" s="8" t="s">
        <v>591</v>
      </c>
      <c r="K136" s="8" t="s">
        <v>592</v>
      </c>
      <c r="L136" s="8" t="s">
        <v>355</v>
      </c>
      <c r="M136" s="8" t="s">
        <v>593</v>
      </c>
      <c r="N136" s="8" t="s">
        <v>111</v>
      </c>
      <c r="O136" s="8" t="s">
        <v>111</v>
      </c>
      <c r="P136" s="8" t="s">
        <v>111</v>
      </c>
      <c r="Q136" s="8" t="s">
        <v>111</v>
      </c>
      <c r="R136" s="8"/>
      <c r="S136" s="8" t="s">
        <v>112</v>
      </c>
      <c r="T136" s="8"/>
      <c r="U136" s="8" t="s">
        <v>594</v>
      </c>
    </row>
    <row r="137" spans="1:21" ht="60" x14ac:dyDescent="0.3">
      <c r="A137" s="8" t="s">
        <v>816</v>
      </c>
      <c r="B137" s="10">
        <v>292626</v>
      </c>
      <c r="C137" s="8" t="s">
        <v>155</v>
      </c>
      <c r="D137" s="8" t="s">
        <v>9</v>
      </c>
      <c r="E137" s="8" t="s">
        <v>588</v>
      </c>
      <c r="F137" s="8" t="s">
        <v>384</v>
      </c>
      <c r="G137" s="8" t="s">
        <v>768</v>
      </c>
      <c r="H137" s="8" t="s">
        <v>9</v>
      </c>
      <c r="I137" s="8" t="s">
        <v>606</v>
      </c>
      <c r="J137" s="8" t="s">
        <v>591</v>
      </c>
      <c r="K137" s="8" t="s">
        <v>592</v>
      </c>
      <c r="L137" s="8" t="s">
        <v>355</v>
      </c>
      <c r="M137" s="8" t="s">
        <v>593</v>
      </c>
      <c r="N137" s="8" t="s">
        <v>111</v>
      </c>
      <c r="O137" s="8" t="s">
        <v>111</v>
      </c>
      <c r="P137" s="8" t="s">
        <v>111</v>
      </c>
      <c r="Q137" s="8" t="s">
        <v>111</v>
      </c>
      <c r="R137" s="8"/>
      <c r="S137" s="8" t="s">
        <v>112</v>
      </c>
      <c r="T137" s="8"/>
      <c r="U137" s="8" t="s">
        <v>594</v>
      </c>
    </row>
    <row r="138" spans="1:21" ht="24" x14ac:dyDescent="0.3">
      <c r="A138" s="8" t="s">
        <v>817</v>
      </c>
      <c r="B138" s="10">
        <v>292626</v>
      </c>
      <c r="C138" s="8" t="s">
        <v>155</v>
      </c>
      <c r="D138" s="8" t="s">
        <v>9</v>
      </c>
      <c r="E138" s="8" t="s">
        <v>588</v>
      </c>
      <c r="F138" s="8" t="s">
        <v>384</v>
      </c>
      <c r="G138" s="8" t="s">
        <v>771</v>
      </c>
      <c r="H138" s="8" t="s">
        <v>9</v>
      </c>
      <c r="I138" s="8" t="s">
        <v>606</v>
      </c>
      <c r="J138" s="8" t="s">
        <v>591</v>
      </c>
      <c r="K138" s="8" t="s">
        <v>592</v>
      </c>
      <c r="L138" s="8" t="s">
        <v>355</v>
      </c>
      <c r="M138" s="8" t="s">
        <v>593</v>
      </c>
      <c r="N138" s="8" t="s">
        <v>111</v>
      </c>
      <c r="O138" s="8" t="s">
        <v>111</v>
      </c>
      <c r="P138" s="8" t="s">
        <v>111</v>
      </c>
      <c r="Q138" s="8" t="s">
        <v>111</v>
      </c>
      <c r="R138" s="8"/>
      <c r="S138" s="8" t="s">
        <v>112</v>
      </c>
      <c r="T138" s="8"/>
      <c r="U138" s="8" t="s">
        <v>594</v>
      </c>
    </row>
    <row r="139" spans="1:21" ht="24" x14ac:dyDescent="0.3">
      <c r="A139" s="8" t="s">
        <v>818</v>
      </c>
      <c r="B139" s="10">
        <v>292626</v>
      </c>
      <c r="C139" s="8" t="s">
        <v>155</v>
      </c>
      <c r="D139" s="8" t="s">
        <v>9</v>
      </c>
      <c r="E139" s="8" t="s">
        <v>588</v>
      </c>
      <c r="F139" s="8" t="s">
        <v>384</v>
      </c>
      <c r="G139" s="8" t="s">
        <v>774</v>
      </c>
      <c r="H139" s="8" t="s">
        <v>9</v>
      </c>
      <c r="I139" s="8" t="s">
        <v>606</v>
      </c>
      <c r="J139" s="8" t="s">
        <v>591</v>
      </c>
      <c r="K139" s="8" t="s">
        <v>592</v>
      </c>
      <c r="L139" s="8" t="s">
        <v>355</v>
      </c>
      <c r="M139" s="8" t="s">
        <v>593</v>
      </c>
      <c r="N139" s="8" t="s">
        <v>111</v>
      </c>
      <c r="O139" s="8" t="s">
        <v>111</v>
      </c>
      <c r="P139" s="8" t="s">
        <v>111</v>
      </c>
      <c r="Q139" s="8" t="s">
        <v>111</v>
      </c>
      <c r="R139" s="8"/>
      <c r="S139" s="8" t="s">
        <v>112</v>
      </c>
      <c r="T139" s="8"/>
      <c r="U139" s="8" t="s">
        <v>594</v>
      </c>
    </row>
    <row r="140" spans="1:21" ht="24" x14ac:dyDescent="0.3">
      <c r="A140" s="8" t="s">
        <v>819</v>
      </c>
      <c r="B140" s="10">
        <v>292626</v>
      </c>
      <c r="C140" s="8" t="s">
        <v>155</v>
      </c>
      <c r="D140" s="8" t="s">
        <v>9</v>
      </c>
      <c r="E140" s="8" t="s">
        <v>588</v>
      </c>
      <c r="F140" s="8" t="s">
        <v>384</v>
      </c>
      <c r="G140" s="8" t="s">
        <v>777</v>
      </c>
      <c r="H140" s="8" t="s">
        <v>9</v>
      </c>
      <c r="I140" s="8" t="s">
        <v>606</v>
      </c>
      <c r="J140" s="8" t="s">
        <v>591</v>
      </c>
      <c r="K140" s="8" t="s">
        <v>592</v>
      </c>
      <c r="L140" s="8" t="s">
        <v>355</v>
      </c>
      <c r="M140" s="8" t="s">
        <v>593</v>
      </c>
      <c r="N140" s="8" t="s">
        <v>111</v>
      </c>
      <c r="O140" s="8" t="s">
        <v>111</v>
      </c>
      <c r="P140" s="8" t="s">
        <v>111</v>
      </c>
      <c r="Q140" s="8" t="s">
        <v>111</v>
      </c>
      <c r="R140" s="8"/>
      <c r="S140" s="8" t="s">
        <v>112</v>
      </c>
      <c r="T140" s="8"/>
      <c r="U140" s="8" t="s">
        <v>594</v>
      </c>
    </row>
    <row r="141" spans="1:21" ht="60" x14ac:dyDescent="0.3">
      <c r="A141" s="8" t="s">
        <v>820</v>
      </c>
      <c r="B141" s="10">
        <v>292626</v>
      </c>
      <c r="C141" s="8" t="s">
        <v>155</v>
      </c>
      <c r="D141" s="8" t="s">
        <v>9</v>
      </c>
      <c r="E141" s="8" t="s">
        <v>588</v>
      </c>
      <c r="F141" s="8" t="s">
        <v>384</v>
      </c>
      <c r="G141" s="8" t="s">
        <v>780</v>
      </c>
      <c r="H141" s="8" t="s">
        <v>9</v>
      </c>
      <c r="I141" s="8" t="s">
        <v>606</v>
      </c>
      <c r="J141" s="8" t="s">
        <v>591</v>
      </c>
      <c r="K141" s="8" t="s">
        <v>592</v>
      </c>
      <c r="L141" s="8" t="s">
        <v>355</v>
      </c>
      <c r="M141" s="8" t="s">
        <v>593</v>
      </c>
      <c r="N141" s="8" t="s">
        <v>111</v>
      </c>
      <c r="O141" s="8" t="s">
        <v>111</v>
      </c>
      <c r="P141" s="8" t="s">
        <v>111</v>
      </c>
      <c r="Q141" s="8" t="s">
        <v>111</v>
      </c>
      <c r="R141" s="8"/>
      <c r="S141" s="8" t="s">
        <v>112</v>
      </c>
      <c r="T141" s="8"/>
      <c r="U141" s="8" t="s">
        <v>594</v>
      </c>
    </row>
    <row r="142" spans="1:21" ht="72" x14ac:dyDescent="0.3">
      <c r="A142" s="8" t="s">
        <v>821</v>
      </c>
      <c r="B142" s="10">
        <v>292626</v>
      </c>
      <c r="C142" s="8" t="s">
        <v>155</v>
      </c>
      <c r="D142" s="8" t="s">
        <v>9</v>
      </c>
      <c r="E142" s="8" t="s">
        <v>588</v>
      </c>
      <c r="F142" s="8" t="s">
        <v>384</v>
      </c>
      <c r="G142" s="8" t="s">
        <v>783</v>
      </c>
      <c r="H142" s="8" t="s">
        <v>9</v>
      </c>
      <c r="I142" s="8" t="s">
        <v>606</v>
      </c>
      <c r="J142" s="8" t="s">
        <v>591</v>
      </c>
      <c r="K142" s="8" t="s">
        <v>592</v>
      </c>
      <c r="L142" s="8" t="s">
        <v>355</v>
      </c>
      <c r="M142" s="8" t="s">
        <v>593</v>
      </c>
      <c r="N142" s="8" t="s">
        <v>111</v>
      </c>
      <c r="O142" s="8" t="s">
        <v>111</v>
      </c>
      <c r="P142" s="8" t="s">
        <v>111</v>
      </c>
      <c r="Q142" s="8" t="s">
        <v>111</v>
      </c>
      <c r="R142" s="8"/>
      <c r="S142" s="8" t="s">
        <v>112</v>
      </c>
      <c r="T142" s="8"/>
      <c r="U142" s="8" t="s">
        <v>594</v>
      </c>
    </row>
    <row r="143" spans="1:21" ht="72" x14ac:dyDescent="0.3">
      <c r="A143" s="8" t="s">
        <v>822</v>
      </c>
      <c r="B143" s="10">
        <v>292626</v>
      </c>
      <c r="C143" s="8" t="s">
        <v>155</v>
      </c>
      <c r="D143" s="8" t="s">
        <v>9</v>
      </c>
      <c r="E143" s="8" t="s">
        <v>588</v>
      </c>
      <c r="F143" s="8" t="s">
        <v>384</v>
      </c>
      <c r="G143" s="8" t="s">
        <v>786</v>
      </c>
      <c r="H143" s="8" t="s">
        <v>9</v>
      </c>
      <c r="I143" s="8" t="s">
        <v>606</v>
      </c>
      <c r="J143" s="8" t="s">
        <v>591</v>
      </c>
      <c r="K143" s="8" t="s">
        <v>592</v>
      </c>
      <c r="L143" s="8" t="s">
        <v>355</v>
      </c>
      <c r="M143" s="8" t="s">
        <v>593</v>
      </c>
      <c r="N143" s="8" t="s">
        <v>111</v>
      </c>
      <c r="O143" s="8" t="s">
        <v>111</v>
      </c>
      <c r="P143" s="8" t="s">
        <v>111</v>
      </c>
      <c r="Q143" s="8" t="s">
        <v>111</v>
      </c>
      <c r="R143" s="8"/>
      <c r="S143" s="8" t="s">
        <v>112</v>
      </c>
      <c r="T143" s="8"/>
      <c r="U143" s="8" t="s">
        <v>594</v>
      </c>
    </row>
    <row r="144" spans="1:21" ht="72" x14ac:dyDescent="0.3">
      <c r="A144" s="8" t="s">
        <v>823</v>
      </c>
      <c r="B144" s="10">
        <v>292626</v>
      </c>
      <c r="C144" s="8" t="s">
        <v>155</v>
      </c>
      <c r="D144" s="8" t="s">
        <v>9</v>
      </c>
      <c r="E144" s="8" t="s">
        <v>588</v>
      </c>
      <c r="F144" s="8" t="s">
        <v>384</v>
      </c>
      <c r="G144" s="8" t="s">
        <v>789</v>
      </c>
      <c r="H144" s="8" t="s">
        <v>9</v>
      </c>
      <c r="I144" s="8" t="s">
        <v>606</v>
      </c>
      <c r="J144" s="8" t="s">
        <v>591</v>
      </c>
      <c r="K144" s="8" t="s">
        <v>592</v>
      </c>
      <c r="L144" s="8" t="s">
        <v>355</v>
      </c>
      <c r="M144" s="8" t="s">
        <v>593</v>
      </c>
      <c r="N144" s="8" t="s">
        <v>111</v>
      </c>
      <c r="O144" s="8" t="s">
        <v>111</v>
      </c>
      <c r="P144" s="8" t="s">
        <v>111</v>
      </c>
      <c r="Q144" s="8" t="s">
        <v>111</v>
      </c>
      <c r="R144" s="8"/>
      <c r="S144" s="8" t="s">
        <v>112</v>
      </c>
      <c r="T144" s="8"/>
      <c r="U144" s="8" t="s">
        <v>594</v>
      </c>
    </row>
    <row r="145" spans="1:21" ht="72" x14ac:dyDescent="0.3">
      <c r="A145" s="8" t="s">
        <v>824</v>
      </c>
      <c r="B145" s="10">
        <v>292626</v>
      </c>
      <c r="C145" s="8" t="s">
        <v>155</v>
      </c>
      <c r="D145" s="8" t="s">
        <v>9</v>
      </c>
      <c r="E145" s="8" t="s">
        <v>588</v>
      </c>
      <c r="F145" s="8" t="s">
        <v>384</v>
      </c>
      <c r="G145" s="8" t="s">
        <v>792</v>
      </c>
      <c r="H145" s="8" t="s">
        <v>9</v>
      </c>
      <c r="I145" s="8" t="s">
        <v>606</v>
      </c>
      <c r="J145" s="8" t="s">
        <v>591</v>
      </c>
      <c r="K145" s="8" t="s">
        <v>592</v>
      </c>
      <c r="L145" s="8" t="s">
        <v>355</v>
      </c>
      <c r="M145" s="8" t="s">
        <v>593</v>
      </c>
      <c r="N145" s="8" t="s">
        <v>111</v>
      </c>
      <c r="O145" s="8" t="s">
        <v>111</v>
      </c>
      <c r="P145" s="8" t="s">
        <v>111</v>
      </c>
      <c r="Q145" s="8" t="s">
        <v>111</v>
      </c>
      <c r="R145" s="8"/>
      <c r="S145" s="8" t="s">
        <v>112</v>
      </c>
      <c r="T145" s="8"/>
      <c r="U145" s="8" t="s">
        <v>594</v>
      </c>
    </row>
    <row r="146" spans="1:21" ht="72" x14ac:dyDescent="0.3">
      <c r="A146" s="8" t="s">
        <v>825</v>
      </c>
      <c r="B146" s="10">
        <v>292626</v>
      </c>
      <c r="C146" s="8" t="s">
        <v>155</v>
      </c>
      <c r="D146" s="8" t="s">
        <v>9</v>
      </c>
      <c r="E146" s="8" t="s">
        <v>588</v>
      </c>
      <c r="F146" s="8" t="s">
        <v>384</v>
      </c>
      <c r="G146" s="8" t="s">
        <v>795</v>
      </c>
      <c r="H146" s="8" t="s">
        <v>9</v>
      </c>
      <c r="I146" s="8" t="s">
        <v>606</v>
      </c>
      <c r="J146" s="8" t="s">
        <v>591</v>
      </c>
      <c r="K146" s="8" t="s">
        <v>592</v>
      </c>
      <c r="L146" s="8" t="s">
        <v>355</v>
      </c>
      <c r="M146" s="8" t="s">
        <v>593</v>
      </c>
      <c r="N146" s="8" t="s">
        <v>111</v>
      </c>
      <c r="O146" s="8" t="s">
        <v>111</v>
      </c>
      <c r="P146" s="8" t="s">
        <v>111</v>
      </c>
      <c r="Q146" s="8" t="s">
        <v>111</v>
      </c>
      <c r="R146" s="8"/>
      <c r="S146" s="8" t="s">
        <v>112</v>
      </c>
      <c r="T146" s="8"/>
      <c r="U146" s="8" t="s">
        <v>594</v>
      </c>
    </row>
    <row r="147" spans="1:21" ht="60" x14ac:dyDescent="0.3">
      <c r="A147" s="8" t="s">
        <v>826</v>
      </c>
      <c r="B147" s="10">
        <v>292626</v>
      </c>
      <c r="C147" s="8" t="s">
        <v>155</v>
      </c>
      <c r="D147" s="8" t="s">
        <v>9</v>
      </c>
      <c r="E147" s="8" t="s">
        <v>588</v>
      </c>
      <c r="F147" s="8" t="s">
        <v>384</v>
      </c>
      <c r="G147" s="8" t="s">
        <v>797</v>
      </c>
      <c r="H147" s="8" t="s">
        <v>9</v>
      </c>
      <c r="I147" s="8" t="s">
        <v>606</v>
      </c>
      <c r="J147" s="8" t="s">
        <v>591</v>
      </c>
      <c r="K147" s="8" t="s">
        <v>592</v>
      </c>
      <c r="L147" s="8" t="s">
        <v>355</v>
      </c>
      <c r="M147" s="8" t="s">
        <v>593</v>
      </c>
      <c r="N147" s="8" t="s">
        <v>111</v>
      </c>
      <c r="O147" s="8" t="s">
        <v>111</v>
      </c>
      <c r="P147" s="8" t="s">
        <v>111</v>
      </c>
      <c r="Q147" s="8" t="s">
        <v>111</v>
      </c>
      <c r="R147" s="8"/>
      <c r="S147" s="8" t="s">
        <v>112</v>
      </c>
      <c r="T147" s="8"/>
      <c r="U147" s="8" t="s">
        <v>594</v>
      </c>
    </row>
    <row r="148" spans="1:21" ht="60" x14ac:dyDescent="0.3">
      <c r="A148" s="8" t="s">
        <v>827</v>
      </c>
      <c r="B148" s="10">
        <v>292626</v>
      </c>
      <c r="C148" s="8" t="s">
        <v>155</v>
      </c>
      <c r="D148" s="8" t="s">
        <v>9</v>
      </c>
      <c r="E148" s="8" t="s">
        <v>588</v>
      </c>
      <c r="F148" s="8" t="s">
        <v>384</v>
      </c>
      <c r="G148" s="8" t="s">
        <v>800</v>
      </c>
      <c r="H148" s="8" t="s">
        <v>9</v>
      </c>
      <c r="I148" s="8" t="s">
        <v>606</v>
      </c>
      <c r="J148" s="8" t="s">
        <v>591</v>
      </c>
      <c r="K148" s="8" t="s">
        <v>592</v>
      </c>
      <c r="L148" s="8" t="s">
        <v>355</v>
      </c>
      <c r="M148" s="8" t="s">
        <v>593</v>
      </c>
      <c r="N148" s="8" t="s">
        <v>111</v>
      </c>
      <c r="O148" s="8" t="s">
        <v>111</v>
      </c>
      <c r="P148" s="8" t="s">
        <v>111</v>
      </c>
      <c r="Q148" s="8" t="s">
        <v>111</v>
      </c>
      <c r="R148" s="8"/>
      <c r="S148" s="8" t="s">
        <v>112</v>
      </c>
      <c r="T148" s="8"/>
      <c r="U148" s="8" t="s">
        <v>594</v>
      </c>
    </row>
    <row r="149" spans="1:21" ht="24" x14ac:dyDescent="0.3">
      <c r="A149" s="8" t="s">
        <v>828</v>
      </c>
      <c r="B149" s="10">
        <v>275412</v>
      </c>
      <c r="C149" s="8" t="s">
        <v>157</v>
      </c>
      <c r="D149" s="8" t="s">
        <v>9</v>
      </c>
      <c r="E149" s="8" t="s">
        <v>588</v>
      </c>
      <c r="F149" s="8" t="s">
        <v>355</v>
      </c>
      <c r="G149" s="8" t="s">
        <v>355</v>
      </c>
      <c r="H149" s="8" t="s">
        <v>9</v>
      </c>
      <c r="I149" s="8" t="s">
        <v>355</v>
      </c>
      <c r="J149" s="8" t="s">
        <v>591</v>
      </c>
      <c r="K149" s="8" t="s">
        <v>592</v>
      </c>
      <c r="L149" s="8" t="s">
        <v>355</v>
      </c>
      <c r="M149" s="8" t="s">
        <v>593</v>
      </c>
      <c r="N149" s="8" t="s">
        <v>111</v>
      </c>
      <c r="O149" s="8" t="s">
        <v>111</v>
      </c>
      <c r="P149" s="8" t="s">
        <v>111</v>
      </c>
      <c r="Q149" s="8" t="s">
        <v>111</v>
      </c>
      <c r="R149" s="8"/>
      <c r="S149" s="8" t="s">
        <v>112</v>
      </c>
      <c r="T149" s="8"/>
      <c r="U149" s="8" t="s">
        <v>594</v>
      </c>
    </row>
    <row r="150" spans="1:21" ht="24" x14ac:dyDescent="0.3">
      <c r="A150" s="8" t="s">
        <v>829</v>
      </c>
      <c r="B150" s="10">
        <v>275457</v>
      </c>
      <c r="C150" s="8" t="s">
        <v>159</v>
      </c>
      <c r="D150" s="8" t="s">
        <v>9</v>
      </c>
      <c r="E150" s="8" t="s">
        <v>588</v>
      </c>
      <c r="F150" s="8" t="s">
        <v>355</v>
      </c>
      <c r="G150" s="8" t="s">
        <v>355</v>
      </c>
      <c r="H150" s="8" t="s">
        <v>9</v>
      </c>
      <c r="I150" s="8" t="s">
        <v>355</v>
      </c>
      <c r="J150" s="8" t="s">
        <v>591</v>
      </c>
      <c r="K150" s="8" t="s">
        <v>592</v>
      </c>
      <c r="L150" s="8" t="s">
        <v>355</v>
      </c>
      <c r="M150" s="8" t="s">
        <v>593</v>
      </c>
      <c r="N150" s="8" t="s">
        <v>111</v>
      </c>
      <c r="O150" s="8" t="s">
        <v>111</v>
      </c>
      <c r="P150" s="8" t="s">
        <v>111</v>
      </c>
      <c r="Q150" s="8" t="s">
        <v>111</v>
      </c>
      <c r="R150" s="8"/>
      <c r="S150" s="8" t="s">
        <v>112</v>
      </c>
      <c r="T150" s="8"/>
      <c r="U150" s="8" t="s">
        <v>594</v>
      </c>
    </row>
    <row r="151" spans="1:21" ht="36" x14ac:dyDescent="0.3">
      <c r="A151" s="8" t="s">
        <v>830</v>
      </c>
      <c r="B151" s="10">
        <v>319335</v>
      </c>
      <c r="C151" s="8" t="s">
        <v>161</v>
      </c>
      <c r="D151" s="8" t="s">
        <v>9</v>
      </c>
      <c r="E151" s="8" t="s">
        <v>588</v>
      </c>
      <c r="F151" s="8" t="s">
        <v>384</v>
      </c>
      <c r="G151" s="8" t="s">
        <v>831</v>
      </c>
      <c r="H151" s="8" t="s">
        <v>9</v>
      </c>
      <c r="I151" s="8" t="s">
        <v>832</v>
      </c>
      <c r="J151" s="8" t="s">
        <v>591</v>
      </c>
      <c r="K151" s="8" t="s">
        <v>592</v>
      </c>
      <c r="L151" s="8" t="s">
        <v>833</v>
      </c>
      <c r="M151" s="8" t="s">
        <v>593</v>
      </c>
      <c r="N151" s="8" t="s">
        <v>111</v>
      </c>
      <c r="O151" s="8" t="s">
        <v>111</v>
      </c>
      <c r="P151" s="8" t="s">
        <v>111</v>
      </c>
      <c r="Q151" s="8" t="s">
        <v>111</v>
      </c>
      <c r="R151" s="8"/>
      <c r="S151" s="8" t="s">
        <v>112</v>
      </c>
      <c r="T151" s="8"/>
      <c r="U151" s="8" t="s">
        <v>594</v>
      </c>
    </row>
    <row r="152" spans="1:21" ht="48" x14ac:dyDescent="0.3">
      <c r="A152" s="8" t="s">
        <v>834</v>
      </c>
      <c r="B152" s="10">
        <v>319335</v>
      </c>
      <c r="C152" s="8" t="s">
        <v>161</v>
      </c>
      <c r="D152" s="8" t="s">
        <v>9</v>
      </c>
      <c r="E152" s="8" t="s">
        <v>588</v>
      </c>
      <c r="F152" s="8" t="s">
        <v>384</v>
      </c>
      <c r="G152" s="8" t="s">
        <v>835</v>
      </c>
      <c r="H152" s="8" t="s">
        <v>9</v>
      </c>
      <c r="I152" s="8" t="s">
        <v>836</v>
      </c>
      <c r="J152" s="8" t="s">
        <v>591</v>
      </c>
      <c r="K152" s="8" t="s">
        <v>592</v>
      </c>
      <c r="L152" s="8" t="s">
        <v>355</v>
      </c>
      <c r="M152" s="8" t="s">
        <v>593</v>
      </c>
      <c r="N152" s="8" t="s">
        <v>111</v>
      </c>
      <c r="O152" s="8" t="s">
        <v>111</v>
      </c>
      <c r="P152" s="8" t="s">
        <v>111</v>
      </c>
      <c r="Q152" s="8" t="s">
        <v>111</v>
      </c>
      <c r="R152" s="8"/>
      <c r="S152" s="8" t="s">
        <v>112</v>
      </c>
      <c r="T152" s="8"/>
      <c r="U152" s="8" t="s">
        <v>594</v>
      </c>
    </row>
    <row r="153" spans="1:21" ht="60" x14ac:dyDescent="0.3">
      <c r="A153" s="8" t="s">
        <v>837</v>
      </c>
      <c r="B153" s="10">
        <v>215655</v>
      </c>
      <c r="C153" s="8" t="s">
        <v>163</v>
      </c>
      <c r="D153" s="8" t="s">
        <v>9</v>
      </c>
      <c r="E153" s="8" t="s">
        <v>588</v>
      </c>
      <c r="F153" s="8" t="s">
        <v>384</v>
      </c>
      <c r="G153" s="8" t="s">
        <v>838</v>
      </c>
      <c r="H153" s="8" t="s">
        <v>9</v>
      </c>
      <c r="I153" s="8" t="s">
        <v>590</v>
      </c>
      <c r="J153" s="8" t="s">
        <v>591</v>
      </c>
      <c r="K153" s="8" t="s">
        <v>592</v>
      </c>
      <c r="L153" s="8" t="s">
        <v>355</v>
      </c>
      <c r="M153" s="8" t="s">
        <v>593</v>
      </c>
      <c r="N153" s="8" t="s">
        <v>111</v>
      </c>
      <c r="O153" s="8" t="s">
        <v>111</v>
      </c>
      <c r="P153" s="8" t="s">
        <v>111</v>
      </c>
      <c r="Q153" s="8" t="s">
        <v>111</v>
      </c>
      <c r="R153" s="8"/>
      <c r="S153" s="8" t="s">
        <v>112</v>
      </c>
      <c r="T153" s="8"/>
      <c r="U153" s="8" t="s">
        <v>594</v>
      </c>
    </row>
    <row r="154" spans="1:21" ht="24" x14ac:dyDescent="0.3">
      <c r="A154" s="8" t="s">
        <v>839</v>
      </c>
      <c r="B154" s="10">
        <v>319957</v>
      </c>
      <c r="C154" s="8" t="s">
        <v>165</v>
      </c>
      <c r="D154" s="8" t="s">
        <v>9</v>
      </c>
      <c r="E154" s="8" t="s">
        <v>588</v>
      </c>
      <c r="F154" s="8" t="s">
        <v>384</v>
      </c>
      <c r="G154" s="8" t="s">
        <v>840</v>
      </c>
      <c r="H154" s="8" t="s">
        <v>9</v>
      </c>
      <c r="I154" s="8" t="s">
        <v>606</v>
      </c>
      <c r="J154" s="8" t="s">
        <v>591</v>
      </c>
      <c r="K154" s="8" t="s">
        <v>592</v>
      </c>
      <c r="L154" s="8" t="s">
        <v>355</v>
      </c>
      <c r="M154" s="8" t="s">
        <v>593</v>
      </c>
      <c r="N154" s="8" t="s">
        <v>111</v>
      </c>
      <c r="O154" s="8" t="s">
        <v>111</v>
      </c>
      <c r="P154" s="8" t="s">
        <v>111</v>
      </c>
      <c r="Q154" s="8" t="s">
        <v>111</v>
      </c>
      <c r="R154" s="8"/>
      <c r="S154" s="8" t="s">
        <v>112</v>
      </c>
      <c r="T154" s="8"/>
      <c r="U154" s="8" t="s">
        <v>594</v>
      </c>
    </row>
    <row r="155" spans="1:21" ht="24" x14ac:dyDescent="0.3">
      <c r="A155" s="8" t="s">
        <v>841</v>
      </c>
      <c r="B155" s="10">
        <v>319957</v>
      </c>
      <c r="C155" s="8" t="s">
        <v>165</v>
      </c>
      <c r="D155" s="8" t="s">
        <v>9</v>
      </c>
      <c r="E155" s="8" t="s">
        <v>588</v>
      </c>
      <c r="F155" s="8" t="s">
        <v>384</v>
      </c>
      <c r="G155" s="8" t="s">
        <v>840</v>
      </c>
      <c r="H155" s="8" t="s">
        <v>9</v>
      </c>
      <c r="I155" s="8" t="s">
        <v>842</v>
      </c>
      <c r="J155" s="8" t="s">
        <v>591</v>
      </c>
      <c r="K155" s="8" t="s">
        <v>592</v>
      </c>
      <c r="L155" s="8" t="s">
        <v>355</v>
      </c>
      <c r="M155" s="8" t="s">
        <v>593</v>
      </c>
      <c r="N155" s="8" t="s">
        <v>111</v>
      </c>
      <c r="O155" s="8" t="s">
        <v>111</v>
      </c>
      <c r="P155" s="8" t="s">
        <v>111</v>
      </c>
      <c r="Q155" s="8" t="s">
        <v>111</v>
      </c>
      <c r="R155" s="8"/>
      <c r="S155" s="8" t="s">
        <v>112</v>
      </c>
      <c r="T155" s="8"/>
      <c r="U155" s="8" t="s">
        <v>594</v>
      </c>
    </row>
    <row r="156" spans="1:21" ht="24" x14ac:dyDescent="0.3">
      <c r="A156" s="8" t="s">
        <v>843</v>
      </c>
      <c r="B156" s="10">
        <v>315940</v>
      </c>
      <c r="C156" s="8" t="s">
        <v>167</v>
      </c>
      <c r="D156" s="8" t="s">
        <v>9</v>
      </c>
      <c r="E156" s="8" t="s">
        <v>588</v>
      </c>
      <c r="F156" s="8" t="s">
        <v>384</v>
      </c>
      <c r="G156" s="8" t="s">
        <v>714</v>
      </c>
      <c r="H156" s="8" t="s">
        <v>9</v>
      </c>
      <c r="I156" s="8" t="s">
        <v>606</v>
      </c>
      <c r="J156" s="8" t="s">
        <v>591</v>
      </c>
      <c r="K156" s="8" t="s">
        <v>592</v>
      </c>
      <c r="L156" s="8" t="s">
        <v>844</v>
      </c>
      <c r="M156" s="8" t="s">
        <v>593</v>
      </c>
      <c r="N156" s="8" t="s">
        <v>111</v>
      </c>
      <c r="O156" s="8" t="s">
        <v>111</v>
      </c>
      <c r="P156" s="8" t="s">
        <v>111</v>
      </c>
      <c r="Q156" s="8" t="s">
        <v>111</v>
      </c>
      <c r="R156" s="8"/>
      <c r="S156" s="8" t="s">
        <v>112</v>
      </c>
      <c r="T156" s="8"/>
      <c r="U156" s="8" t="s">
        <v>594</v>
      </c>
    </row>
    <row r="157" spans="1:21" ht="24" x14ac:dyDescent="0.3">
      <c r="A157" s="8" t="s">
        <v>845</v>
      </c>
      <c r="B157" s="10">
        <v>315940</v>
      </c>
      <c r="C157" s="8" t="s">
        <v>167</v>
      </c>
      <c r="D157" s="8" t="s">
        <v>9</v>
      </c>
      <c r="E157" s="8" t="s">
        <v>588</v>
      </c>
      <c r="F157" s="8" t="s">
        <v>384</v>
      </c>
      <c r="G157" s="8" t="s">
        <v>714</v>
      </c>
      <c r="H157" s="8" t="s">
        <v>9</v>
      </c>
      <c r="I157" s="8" t="s">
        <v>608</v>
      </c>
      <c r="J157" s="8" t="s">
        <v>591</v>
      </c>
      <c r="K157" s="8" t="s">
        <v>592</v>
      </c>
      <c r="L157" s="8" t="s">
        <v>844</v>
      </c>
      <c r="M157" s="8" t="s">
        <v>593</v>
      </c>
      <c r="N157" s="8" t="s">
        <v>111</v>
      </c>
      <c r="O157" s="8" t="s">
        <v>111</v>
      </c>
      <c r="P157" s="8" t="s">
        <v>111</v>
      </c>
      <c r="Q157" s="8" t="s">
        <v>111</v>
      </c>
      <c r="R157" s="8"/>
      <c r="S157" s="8" t="s">
        <v>112</v>
      </c>
      <c r="T157" s="8"/>
      <c r="U157" s="8" t="s">
        <v>594</v>
      </c>
    </row>
    <row r="158" spans="1:21" ht="24" x14ac:dyDescent="0.3">
      <c r="A158" s="8" t="s">
        <v>846</v>
      </c>
      <c r="B158" s="10">
        <v>282625</v>
      </c>
      <c r="C158" s="8" t="s">
        <v>169</v>
      </c>
      <c r="D158" s="8" t="s">
        <v>9</v>
      </c>
      <c r="E158" s="8" t="s">
        <v>588</v>
      </c>
      <c r="F158" s="8" t="s">
        <v>384</v>
      </c>
      <c r="G158" s="8" t="s">
        <v>847</v>
      </c>
      <c r="H158" s="8" t="s">
        <v>9</v>
      </c>
      <c r="I158" s="8" t="s">
        <v>590</v>
      </c>
      <c r="J158" s="8" t="s">
        <v>591</v>
      </c>
      <c r="K158" s="8" t="s">
        <v>592</v>
      </c>
      <c r="L158" s="8" t="s">
        <v>355</v>
      </c>
      <c r="M158" s="8" t="s">
        <v>593</v>
      </c>
      <c r="N158" s="8" t="s">
        <v>111</v>
      </c>
      <c r="O158" s="8" t="s">
        <v>111</v>
      </c>
      <c r="P158" s="8" t="s">
        <v>111</v>
      </c>
      <c r="Q158" s="8" t="s">
        <v>111</v>
      </c>
      <c r="R158" s="8"/>
      <c r="S158" s="8" t="s">
        <v>112</v>
      </c>
      <c r="T158" s="8"/>
      <c r="U158" s="8" t="s">
        <v>594</v>
      </c>
    </row>
    <row r="159" spans="1:21" ht="24" x14ac:dyDescent="0.3">
      <c r="A159" s="8" t="s">
        <v>848</v>
      </c>
      <c r="B159" s="10">
        <v>332726</v>
      </c>
      <c r="C159" s="8" t="s">
        <v>171</v>
      </c>
      <c r="D159" s="8" t="s">
        <v>9</v>
      </c>
      <c r="E159" s="8" t="s">
        <v>588</v>
      </c>
      <c r="F159" s="8" t="s">
        <v>357</v>
      </c>
      <c r="G159" s="8" t="s">
        <v>358</v>
      </c>
      <c r="H159" s="8" t="s">
        <v>9</v>
      </c>
      <c r="I159" s="8" t="s">
        <v>849</v>
      </c>
      <c r="J159" s="8" t="s">
        <v>591</v>
      </c>
      <c r="K159" s="8" t="s">
        <v>592</v>
      </c>
      <c r="L159" s="8" t="s">
        <v>850</v>
      </c>
      <c r="M159" s="8" t="s">
        <v>593</v>
      </c>
      <c r="N159" s="8" t="s">
        <v>111</v>
      </c>
      <c r="O159" s="8" t="s">
        <v>111</v>
      </c>
      <c r="P159" s="8" t="s">
        <v>111</v>
      </c>
      <c r="Q159" s="8" t="s">
        <v>111</v>
      </c>
      <c r="R159" s="8"/>
      <c r="S159" s="8" t="s">
        <v>112</v>
      </c>
      <c r="T159" s="8"/>
      <c r="U159" s="8" t="s">
        <v>594</v>
      </c>
    </row>
    <row r="160" spans="1:21" ht="24" x14ac:dyDescent="0.3">
      <c r="A160" s="8" t="s">
        <v>851</v>
      </c>
      <c r="B160" s="10">
        <v>332726</v>
      </c>
      <c r="C160" s="8" t="s">
        <v>171</v>
      </c>
      <c r="D160" s="8" t="s">
        <v>9</v>
      </c>
      <c r="E160" s="8" t="s">
        <v>588</v>
      </c>
      <c r="F160" s="8" t="s">
        <v>357</v>
      </c>
      <c r="G160" s="8" t="s">
        <v>852</v>
      </c>
      <c r="H160" s="8" t="s">
        <v>9</v>
      </c>
      <c r="I160" s="8" t="s">
        <v>853</v>
      </c>
      <c r="J160" s="8" t="s">
        <v>591</v>
      </c>
      <c r="K160" s="8" t="s">
        <v>592</v>
      </c>
      <c r="L160" s="8" t="s">
        <v>854</v>
      </c>
      <c r="M160" s="8" t="s">
        <v>593</v>
      </c>
      <c r="N160" s="8" t="s">
        <v>111</v>
      </c>
      <c r="O160" s="8" t="s">
        <v>111</v>
      </c>
      <c r="P160" s="8" t="s">
        <v>111</v>
      </c>
      <c r="Q160" s="8" t="s">
        <v>111</v>
      </c>
      <c r="R160" s="8"/>
      <c r="S160" s="8" t="s">
        <v>112</v>
      </c>
      <c r="T160" s="8"/>
      <c r="U160" s="8" t="s">
        <v>594</v>
      </c>
    </row>
    <row r="161" spans="1:21" ht="48" x14ac:dyDescent="0.3">
      <c r="A161" s="8" t="s">
        <v>855</v>
      </c>
      <c r="B161" s="10">
        <v>319734</v>
      </c>
      <c r="C161" s="8" t="s">
        <v>173</v>
      </c>
      <c r="D161" s="8" t="s">
        <v>9</v>
      </c>
      <c r="E161" s="8" t="s">
        <v>588</v>
      </c>
      <c r="F161" s="8" t="s">
        <v>384</v>
      </c>
      <c r="G161" s="8" t="s">
        <v>856</v>
      </c>
      <c r="H161" s="8" t="s">
        <v>9</v>
      </c>
      <c r="I161" s="8" t="s">
        <v>857</v>
      </c>
      <c r="J161" s="8" t="s">
        <v>591</v>
      </c>
      <c r="K161" s="8" t="s">
        <v>592</v>
      </c>
      <c r="L161" s="8">
        <v>319331</v>
      </c>
      <c r="M161" s="8" t="s">
        <v>593</v>
      </c>
      <c r="N161" s="8" t="s">
        <v>111</v>
      </c>
      <c r="O161" s="8" t="s">
        <v>111</v>
      </c>
      <c r="P161" s="8" t="s">
        <v>111</v>
      </c>
      <c r="Q161" s="8" t="s">
        <v>111</v>
      </c>
      <c r="R161" s="8"/>
      <c r="S161" s="8" t="s">
        <v>112</v>
      </c>
      <c r="T161" s="8"/>
      <c r="U161" s="8" t="s">
        <v>594</v>
      </c>
    </row>
    <row r="162" spans="1:21" ht="48" x14ac:dyDescent="0.3">
      <c r="A162" s="8" t="s">
        <v>858</v>
      </c>
      <c r="B162" s="10">
        <v>319734</v>
      </c>
      <c r="C162" s="8" t="s">
        <v>173</v>
      </c>
      <c r="D162" s="8" t="s">
        <v>9</v>
      </c>
      <c r="E162" s="8" t="s">
        <v>588</v>
      </c>
      <c r="F162" s="8" t="s">
        <v>384</v>
      </c>
      <c r="G162" s="8" t="s">
        <v>859</v>
      </c>
      <c r="H162" s="8" t="s">
        <v>9</v>
      </c>
      <c r="I162" s="8" t="s">
        <v>860</v>
      </c>
      <c r="J162" s="8" t="s">
        <v>591</v>
      </c>
      <c r="K162" s="8" t="s">
        <v>592</v>
      </c>
      <c r="L162" s="8" t="s">
        <v>355</v>
      </c>
      <c r="M162" s="8" t="s">
        <v>593</v>
      </c>
      <c r="N162" s="8" t="s">
        <v>111</v>
      </c>
      <c r="O162" s="8" t="s">
        <v>111</v>
      </c>
      <c r="P162" s="8" t="s">
        <v>111</v>
      </c>
      <c r="Q162" s="8" t="s">
        <v>111</v>
      </c>
      <c r="R162" s="8"/>
      <c r="S162" s="8" t="s">
        <v>112</v>
      </c>
      <c r="T162" s="8"/>
      <c r="U162" s="8" t="s">
        <v>594</v>
      </c>
    </row>
    <row r="163" spans="1:21" ht="48" x14ac:dyDescent="0.3">
      <c r="A163" s="8" t="s">
        <v>861</v>
      </c>
      <c r="B163" s="10">
        <v>266572</v>
      </c>
      <c r="C163" s="8" t="s">
        <v>175</v>
      </c>
      <c r="D163" s="8" t="s">
        <v>9</v>
      </c>
      <c r="E163" s="8" t="s">
        <v>588</v>
      </c>
      <c r="F163" s="8" t="s">
        <v>384</v>
      </c>
      <c r="G163" s="8" t="s">
        <v>862</v>
      </c>
      <c r="H163" s="8" t="s">
        <v>9</v>
      </c>
      <c r="I163" s="8" t="s">
        <v>355</v>
      </c>
      <c r="J163" s="8" t="s">
        <v>591</v>
      </c>
      <c r="K163" s="8" t="s">
        <v>592</v>
      </c>
      <c r="L163" s="8" t="s">
        <v>863</v>
      </c>
      <c r="M163" s="8" t="s">
        <v>593</v>
      </c>
      <c r="N163" s="8" t="s">
        <v>111</v>
      </c>
      <c r="O163" s="8" t="s">
        <v>111</v>
      </c>
      <c r="P163" s="8" t="s">
        <v>111</v>
      </c>
      <c r="Q163" s="8" t="s">
        <v>111</v>
      </c>
      <c r="R163" s="8"/>
      <c r="S163" s="8" t="s">
        <v>112</v>
      </c>
      <c r="T163" s="8"/>
      <c r="U163" s="8" t="s">
        <v>594</v>
      </c>
    </row>
    <row r="164" spans="1:21" ht="48" x14ac:dyDescent="0.3">
      <c r="A164" s="8" t="s">
        <v>864</v>
      </c>
      <c r="B164" s="10">
        <v>266572</v>
      </c>
      <c r="C164" s="8" t="s">
        <v>175</v>
      </c>
      <c r="D164" s="8" t="s">
        <v>9</v>
      </c>
      <c r="E164" s="8" t="s">
        <v>588</v>
      </c>
      <c r="F164" s="8" t="s">
        <v>384</v>
      </c>
      <c r="G164" s="8" t="s">
        <v>862</v>
      </c>
      <c r="H164" s="8" t="s">
        <v>9</v>
      </c>
      <c r="I164" s="8" t="s">
        <v>590</v>
      </c>
      <c r="J164" s="8" t="s">
        <v>591</v>
      </c>
      <c r="K164" s="8" t="s">
        <v>592</v>
      </c>
      <c r="L164" s="8" t="s">
        <v>863</v>
      </c>
      <c r="M164" s="8" t="s">
        <v>593</v>
      </c>
      <c r="N164" s="8" t="s">
        <v>111</v>
      </c>
      <c r="O164" s="8" t="s">
        <v>111</v>
      </c>
      <c r="P164" s="8" t="s">
        <v>111</v>
      </c>
      <c r="Q164" s="8" t="s">
        <v>111</v>
      </c>
      <c r="R164" s="8"/>
      <c r="S164" s="8" t="s">
        <v>112</v>
      </c>
      <c r="T164" s="8"/>
      <c r="U164" s="8" t="s">
        <v>594</v>
      </c>
    </row>
    <row r="165" spans="1:21" ht="48" x14ac:dyDescent="0.3">
      <c r="A165" s="8" t="s">
        <v>865</v>
      </c>
      <c r="B165" s="10">
        <v>264528</v>
      </c>
      <c r="C165" s="8" t="s">
        <v>177</v>
      </c>
      <c r="D165" s="8" t="s">
        <v>9</v>
      </c>
      <c r="E165" s="8" t="s">
        <v>588</v>
      </c>
      <c r="F165" s="8" t="s">
        <v>384</v>
      </c>
      <c r="G165" s="8" t="s">
        <v>866</v>
      </c>
      <c r="H165" s="8" t="s">
        <v>9</v>
      </c>
      <c r="I165" s="8" t="s">
        <v>590</v>
      </c>
      <c r="J165" s="8" t="s">
        <v>591</v>
      </c>
      <c r="K165" s="8" t="s">
        <v>592</v>
      </c>
      <c r="L165" s="8" t="s">
        <v>355</v>
      </c>
      <c r="M165" s="8" t="s">
        <v>593</v>
      </c>
      <c r="N165" s="8" t="s">
        <v>111</v>
      </c>
      <c r="O165" s="8" t="s">
        <v>111</v>
      </c>
      <c r="P165" s="8" t="s">
        <v>111</v>
      </c>
      <c r="Q165" s="8" t="s">
        <v>111</v>
      </c>
      <c r="R165" s="8"/>
      <c r="S165" s="8" t="s">
        <v>112</v>
      </c>
      <c r="T165" s="8"/>
      <c r="U165" s="8" t="s">
        <v>594</v>
      </c>
    </row>
    <row r="166" spans="1:21" ht="24" x14ac:dyDescent="0.3">
      <c r="A166" s="8" t="s">
        <v>867</v>
      </c>
      <c r="B166" s="10">
        <v>264528</v>
      </c>
      <c r="C166" s="8" t="s">
        <v>177</v>
      </c>
      <c r="D166" s="8" t="s">
        <v>9</v>
      </c>
      <c r="E166" s="8" t="s">
        <v>588</v>
      </c>
      <c r="F166" s="8" t="s">
        <v>384</v>
      </c>
      <c r="G166" s="8" t="s">
        <v>868</v>
      </c>
      <c r="H166" s="8" t="s">
        <v>9</v>
      </c>
      <c r="I166" s="8" t="s">
        <v>603</v>
      </c>
      <c r="J166" s="8" t="s">
        <v>591</v>
      </c>
      <c r="K166" s="8" t="s">
        <v>592</v>
      </c>
      <c r="L166" s="8" t="s">
        <v>355</v>
      </c>
      <c r="M166" s="8" t="s">
        <v>593</v>
      </c>
      <c r="N166" s="8" t="s">
        <v>111</v>
      </c>
      <c r="O166" s="8" t="s">
        <v>111</v>
      </c>
      <c r="P166" s="8" t="s">
        <v>111</v>
      </c>
      <c r="Q166" s="8" t="s">
        <v>111</v>
      </c>
      <c r="R166" s="8"/>
      <c r="S166" s="8" t="s">
        <v>112</v>
      </c>
      <c r="T166" s="8"/>
      <c r="U166" s="8" t="s">
        <v>594</v>
      </c>
    </row>
    <row r="167" spans="1:21" ht="36" x14ac:dyDescent="0.3">
      <c r="A167" s="8" t="s">
        <v>869</v>
      </c>
      <c r="B167" s="10">
        <v>264528</v>
      </c>
      <c r="C167" s="8" t="s">
        <v>177</v>
      </c>
      <c r="D167" s="8" t="s">
        <v>9</v>
      </c>
      <c r="E167" s="8" t="s">
        <v>588</v>
      </c>
      <c r="F167" s="8" t="s">
        <v>384</v>
      </c>
      <c r="G167" s="8" t="s">
        <v>870</v>
      </c>
      <c r="H167" s="8" t="s">
        <v>9</v>
      </c>
      <c r="I167" s="8" t="s">
        <v>601</v>
      </c>
      <c r="J167" s="8" t="s">
        <v>591</v>
      </c>
      <c r="K167" s="8" t="s">
        <v>592</v>
      </c>
      <c r="L167" s="8" t="s">
        <v>355</v>
      </c>
      <c r="M167" s="8" t="s">
        <v>593</v>
      </c>
      <c r="N167" s="8" t="s">
        <v>111</v>
      </c>
      <c r="O167" s="8" t="s">
        <v>111</v>
      </c>
      <c r="P167" s="8" t="s">
        <v>111</v>
      </c>
      <c r="Q167" s="8" t="s">
        <v>111</v>
      </c>
      <c r="R167" s="8"/>
      <c r="S167" s="8" t="s">
        <v>112</v>
      </c>
      <c r="T167" s="8"/>
      <c r="U167" s="8" t="s">
        <v>594</v>
      </c>
    </row>
    <row r="168" spans="1:21" ht="24" x14ac:dyDescent="0.3">
      <c r="A168" s="8" t="s">
        <v>871</v>
      </c>
      <c r="B168" s="10">
        <v>264528</v>
      </c>
      <c r="C168" s="8" t="s">
        <v>177</v>
      </c>
      <c r="D168" s="8" t="s">
        <v>9</v>
      </c>
      <c r="E168" s="8" t="s">
        <v>588</v>
      </c>
      <c r="F168" s="8" t="s">
        <v>384</v>
      </c>
      <c r="G168" s="8" t="s">
        <v>872</v>
      </c>
      <c r="H168" s="8" t="s">
        <v>9</v>
      </c>
      <c r="I168" s="8" t="s">
        <v>617</v>
      </c>
      <c r="J168" s="8" t="s">
        <v>591</v>
      </c>
      <c r="K168" s="8" t="s">
        <v>592</v>
      </c>
      <c r="L168" s="8" t="s">
        <v>355</v>
      </c>
      <c r="M168" s="8" t="s">
        <v>593</v>
      </c>
      <c r="N168" s="8" t="s">
        <v>111</v>
      </c>
      <c r="O168" s="8" t="s">
        <v>111</v>
      </c>
      <c r="P168" s="8" t="s">
        <v>111</v>
      </c>
      <c r="Q168" s="8" t="s">
        <v>111</v>
      </c>
      <c r="R168" s="8"/>
      <c r="S168" s="8" t="s">
        <v>112</v>
      </c>
      <c r="T168" s="8"/>
      <c r="U168" s="8" t="s">
        <v>594</v>
      </c>
    </row>
    <row r="169" spans="1:21" ht="24" x14ac:dyDescent="0.3">
      <c r="A169" s="8" t="s">
        <v>873</v>
      </c>
      <c r="B169" s="10">
        <v>264528</v>
      </c>
      <c r="C169" s="8" t="s">
        <v>177</v>
      </c>
      <c r="D169" s="8" t="s">
        <v>9</v>
      </c>
      <c r="E169" s="8" t="s">
        <v>588</v>
      </c>
      <c r="F169" s="8" t="s">
        <v>384</v>
      </c>
      <c r="G169" s="8" t="s">
        <v>874</v>
      </c>
      <c r="H169" s="8" t="s">
        <v>9</v>
      </c>
      <c r="I169" s="8" t="s">
        <v>623</v>
      </c>
      <c r="J169" s="8" t="s">
        <v>591</v>
      </c>
      <c r="K169" s="8" t="s">
        <v>592</v>
      </c>
      <c r="L169" s="8" t="s">
        <v>355</v>
      </c>
      <c r="M169" s="8" t="s">
        <v>593</v>
      </c>
      <c r="N169" s="8" t="s">
        <v>111</v>
      </c>
      <c r="O169" s="8" t="s">
        <v>111</v>
      </c>
      <c r="P169" s="8" t="s">
        <v>111</v>
      </c>
      <c r="Q169" s="8" t="s">
        <v>111</v>
      </c>
      <c r="R169" s="8"/>
      <c r="S169" s="8" t="s">
        <v>112</v>
      </c>
      <c r="T169" s="8"/>
      <c r="U169" s="8" t="s">
        <v>594</v>
      </c>
    </row>
    <row r="170" spans="1:21" ht="24" x14ac:dyDescent="0.3">
      <c r="A170" s="8" t="s">
        <v>875</v>
      </c>
      <c r="B170" s="10">
        <v>264528</v>
      </c>
      <c r="C170" s="8" t="s">
        <v>177</v>
      </c>
      <c r="D170" s="8" t="s">
        <v>9</v>
      </c>
      <c r="E170" s="8" t="s">
        <v>588</v>
      </c>
      <c r="F170" s="8" t="s">
        <v>384</v>
      </c>
      <c r="G170" s="8" t="s">
        <v>876</v>
      </c>
      <c r="H170" s="8" t="s">
        <v>9</v>
      </c>
      <c r="I170" s="8" t="s">
        <v>619</v>
      </c>
      <c r="J170" s="8" t="s">
        <v>591</v>
      </c>
      <c r="K170" s="8" t="s">
        <v>592</v>
      </c>
      <c r="L170" s="8" t="s">
        <v>355</v>
      </c>
      <c r="M170" s="8" t="s">
        <v>593</v>
      </c>
      <c r="N170" s="8" t="s">
        <v>111</v>
      </c>
      <c r="O170" s="8" t="s">
        <v>111</v>
      </c>
      <c r="P170" s="8" t="s">
        <v>111</v>
      </c>
      <c r="Q170" s="8" t="s">
        <v>111</v>
      </c>
      <c r="R170" s="8"/>
      <c r="S170" s="8" t="s">
        <v>112</v>
      </c>
      <c r="T170" s="8"/>
      <c r="U170" s="8" t="s">
        <v>594</v>
      </c>
    </row>
    <row r="171" spans="1:21" ht="36" x14ac:dyDescent="0.3">
      <c r="A171" s="8" t="s">
        <v>877</v>
      </c>
      <c r="B171" s="10">
        <v>264528</v>
      </c>
      <c r="C171" s="8" t="s">
        <v>177</v>
      </c>
      <c r="D171" s="8" t="s">
        <v>9</v>
      </c>
      <c r="E171" s="8" t="s">
        <v>588</v>
      </c>
      <c r="F171" s="8" t="s">
        <v>384</v>
      </c>
      <c r="G171" s="8" t="s">
        <v>878</v>
      </c>
      <c r="H171" s="8" t="s">
        <v>9</v>
      </c>
      <c r="I171" s="8" t="s">
        <v>621</v>
      </c>
      <c r="J171" s="8" t="s">
        <v>591</v>
      </c>
      <c r="K171" s="8" t="s">
        <v>592</v>
      </c>
      <c r="L171" s="8" t="s">
        <v>355</v>
      </c>
      <c r="M171" s="8" t="s">
        <v>593</v>
      </c>
      <c r="N171" s="8" t="s">
        <v>111</v>
      </c>
      <c r="O171" s="8" t="s">
        <v>111</v>
      </c>
      <c r="P171" s="8" t="s">
        <v>111</v>
      </c>
      <c r="Q171" s="8" t="s">
        <v>111</v>
      </c>
      <c r="R171" s="8"/>
      <c r="S171" s="8" t="s">
        <v>112</v>
      </c>
      <c r="T171" s="8"/>
      <c r="U171" s="8" t="s">
        <v>594</v>
      </c>
    </row>
    <row r="172" spans="1:21" ht="24" x14ac:dyDescent="0.3">
      <c r="A172" s="8" t="s">
        <v>879</v>
      </c>
      <c r="B172" s="10">
        <v>264528</v>
      </c>
      <c r="C172" s="8" t="s">
        <v>177</v>
      </c>
      <c r="D172" s="8" t="s">
        <v>9</v>
      </c>
      <c r="E172" s="8" t="s">
        <v>588</v>
      </c>
      <c r="F172" s="8" t="s">
        <v>384</v>
      </c>
      <c r="G172" s="8" t="s">
        <v>880</v>
      </c>
      <c r="H172" s="8" t="s">
        <v>9</v>
      </c>
      <c r="I172" s="8" t="s">
        <v>625</v>
      </c>
      <c r="J172" s="8" t="s">
        <v>591</v>
      </c>
      <c r="K172" s="8" t="s">
        <v>592</v>
      </c>
      <c r="L172" s="8" t="s">
        <v>355</v>
      </c>
      <c r="M172" s="8" t="s">
        <v>593</v>
      </c>
      <c r="N172" s="8" t="s">
        <v>111</v>
      </c>
      <c r="O172" s="8" t="s">
        <v>111</v>
      </c>
      <c r="P172" s="8" t="s">
        <v>111</v>
      </c>
      <c r="Q172" s="8" t="s">
        <v>111</v>
      </c>
      <c r="R172" s="8"/>
      <c r="S172" s="8" t="s">
        <v>112</v>
      </c>
      <c r="T172" s="8"/>
      <c r="U172" s="8" t="s">
        <v>594</v>
      </c>
    </row>
    <row r="173" spans="1:21" ht="48" x14ac:dyDescent="0.3">
      <c r="A173" s="8" t="s">
        <v>881</v>
      </c>
      <c r="B173" s="10">
        <v>264528</v>
      </c>
      <c r="C173" s="8" t="s">
        <v>177</v>
      </c>
      <c r="D173" s="8" t="s">
        <v>9</v>
      </c>
      <c r="E173" s="8" t="s">
        <v>588</v>
      </c>
      <c r="F173" s="8" t="s">
        <v>384</v>
      </c>
      <c r="G173" s="8" t="s">
        <v>866</v>
      </c>
      <c r="H173" s="8" t="s">
        <v>9</v>
      </c>
      <c r="I173" s="8" t="s">
        <v>882</v>
      </c>
      <c r="J173" s="8" t="s">
        <v>591</v>
      </c>
      <c r="K173" s="8" t="s">
        <v>592</v>
      </c>
      <c r="L173" s="8" t="s">
        <v>355</v>
      </c>
      <c r="M173" s="8" t="s">
        <v>593</v>
      </c>
      <c r="N173" s="8" t="s">
        <v>111</v>
      </c>
      <c r="O173" s="8" t="s">
        <v>111</v>
      </c>
      <c r="P173" s="8" t="s">
        <v>111</v>
      </c>
      <c r="Q173" s="8" t="s">
        <v>111</v>
      </c>
      <c r="R173" s="8"/>
      <c r="S173" s="8" t="s">
        <v>112</v>
      </c>
      <c r="T173" s="8"/>
      <c r="U173" s="8" t="s">
        <v>594</v>
      </c>
    </row>
    <row r="174" spans="1:21" ht="24" x14ac:dyDescent="0.3">
      <c r="A174" s="8" t="s">
        <v>883</v>
      </c>
      <c r="B174" s="10">
        <v>264528</v>
      </c>
      <c r="C174" s="8" t="s">
        <v>177</v>
      </c>
      <c r="D174" s="8" t="s">
        <v>9</v>
      </c>
      <c r="E174" s="8" t="s">
        <v>588</v>
      </c>
      <c r="F174" s="8" t="s">
        <v>384</v>
      </c>
      <c r="G174" s="8" t="s">
        <v>868</v>
      </c>
      <c r="H174" s="8" t="s">
        <v>9</v>
      </c>
      <c r="I174" s="8" t="s">
        <v>355</v>
      </c>
      <c r="J174" s="8" t="s">
        <v>591</v>
      </c>
      <c r="K174" s="8" t="s">
        <v>592</v>
      </c>
      <c r="L174" s="8" t="s">
        <v>355</v>
      </c>
      <c r="M174" s="8" t="s">
        <v>593</v>
      </c>
      <c r="N174" s="8" t="s">
        <v>111</v>
      </c>
      <c r="O174" s="8" t="s">
        <v>111</v>
      </c>
      <c r="P174" s="8" t="s">
        <v>111</v>
      </c>
      <c r="Q174" s="8" t="s">
        <v>111</v>
      </c>
      <c r="R174" s="8"/>
      <c r="S174" s="8" t="s">
        <v>112</v>
      </c>
      <c r="T174" s="8"/>
      <c r="U174" s="8" t="s">
        <v>594</v>
      </c>
    </row>
    <row r="175" spans="1:21" ht="36" x14ac:dyDescent="0.3">
      <c r="A175" s="8" t="s">
        <v>884</v>
      </c>
      <c r="B175" s="10">
        <v>264528</v>
      </c>
      <c r="C175" s="8" t="s">
        <v>177</v>
      </c>
      <c r="D175" s="8" t="s">
        <v>9</v>
      </c>
      <c r="E175" s="8" t="s">
        <v>588</v>
      </c>
      <c r="F175" s="8" t="s">
        <v>384</v>
      </c>
      <c r="G175" s="8" t="s">
        <v>870</v>
      </c>
      <c r="H175" s="8" t="s">
        <v>9</v>
      </c>
      <c r="I175" s="8" t="s">
        <v>355</v>
      </c>
      <c r="J175" s="8" t="s">
        <v>591</v>
      </c>
      <c r="K175" s="8" t="s">
        <v>592</v>
      </c>
      <c r="L175" s="8" t="s">
        <v>355</v>
      </c>
      <c r="M175" s="8" t="s">
        <v>593</v>
      </c>
      <c r="N175" s="8" t="s">
        <v>111</v>
      </c>
      <c r="O175" s="8" t="s">
        <v>111</v>
      </c>
      <c r="P175" s="8" t="s">
        <v>111</v>
      </c>
      <c r="Q175" s="8" t="s">
        <v>111</v>
      </c>
      <c r="R175" s="8"/>
      <c r="S175" s="8" t="s">
        <v>112</v>
      </c>
      <c r="T175" s="8"/>
      <c r="U175" s="8" t="s">
        <v>594</v>
      </c>
    </row>
    <row r="176" spans="1:21" ht="24" x14ac:dyDescent="0.3">
      <c r="A176" s="8" t="s">
        <v>885</v>
      </c>
      <c r="B176" s="10">
        <v>264528</v>
      </c>
      <c r="C176" s="8" t="s">
        <v>177</v>
      </c>
      <c r="D176" s="8" t="s">
        <v>9</v>
      </c>
      <c r="E176" s="8" t="s">
        <v>588</v>
      </c>
      <c r="F176" s="8" t="s">
        <v>384</v>
      </c>
      <c r="G176" s="8" t="s">
        <v>872</v>
      </c>
      <c r="H176" s="8" t="s">
        <v>9</v>
      </c>
      <c r="I176" s="8" t="s">
        <v>355</v>
      </c>
      <c r="J176" s="8" t="s">
        <v>591</v>
      </c>
      <c r="K176" s="8" t="s">
        <v>592</v>
      </c>
      <c r="L176" s="8" t="s">
        <v>355</v>
      </c>
      <c r="M176" s="8" t="s">
        <v>593</v>
      </c>
      <c r="N176" s="8" t="s">
        <v>111</v>
      </c>
      <c r="O176" s="8" t="s">
        <v>111</v>
      </c>
      <c r="P176" s="8" t="s">
        <v>111</v>
      </c>
      <c r="Q176" s="8" t="s">
        <v>111</v>
      </c>
      <c r="R176" s="8"/>
      <c r="S176" s="8" t="s">
        <v>112</v>
      </c>
      <c r="T176" s="8"/>
      <c r="U176" s="8" t="s">
        <v>594</v>
      </c>
    </row>
    <row r="177" spans="1:21" ht="24" x14ac:dyDescent="0.3">
      <c r="A177" s="8" t="s">
        <v>886</v>
      </c>
      <c r="B177" s="10">
        <v>264528</v>
      </c>
      <c r="C177" s="8" t="s">
        <v>177</v>
      </c>
      <c r="D177" s="8" t="s">
        <v>9</v>
      </c>
      <c r="E177" s="8" t="s">
        <v>588</v>
      </c>
      <c r="F177" s="8" t="s">
        <v>384</v>
      </c>
      <c r="G177" s="8" t="s">
        <v>874</v>
      </c>
      <c r="H177" s="8" t="s">
        <v>9</v>
      </c>
      <c r="I177" s="8" t="s">
        <v>355</v>
      </c>
      <c r="J177" s="8" t="s">
        <v>591</v>
      </c>
      <c r="K177" s="8" t="s">
        <v>592</v>
      </c>
      <c r="L177" s="8" t="s">
        <v>355</v>
      </c>
      <c r="M177" s="8" t="s">
        <v>593</v>
      </c>
      <c r="N177" s="8" t="s">
        <v>111</v>
      </c>
      <c r="O177" s="8" t="s">
        <v>111</v>
      </c>
      <c r="P177" s="8" t="s">
        <v>111</v>
      </c>
      <c r="Q177" s="8" t="s">
        <v>111</v>
      </c>
      <c r="R177" s="8"/>
      <c r="S177" s="8" t="s">
        <v>112</v>
      </c>
      <c r="T177" s="8"/>
      <c r="U177" s="8" t="s">
        <v>594</v>
      </c>
    </row>
    <row r="178" spans="1:21" ht="24" x14ac:dyDescent="0.3">
      <c r="A178" s="8" t="s">
        <v>887</v>
      </c>
      <c r="B178" s="10">
        <v>264528</v>
      </c>
      <c r="C178" s="8" t="s">
        <v>177</v>
      </c>
      <c r="D178" s="8" t="s">
        <v>9</v>
      </c>
      <c r="E178" s="8" t="s">
        <v>588</v>
      </c>
      <c r="F178" s="8" t="s">
        <v>384</v>
      </c>
      <c r="G178" s="8" t="s">
        <v>876</v>
      </c>
      <c r="H178" s="8" t="s">
        <v>9</v>
      </c>
      <c r="I178" s="8" t="s">
        <v>355</v>
      </c>
      <c r="J178" s="8" t="s">
        <v>591</v>
      </c>
      <c r="K178" s="8" t="s">
        <v>592</v>
      </c>
      <c r="L178" s="8" t="s">
        <v>355</v>
      </c>
      <c r="M178" s="8" t="s">
        <v>593</v>
      </c>
      <c r="N178" s="8" t="s">
        <v>111</v>
      </c>
      <c r="O178" s="8" t="s">
        <v>111</v>
      </c>
      <c r="P178" s="8" t="s">
        <v>111</v>
      </c>
      <c r="Q178" s="8" t="s">
        <v>111</v>
      </c>
      <c r="R178" s="8"/>
      <c r="S178" s="8" t="s">
        <v>112</v>
      </c>
      <c r="T178" s="8"/>
      <c r="U178" s="8" t="s">
        <v>594</v>
      </c>
    </row>
    <row r="179" spans="1:21" ht="36" x14ac:dyDescent="0.3">
      <c r="A179" s="8" t="s">
        <v>888</v>
      </c>
      <c r="B179" s="10">
        <v>264528</v>
      </c>
      <c r="C179" s="8" t="s">
        <v>177</v>
      </c>
      <c r="D179" s="8" t="s">
        <v>9</v>
      </c>
      <c r="E179" s="8" t="s">
        <v>588</v>
      </c>
      <c r="F179" s="8" t="s">
        <v>384</v>
      </c>
      <c r="G179" s="8" t="s">
        <v>878</v>
      </c>
      <c r="H179" s="8" t="s">
        <v>9</v>
      </c>
      <c r="I179" s="8" t="s">
        <v>355</v>
      </c>
      <c r="J179" s="8" t="s">
        <v>591</v>
      </c>
      <c r="K179" s="8" t="s">
        <v>592</v>
      </c>
      <c r="L179" s="8" t="s">
        <v>355</v>
      </c>
      <c r="M179" s="8" t="s">
        <v>593</v>
      </c>
      <c r="N179" s="8" t="s">
        <v>111</v>
      </c>
      <c r="O179" s="8" t="s">
        <v>111</v>
      </c>
      <c r="P179" s="8" t="s">
        <v>111</v>
      </c>
      <c r="Q179" s="8" t="s">
        <v>111</v>
      </c>
      <c r="R179" s="8"/>
      <c r="S179" s="8" t="s">
        <v>112</v>
      </c>
      <c r="T179" s="8"/>
      <c r="U179" s="8" t="s">
        <v>594</v>
      </c>
    </row>
    <row r="180" spans="1:21" ht="24" x14ac:dyDescent="0.3">
      <c r="A180" s="8" t="s">
        <v>889</v>
      </c>
      <c r="B180" s="10">
        <v>264528</v>
      </c>
      <c r="C180" s="8" t="s">
        <v>177</v>
      </c>
      <c r="D180" s="8" t="s">
        <v>9</v>
      </c>
      <c r="E180" s="8" t="s">
        <v>588</v>
      </c>
      <c r="F180" s="8" t="s">
        <v>384</v>
      </c>
      <c r="G180" s="8" t="s">
        <v>880</v>
      </c>
      <c r="H180" s="8" t="s">
        <v>9</v>
      </c>
      <c r="I180" s="8" t="s">
        <v>355</v>
      </c>
      <c r="J180" s="8" t="s">
        <v>591</v>
      </c>
      <c r="K180" s="8" t="s">
        <v>592</v>
      </c>
      <c r="L180" s="8" t="s">
        <v>355</v>
      </c>
      <c r="M180" s="8" t="s">
        <v>593</v>
      </c>
      <c r="N180" s="8" t="s">
        <v>111</v>
      </c>
      <c r="O180" s="8" t="s">
        <v>111</v>
      </c>
      <c r="P180" s="8" t="s">
        <v>111</v>
      </c>
      <c r="Q180" s="8" t="s">
        <v>111</v>
      </c>
      <c r="R180" s="8"/>
      <c r="S180" s="8" t="s">
        <v>112</v>
      </c>
      <c r="T180" s="8"/>
      <c r="U180" s="8" t="s">
        <v>594</v>
      </c>
    </row>
    <row r="181" spans="1:21" ht="48" x14ac:dyDescent="0.3">
      <c r="A181" s="8" t="s">
        <v>890</v>
      </c>
      <c r="B181" s="10">
        <v>265784</v>
      </c>
      <c r="C181" s="8" t="s">
        <v>179</v>
      </c>
      <c r="D181" s="8" t="s">
        <v>9</v>
      </c>
      <c r="E181" s="8" t="s">
        <v>588</v>
      </c>
      <c r="F181" s="8" t="s">
        <v>384</v>
      </c>
      <c r="G181" s="8" t="s">
        <v>862</v>
      </c>
      <c r="H181" s="8" t="s">
        <v>9</v>
      </c>
      <c r="I181" s="8" t="s">
        <v>590</v>
      </c>
      <c r="J181" s="8" t="s">
        <v>591</v>
      </c>
      <c r="K181" s="8" t="s">
        <v>592</v>
      </c>
      <c r="L181" s="8" t="s">
        <v>891</v>
      </c>
      <c r="M181" s="8" t="s">
        <v>593</v>
      </c>
      <c r="N181" s="8" t="s">
        <v>111</v>
      </c>
      <c r="O181" s="8" t="s">
        <v>111</v>
      </c>
      <c r="P181" s="8" t="s">
        <v>111</v>
      </c>
      <c r="Q181" s="8" t="s">
        <v>111</v>
      </c>
      <c r="R181" s="8"/>
      <c r="S181" s="8" t="s">
        <v>112</v>
      </c>
      <c r="T181" s="8"/>
      <c r="U181" s="8" t="s">
        <v>594</v>
      </c>
    </row>
    <row r="182" spans="1:21" ht="60" x14ac:dyDescent="0.3">
      <c r="A182" s="8" t="s">
        <v>892</v>
      </c>
      <c r="B182" s="10">
        <v>265784</v>
      </c>
      <c r="C182" s="8" t="s">
        <v>179</v>
      </c>
      <c r="D182" s="8" t="s">
        <v>9</v>
      </c>
      <c r="E182" s="8" t="s">
        <v>588</v>
      </c>
      <c r="F182" s="8" t="s">
        <v>384</v>
      </c>
      <c r="G182" s="8" t="s">
        <v>893</v>
      </c>
      <c r="H182" s="8" t="s">
        <v>9</v>
      </c>
      <c r="I182" s="8" t="s">
        <v>603</v>
      </c>
      <c r="J182" s="8" t="s">
        <v>591</v>
      </c>
      <c r="K182" s="8" t="s">
        <v>592</v>
      </c>
      <c r="L182" s="8" t="s">
        <v>355</v>
      </c>
      <c r="M182" s="8" t="s">
        <v>593</v>
      </c>
      <c r="N182" s="8" t="s">
        <v>111</v>
      </c>
      <c r="O182" s="8" t="s">
        <v>111</v>
      </c>
      <c r="P182" s="8" t="s">
        <v>111</v>
      </c>
      <c r="Q182" s="8" t="s">
        <v>111</v>
      </c>
      <c r="R182" s="8"/>
      <c r="S182" s="8" t="s">
        <v>112</v>
      </c>
      <c r="T182" s="8"/>
      <c r="U182" s="8" t="s">
        <v>594</v>
      </c>
    </row>
    <row r="183" spans="1:21" ht="24" x14ac:dyDescent="0.3">
      <c r="A183" s="8" t="s">
        <v>894</v>
      </c>
      <c r="B183" s="10">
        <v>265784</v>
      </c>
      <c r="C183" s="8" t="s">
        <v>179</v>
      </c>
      <c r="D183" s="8" t="s">
        <v>9</v>
      </c>
      <c r="E183" s="8" t="s">
        <v>588</v>
      </c>
      <c r="F183" s="8" t="s">
        <v>384</v>
      </c>
      <c r="G183" s="8" t="s">
        <v>895</v>
      </c>
      <c r="H183" s="8" t="s">
        <v>9</v>
      </c>
      <c r="I183" s="8" t="s">
        <v>601</v>
      </c>
      <c r="J183" s="8" t="s">
        <v>591</v>
      </c>
      <c r="K183" s="8" t="s">
        <v>592</v>
      </c>
      <c r="L183" s="8" t="s">
        <v>355</v>
      </c>
      <c r="M183" s="8" t="s">
        <v>593</v>
      </c>
      <c r="N183" s="8" t="s">
        <v>111</v>
      </c>
      <c r="O183" s="8" t="s">
        <v>111</v>
      </c>
      <c r="P183" s="8" t="s">
        <v>111</v>
      </c>
      <c r="Q183" s="8" t="s">
        <v>111</v>
      </c>
      <c r="R183" s="8"/>
      <c r="S183" s="8" t="s">
        <v>112</v>
      </c>
      <c r="T183" s="8"/>
      <c r="U183" s="8" t="s">
        <v>594</v>
      </c>
    </row>
    <row r="184" spans="1:21" ht="24" x14ac:dyDescent="0.3">
      <c r="A184" s="8" t="s">
        <v>896</v>
      </c>
      <c r="B184" s="10">
        <v>265784</v>
      </c>
      <c r="C184" s="8" t="s">
        <v>179</v>
      </c>
      <c r="D184" s="8" t="s">
        <v>9</v>
      </c>
      <c r="E184" s="8" t="s">
        <v>588</v>
      </c>
      <c r="F184" s="8" t="s">
        <v>384</v>
      </c>
      <c r="G184" s="8" t="s">
        <v>897</v>
      </c>
      <c r="H184" s="8" t="s">
        <v>9</v>
      </c>
      <c r="I184" s="8" t="s">
        <v>355</v>
      </c>
      <c r="J184" s="8" t="s">
        <v>591</v>
      </c>
      <c r="K184" s="8" t="s">
        <v>592</v>
      </c>
      <c r="L184" s="8" t="s">
        <v>355</v>
      </c>
      <c r="M184" s="8" t="s">
        <v>593</v>
      </c>
      <c r="N184" s="8" t="s">
        <v>111</v>
      </c>
      <c r="O184" s="8" t="s">
        <v>111</v>
      </c>
      <c r="P184" s="8" t="s">
        <v>111</v>
      </c>
      <c r="Q184" s="8" t="s">
        <v>111</v>
      </c>
      <c r="R184" s="8"/>
      <c r="S184" s="8" t="s">
        <v>112</v>
      </c>
      <c r="T184" s="8"/>
      <c r="U184" s="8" t="s">
        <v>594</v>
      </c>
    </row>
    <row r="185" spans="1:21" ht="24" x14ac:dyDescent="0.3">
      <c r="A185" s="8" t="s">
        <v>898</v>
      </c>
      <c r="B185" s="10">
        <v>265784</v>
      </c>
      <c r="C185" s="8" t="s">
        <v>179</v>
      </c>
      <c r="D185" s="8" t="s">
        <v>9</v>
      </c>
      <c r="E185" s="8" t="s">
        <v>588</v>
      </c>
      <c r="F185" s="8" t="s">
        <v>384</v>
      </c>
      <c r="G185" s="8" t="s">
        <v>899</v>
      </c>
      <c r="H185" s="8" t="s">
        <v>9</v>
      </c>
      <c r="I185" s="8" t="s">
        <v>355</v>
      </c>
      <c r="J185" s="8" t="s">
        <v>591</v>
      </c>
      <c r="K185" s="8" t="s">
        <v>592</v>
      </c>
      <c r="L185" s="8" t="s">
        <v>355</v>
      </c>
      <c r="M185" s="8" t="s">
        <v>593</v>
      </c>
      <c r="N185" s="8" t="s">
        <v>111</v>
      </c>
      <c r="O185" s="8" t="s">
        <v>111</v>
      </c>
      <c r="P185" s="8" t="s">
        <v>111</v>
      </c>
      <c r="Q185" s="8" t="s">
        <v>111</v>
      </c>
      <c r="R185" s="8"/>
      <c r="S185" s="8" t="s">
        <v>112</v>
      </c>
      <c r="T185" s="8"/>
      <c r="U185" s="8" t="s">
        <v>594</v>
      </c>
    </row>
    <row r="186" spans="1:21" ht="36" x14ac:dyDescent="0.3">
      <c r="A186" s="8" t="s">
        <v>900</v>
      </c>
      <c r="B186" s="10">
        <v>265784</v>
      </c>
      <c r="C186" s="8" t="s">
        <v>179</v>
      </c>
      <c r="D186" s="8" t="s">
        <v>9</v>
      </c>
      <c r="E186" s="8" t="s">
        <v>588</v>
      </c>
      <c r="F186" s="8" t="s">
        <v>384</v>
      </c>
      <c r="G186" s="8" t="s">
        <v>901</v>
      </c>
      <c r="H186" s="8" t="s">
        <v>9</v>
      </c>
      <c r="I186" s="8" t="s">
        <v>355</v>
      </c>
      <c r="J186" s="8" t="s">
        <v>591</v>
      </c>
      <c r="K186" s="8" t="s">
        <v>592</v>
      </c>
      <c r="L186" s="8" t="s">
        <v>355</v>
      </c>
      <c r="M186" s="8" t="s">
        <v>593</v>
      </c>
      <c r="N186" s="8" t="s">
        <v>111</v>
      </c>
      <c r="O186" s="8" t="s">
        <v>111</v>
      </c>
      <c r="P186" s="8" t="s">
        <v>111</v>
      </c>
      <c r="Q186" s="8" t="s">
        <v>111</v>
      </c>
      <c r="R186" s="8"/>
      <c r="S186" s="8" t="s">
        <v>112</v>
      </c>
      <c r="T186" s="8"/>
      <c r="U186" s="8" t="s">
        <v>594</v>
      </c>
    </row>
    <row r="187" spans="1:21" ht="36" x14ac:dyDescent="0.3">
      <c r="A187" s="8" t="s">
        <v>902</v>
      </c>
      <c r="B187" s="10">
        <v>265784</v>
      </c>
      <c r="C187" s="8" t="s">
        <v>179</v>
      </c>
      <c r="D187" s="8" t="s">
        <v>9</v>
      </c>
      <c r="E187" s="8" t="s">
        <v>588</v>
      </c>
      <c r="F187" s="8" t="s">
        <v>384</v>
      </c>
      <c r="G187" s="8" t="s">
        <v>903</v>
      </c>
      <c r="H187" s="8" t="s">
        <v>9</v>
      </c>
      <c r="I187" s="8" t="s">
        <v>355</v>
      </c>
      <c r="J187" s="8" t="s">
        <v>591</v>
      </c>
      <c r="K187" s="8" t="s">
        <v>592</v>
      </c>
      <c r="L187" s="8" t="s">
        <v>355</v>
      </c>
      <c r="M187" s="8" t="s">
        <v>593</v>
      </c>
      <c r="N187" s="8" t="s">
        <v>111</v>
      </c>
      <c r="O187" s="8" t="s">
        <v>111</v>
      </c>
      <c r="P187" s="8" t="s">
        <v>111</v>
      </c>
      <c r="Q187" s="8" t="s">
        <v>111</v>
      </c>
      <c r="R187" s="8"/>
      <c r="S187" s="8" t="s">
        <v>112</v>
      </c>
      <c r="T187" s="8"/>
      <c r="U187" s="8" t="s">
        <v>594</v>
      </c>
    </row>
    <row r="188" spans="1:21" ht="48" x14ac:dyDescent="0.3">
      <c r="A188" s="8" t="s">
        <v>904</v>
      </c>
      <c r="B188" s="10">
        <v>265784</v>
      </c>
      <c r="C188" s="8" t="s">
        <v>179</v>
      </c>
      <c r="D188" s="8" t="s">
        <v>9</v>
      </c>
      <c r="E188" s="8" t="s">
        <v>588</v>
      </c>
      <c r="F188" s="8" t="s">
        <v>384</v>
      </c>
      <c r="G188" s="8" t="s">
        <v>862</v>
      </c>
      <c r="H188" s="8" t="s">
        <v>9</v>
      </c>
      <c r="I188" s="8" t="s">
        <v>355</v>
      </c>
      <c r="J188" s="8" t="s">
        <v>591</v>
      </c>
      <c r="K188" s="8" t="s">
        <v>592</v>
      </c>
      <c r="L188" s="8" t="s">
        <v>891</v>
      </c>
      <c r="M188" s="8" t="s">
        <v>593</v>
      </c>
      <c r="N188" s="8" t="s">
        <v>111</v>
      </c>
      <c r="O188" s="8" t="s">
        <v>111</v>
      </c>
      <c r="P188" s="8" t="s">
        <v>111</v>
      </c>
      <c r="Q188" s="8" t="s">
        <v>111</v>
      </c>
      <c r="R188" s="8"/>
      <c r="S188" s="8" t="s">
        <v>112</v>
      </c>
      <c r="T188" s="8"/>
      <c r="U188" s="8" t="s">
        <v>594</v>
      </c>
    </row>
    <row r="189" spans="1:21" ht="60" x14ac:dyDescent="0.3">
      <c r="A189" s="8" t="s">
        <v>905</v>
      </c>
      <c r="B189" s="10">
        <v>265784</v>
      </c>
      <c r="C189" s="8" t="s">
        <v>179</v>
      </c>
      <c r="D189" s="8" t="s">
        <v>9</v>
      </c>
      <c r="E189" s="8" t="s">
        <v>588</v>
      </c>
      <c r="F189" s="8" t="s">
        <v>384</v>
      </c>
      <c r="G189" s="8" t="s">
        <v>893</v>
      </c>
      <c r="H189" s="8" t="s">
        <v>9</v>
      </c>
      <c r="I189" s="8" t="s">
        <v>355</v>
      </c>
      <c r="J189" s="8" t="s">
        <v>591</v>
      </c>
      <c r="K189" s="8" t="s">
        <v>592</v>
      </c>
      <c r="L189" s="8" t="s">
        <v>355</v>
      </c>
      <c r="M189" s="8" t="s">
        <v>593</v>
      </c>
      <c r="N189" s="8" t="s">
        <v>111</v>
      </c>
      <c r="O189" s="8" t="s">
        <v>111</v>
      </c>
      <c r="P189" s="8" t="s">
        <v>111</v>
      </c>
      <c r="Q189" s="8" t="s">
        <v>111</v>
      </c>
      <c r="R189" s="8"/>
      <c r="S189" s="8" t="s">
        <v>112</v>
      </c>
      <c r="T189" s="8"/>
      <c r="U189" s="8" t="s">
        <v>594</v>
      </c>
    </row>
    <row r="190" spans="1:21" ht="24" x14ac:dyDescent="0.3">
      <c r="A190" s="8" t="s">
        <v>906</v>
      </c>
      <c r="B190" s="10">
        <v>265784</v>
      </c>
      <c r="C190" s="8" t="s">
        <v>179</v>
      </c>
      <c r="D190" s="8" t="s">
        <v>9</v>
      </c>
      <c r="E190" s="8" t="s">
        <v>588</v>
      </c>
      <c r="F190" s="8" t="s">
        <v>384</v>
      </c>
      <c r="G190" s="8" t="s">
        <v>895</v>
      </c>
      <c r="H190" s="8" t="s">
        <v>9</v>
      </c>
      <c r="I190" s="8" t="s">
        <v>355</v>
      </c>
      <c r="J190" s="8" t="s">
        <v>591</v>
      </c>
      <c r="K190" s="8" t="s">
        <v>592</v>
      </c>
      <c r="L190" s="8" t="s">
        <v>355</v>
      </c>
      <c r="M190" s="8" t="s">
        <v>593</v>
      </c>
      <c r="N190" s="8" t="s">
        <v>111</v>
      </c>
      <c r="O190" s="8" t="s">
        <v>111</v>
      </c>
      <c r="P190" s="8" t="s">
        <v>111</v>
      </c>
      <c r="Q190" s="8" t="s">
        <v>111</v>
      </c>
      <c r="R190" s="8"/>
      <c r="S190" s="8" t="s">
        <v>112</v>
      </c>
      <c r="T190" s="8"/>
      <c r="U190" s="8" t="s">
        <v>594</v>
      </c>
    </row>
    <row r="191" spans="1:21" ht="24" x14ac:dyDescent="0.3">
      <c r="A191" s="8" t="s">
        <v>907</v>
      </c>
      <c r="B191" s="10">
        <v>265784</v>
      </c>
      <c r="C191" s="8" t="s">
        <v>179</v>
      </c>
      <c r="D191" s="8" t="s">
        <v>9</v>
      </c>
      <c r="E191" s="8" t="s">
        <v>588</v>
      </c>
      <c r="F191" s="8" t="s">
        <v>384</v>
      </c>
      <c r="G191" s="8" t="s">
        <v>897</v>
      </c>
      <c r="H191" s="8" t="s">
        <v>9</v>
      </c>
      <c r="I191" s="8" t="s">
        <v>617</v>
      </c>
      <c r="J191" s="8" t="s">
        <v>591</v>
      </c>
      <c r="K191" s="8" t="s">
        <v>592</v>
      </c>
      <c r="L191" s="8" t="s">
        <v>355</v>
      </c>
      <c r="M191" s="8" t="s">
        <v>593</v>
      </c>
      <c r="N191" s="8" t="s">
        <v>111</v>
      </c>
      <c r="O191" s="8" t="s">
        <v>111</v>
      </c>
      <c r="P191" s="8" t="s">
        <v>111</v>
      </c>
      <c r="Q191" s="8" t="s">
        <v>111</v>
      </c>
      <c r="R191" s="8"/>
      <c r="S191" s="8" t="s">
        <v>112</v>
      </c>
      <c r="T191" s="8"/>
      <c r="U191" s="8" t="s">
        <v>594</v>
      </c>
    </row>
    <row r="192" spans="1:21" ht="24" x14ac:dyDescent="0.3">
      <c r="A192" s="8" t="s">
        <v>908</v>
      </c>
      <c r="B192" s="10">
        <v>265784</v>
      </c>
      <c r="C192" s="8" t="s">
        <v>179</v>
      </c>
      <c r="D192" s="8" t="s">
        <v>9</v>
      </c>
      <c r="E192" s="8" t="s">
        <v>588</v>
      </c>
      <c r="F192" s="8" t="s">
        <v>384</v>
      </c>
      <c r="G192" s="8" t="s">
        <v>899</v>
      </c>
      <c r="H192" s="8" t="s">
        <v>9</v>
      </c>
      <c r="I192" s="8" t="s">
        <v>623</v>
      </c>
      <c r="J192" s="8" t="s">
        <v>591</v>
      </c>
      <c r="K192" s="8" t="s">
        <v>592</v>
      </c>
      <c r="L192" s="8" t="s">
        <v>355</v>
      </c>
      <c r="M192" s="8" t="s">
        <v>593</v>
      </c>
      <c r="N192" s="8" t="s">
        <v>111</v>
      </c>
      <c r="O192" s="8" t="s">
        <v>111</v>
      </c>
      <c r="P192" s="8" t="s">
        <v>111</v>
      </c>
      <c r="Q192" s="8" t="s">
        <v>111</v>
      </c>
      <c r="R192" s="8"/>
      <c r="S192" s="8" t="s">
        <v>112</v>
      </c>
      <c r="T192" s="8"/>
      <c r="U192" s="8" t="s">
        <v>594</v>
      </c>
    </row>
    <row r="193" spans="1:21" ht="36" x14ac:dyDescent="0.3">
      <c r="A193" s="8" t="s">
        <v>909</v>
      </c>
      <c r="B193" s="10">
        <v>265784</v>
      </c>
      <c r="C193" s="8" t="s">
        <v>179</v>
      </c>
      <c r="D193" s="8" t="s">
        <v>9</v>
      </c>
      <c r="E193" s="8" t="s">
        <v>588</v>
      </c>
      <c r="F193" s="8" t="s">
        <v>384</v>
      </c>
      <c r="G193" s="8" t="s">
        <v>901</v>
      </c>
      <c r="H193" s="8" t="s">
        <v>9</v>
      </c>
      <c r="I193" s="8" t="s">
        <v>619</v>
      </c>
      <c r="J193" s="8" t="s">
        <v>591</v>
      </c>
      <c r="K193" s="8" t="s">
        <v>592</v>
      </c>
      <c r="L193" s="8" t="s">
        <v>355</v>
      </c>
      <c r="M193" s="8" t="s">
        <v>593</v>
      </c>
      <c r="N193" s="8" t="s">
        <v>111</v>
      </c>
      <c r="O193" s="8" t="s">
        <v>111</v>
      </c>
      <c r="P193" s="8" t="s">
        <v>111</v>
      </c>
      <c r="Q193" s="8" t="s">
        <v>111</v>
      </c>
      <c r="R193" s="8"/>
      <c r="S193" s="8" t="s">
        <v>112</v>
      </c>
      <c r="T193" s="8"/>
      <c r="U193" s="8" t="s">
        <v>594</v>
      </c>
    </row>
    <row r="194" spans="1:21" ht="36" x14ac:dyDescent="0.3">
      <c r="A194" s="8" t="s">
        <v>910</v>
      </c>
      <c r="B194" s="10">
        <v>265784</v>
      </c>
      <c r="C194" s="8" t="s">
        <v>179</v>
      </c>
      <c r="D194" s="8" t="s">
        <v>9</v>
      </c>
      <c r="E194" s="8" t="s">
        <v>588</v>
      </c>
      <c r="F194" s="8" t="s">
        <v>384</v>
      </c>
      <c r="G194" s="8" t="s">
        <v>903</v>
      </c>
      <c r="H194" s="8" t="s">
        <v>9</v>
      </c>
      <c r="I194" s="8" t="s">
        <v>621</v>
      </c>
      <c r="J194" s="8" t="s">
        <v>591</v>
      </c>
      <c r="K194" s="8" t="s">
        <v>592</v>
      </c>
      <c r="L194" s="8" t="s">
        <v>355</v>
      </c>
      <c r="M194" s="8" t="s">
        <v>593</v>
      </c>
      <c r="N194" s="8" t="s">
        <v>111</v>
      </c>
      <c r="O194" s="8" t="s">
        <v>111</v>
      </c>
      <c r="P194" s="8" t="s">
        <v>111</v>
      </c>
      <c r="Q194" s="8" t="s">
        <v>111</v>
      </c>
      <c r="R194" s="8"/>
      <c r="S194" s="8" t="s">
        <v>112</v>
      </c>
      <c r="T194" s="8"/>
      <c r="U194" s="8" t="s">
        <v>594</v>
      </c>
    </row>
    <row r="195" spans="1:21" ht="48" x14ac:dyDescent="0.3">
      <c r="A195" s="8" t="s">
        <v>911</v>
      </c>
      <c r="B195" s="10">
        <v>264292</v>
      </c>
      <c r="C195" s="8" t="s">
        <v>181</v>
      </c>
      <c r="D195" s="8" t="s">
        <v>9</v>
      </c>
      <c r="E195" s="8" t="s">
        <v>588</v>
      </c>
      <c r="F195" s="8" t="s">
        <v>384</v>
      </c>
      <c r="G195" s="8" t="s">
        <v>862</v>
      </c>
      <c r="H195" s="8" t="s">
        <v>9</v>
      </c>
      <c r="I195" s="8" t="s">
        <v>590</v>
      </c>
      <c r="J195" s="8" t="s">
        <v>591</v>
      </c>
      <c r="K195" s="8" t="s">
        <v>592</v>
      </c>
      <c r="L195" s="8" t="s">
        <v>912</v>
      </c>
      <c r="M195" s="8" t="s">
        <v>593</v>
      </c>
      <c r="N195" s="8" t="s">
        <v>111</v>
      </c>
      <c r="O195" s="8" t="s">
        <v>111</v>
      </c>
      <c r="P195" s="8" t="s">
        <v>111</v>
      </c>
      <c r="Q195" s="8" t="s">
        <v>111</v>
      </c>
      <c r="R195" s="8"/>
      <c r="S195" s="8" t="s">
        <v>112</v>
      </c>
      <c r="T195" s="8"/>
      <c r="U195" s="8" t="s">
        <v>594</v>
      </c>
    </row>
    <row r="196" spans="1:21" ht="60" x14ac:dyDescent="0.3">
      <c r="A196" s="8" t="s">
        <v>913</v>
      </c>
      <c r="B196" s="10">
        <v>264292</v>
      </c>
      <c r="C196" s="8" t="s">
        <v>181</v>
      </c>
      <c r="D196" s="8" t="s">
        <v>9</v>
      </c>
      <c r="E196" s="8" t="s">
        <v>588</v>
      </c>
      <c r="F196" s="8" t="s">
        <v>384</v>
      </c>
      <c r="G196" s="8" t="s">
        <v>914</v>
      </c>
      <c r="H196" s="8" t="s">
        <v>9</v>
      </c>
      <c r="I196" s="8" t="s">
        <v>603</v>
      </c>
      <c r="J196" s="8" t="s">
        <v>591</v>
      </c>
      <c r="K196" s="8" t="s">
        <v>592</v>
      </c>
      <c r="L196" s="8" t="s">
        <v>355</v>
      </c>
      <c r="M196" s="8" t="s">
        <v>593</v>
      </c>
      <c r="N196" s="8" t="s">
        <v>111</v>
      </c>
      <c r="O196" s="8" t="s">
        <v>111</v>
      </c>
      <c r="P196" s="8" t="s">
        <v>111</v>
      </c>
      <c r="Q196" s="8" t="s">
        <v>111</v>
      </c>
      <c r="R196" s="8"/>
      <c r="S196" s="8" t="s">
        <v>112</v>
      </c>
      <c r="T196" s="8"/>
      <c r="U196" s="8" t="s">
        <v>594</v>
      </c>
    </row>
    <row r="197" spans="1:21" ht="60" x14ac:dyDescent="0.3">
      <c r="A197" s="8" t="s">
        <v>915</v>
      </c>
      <c r="B197" s="10">
        <v>264292</v>
      </c>
      <c r="C197" s="8" t="s">
        <v>181</v>
      </c>
      <c r="D197" s="8" t="s">
        <v>9</v>
      </c>
      <c r="E197" s="8" t="s">
        <v>588</v>
      </c>
      <c r="F197" s="8" t="s">
        <v>384</v>
      </c>
      <c r="G197" s="8" t="s">
        <v>916</v>
      </c>
      <c r="H197" s="8" t="s">
        <v>9</v>
      </c>
      <c r="I197" s="8" t="s">
        <v>601</v>
      </c>
      <c r="J197" s="8" t="s">
        <v>591</v>
      </c>
      <c r="K197" s="8" t="s">
        <v>592</v>
      </c>
      <c r="L197" s="8" t="s">
        <v>355</v>
      </c>
      <c r="M197" s="8" t="s">
        <v>593</v>
      </c>
      <c r="N197" s="8" t="s">
        <v>111</v>
      </c>
      <c r="O197" s="8" t="s">
        <v>111</v>
      </c>
      <c r="P197" s="8" t="s">
        <v>111</v>
      </c>
      <c r="Q197" s="8" t="s">
        <v>111</v>
      </c>
      <c r="R197" s="8"/>
      <c r="S197" s="8" t="s">
        <v>112</v>
      </c>
      <c r="T197" s="8"/>
      <c r="U197" s="8" t="s">
        <v>594</v>
      </c>
    </row>
    <row r="198" spans="1:21" ht="60" x14ac:dyDescent="0.3">
      <c r="A198" s="8" t="s">
        <v>917</v>
      </c>
      <c r="B198" s="10">
        <v>264292</v>
      </c>
      <c r="C198" s="8" t="s">
        <v>181</v>
      </c>
      <c r="D198" s="8" t="s">
        <v>9</v>
      </c>
      <c r="E198" s="8" t="s">
        <v>588</v>
      </c>
      <c r="F198" s="8" t="s">
        <v>384</v>
      </c>
      <c r="G198" s="8" t="s">
        <v>918</v>
      </c>
      <c r="H198" s="8" t="s">
        <v>9</v>
      </c>
      <c r="I198" s="8" t="s">
        <v>617</v>
      </c>
      <c r="J198" s="8" t="s">
        <v>591</v>
      </c>
      <c r="K198" s="8" t="s">
        <v>592</v>
      </c>
      <c r="L198" s="8" t="s">
        <v>355</v>
      </c>
      <c r="M198" s="8" t="s">
        <v>593</v>
      </c>
      <c r="N198" s="8" t="s">
        <v>111</v>
      </c>
      <c r="O198" s="8" t="s">
        <v>111</v>
      </c>
      <c r="P198" s="8" t="s">
        <v>111</v>
      </c>
      <c r="Q198" s="8" t="s">
        <v>111</v>
      </c>
      <c r="R198" s="8"/>
      <c r="S198" s="8" t="s">
        <v>112</v>
      </c>
      <c r="T198" s="8"/>
      <c r="U198" s="8" t="s">
        <v>594</v>
      </c>
    </row>
    <row r="199" spans="1:21" ht="60" x14ac:dyDescent="0.3">
      <c r="A199" s="8" t="s">
        <v>919</v>
      </c>
      <c r="B199" s="10">
        <v>264292</v>
      </c>
      <c r="C199" s="8" t="s">
        <v>181</v>
      </c>
      <c r="D199" s="8" t="s">
        <v>9</v>
      </c>
      <c r="E199" s="8" t="s">
        <v>588</v>
      </c>
      <c r="F199" s="8" t="s">
        <v>384</v>
      </c>
      <c r="G199" s="8" t="s">
        <v>920</v>
      </c>
      <c r="H199" s="8" t="s">
        <v>9</v>
      </c>
      <c r="I199" s="8" t="s">
        <v>623</v>
      </c>
      <c r="J199" s="8" t="s">
        <v>591</v>
      </c>
      <c r="K199" s="8" t="s">
        <v>592</v>
      </c>
      <c r="L199" s="8" t="s">
        <v>355</v>
      </c>
      <c r="M199" s="8" t="s">
        <v>593</v>
      </c>
      <c r="N199" s="8" t="s">
        <v>111</v>
      </c>
      <c r="O199" s="8" t="s">
        <v>111</v>
      </c>
      <c r="P199" s="8" t="s">
        <v>111</v>
      </c>
      <c r="Q199" s="8" t="s">
        <v>111</v>
      </c>
      <c r="R199" s="8"/>
      <c r="S199" s="8" t="s">
        <v>112</v>
      </c>
      <c r="T199" s="8"/>
      <c r="U199" s="8" t="s">
        <v>594</v>
      </c>
    </row>
    <row r="200" spans="1:21" ht="60" x14ac:dyDescent="0.3">
      <c r="A200" s="8" t="s">
        <v>921</v>
      </c>
      <c r="B200" s="10">
        <v>264292</v>
      </c>
      <c r="C200" s="8" t="s">
        <v>181</v>
      </c>
      <c r="D200" s="8" t="s">
        <v>9</v>
      </c>
      <c r="E200" s="8" t="s">
        <v>588</v>
      </c>
      <c r="F200" s="8" t="s">
        <v>384</v>
      </c>
      <c r="G200" s="8" t="s">
        <v>922</v>
      </c>
      <c r="H200" s="8" t="s">
        <v>9</v>
      </c>
      <c r="I200" s="8" t="s">
        <v>619</v>
      </c>
      <c r="J200" s="8" t="s">
        <v>591</v>
      </c>
      <c r="K200" s="8" t="s">
        <v>592</v>
      </c>
      <c r="L200" s="8" t="s">
        <v>355</v>
      </c>
      <c r="M200" s="8" t="s">
        <v>593</v>
      </c>
      <c r="N200" s="8" t="s">
        <v>111</v>
      </c>
      <c r="O200" s="8" t="s">
        <v>111</v>
      </c>
      <c r="P200" s="8" t="s">
        <v>111</v>
      </c>
      <c r="Q200" s="8" t="s">
        <v>111</v>
      </c>
      <c r="R200" s="8"/>
      <c r="S200" s="8" t="s">
        <v>112</v>
      </c>
      <c r="T200" s="8"/>
      <c r="U200" s="8" t="s">
        <v>594</v>
      </c>
    </row>
    <row r="201" spans="1:21" ht="36" x14ac:dyDescent="0.3">
      <c r="A201" s="8" t="s">
        <v>923</v>
      </c>
      <c r="B201" s="10">
        <v>264292</v>
      </c>
      <c r="C201" s="8" t="s">
        <v>181</v>
      </c>
      <c r="D201" s="8" t="s">
        <v>9</v>
      </c>
      <c r="E201" s="8" t="s">
        <v>588</v>
      </c>
      <c r="F201" s="8" t="s">
        <v>384</v>
      </c>
      <c r="G201" s="8" t="s">
        <v>924</v>
      </c>
      <c r="H201" s="8" t="s">
        <v>9</v>
      </c>
      <c r="I201" s="8" t="s">
        <v>621</v>
      </c>
      <c r="J201" s="8" t="s">
        <v>591</v>
      </c>
      <c r="K201" s="8" t="s">
        <v>592</v>
      </c>
      <c r="L201" s="8" t="s">
        <v>355</v>
      </c>
      <c r="M201" s="8" t="s">
        <v>593</v>
      </c>
      <c r="N201" s="8" t="s">
        <v>111</v>
      </c>
      <c r="O201" s="8" t="s">
        <v>111</v>
      </c>
      <c r="P201" s="8" t="s">
        <v>111</v>
      </c>
      <c r="Q201" s="8" t="s">
        <v>111</v>
      </c>
      <c r="R201" s="8"/>
      <c r="S201" s="8" t="s">
        <v>112</v>
      </c>
      <c r="T201" s="8"/>
      <c r="U201" s="8" t="s">
        <v>594</v>
      </c>
    </row>
    <row r="202" spans="1:21" ht="36" x14ac:dyDescent="0.3">
      <c r="A202" s="8" t="s">
        <v>925</v>
      </c>
      <c r="B202" s="10">
        <v>264292</v>
      </c>
      <c r="C202" s="8" t="s">
        <v>181</v>
      </c>
      <c r="D202" s="8" t="s">
        <v>9</v>
      </c>
      <c r="E202" s="8" t="s">
        <v>588</v>
      </c>
      <c r="F202" s="8" t="s">
        <v>384</v>
      </c>
      <c r="G202" s="8" t="s">
        <v>926</v>
      </c>
      <c r="H202" s="8" t="s">
        <v>9</v>
      </c>
      <c r="I202" s="8" t="s">
        <v>625</v>
      </c>
      <c r="J202" s="8" t="s">
        <v>591</v>
      </c>
      <c r="K202" s="8" t="s">
        <v>592</v>
      </c>
      <c r="L202" s="8" t="s">
        <v>355</v>
      </c>
      <c r="M202" s="8" t="s">
        <v>593</v>
      </c>
      <c r="N202" s="8" t="s">
        <v>111</v>
      </c>
      <c r="O202" s="8" t="s">
        <v>111</v>
      </c>
      <c r="P202" s="8" t="s">
        <v>111</v>
      </c>
      <c r="Q202" s="8" t="s">
        <v>111</v>
      </c>
      <c r="R202" s="8"/>
      <c r="S202" s="8" t="s">
        <v>112</v>
      </c>
      <c r="T202" s="8"/>
      <c r="U202" s="8" t="s">
        <v>594</v>
      </c>
    </row>
    <row r="203" spans="1:21" ht="36" x14ac:dyDescent="0.3">
      <c r="A203" s="8" t="s">
        <v>927</v>
      </c>
      <c r="B203" s="10">
        <v>264292</v>
      </c>
      <c r="C203" s="8" t="s">
        <v>181</v>
      </c>
      <c r="D203" s="8" t="s">
        <v>9</v>
      </c>
      <c r="E203" s="8" t="s">
        <v>588</v>
      </c>
      <c r="F203" s="8" t="s">
        <v>384</v>
      </c>
      <c r="G203" s="8" t="s">
        <v>928</v>
      </c>
      <c r="H203" s="8" t="s">
        <v>9</v>
      </c>
      <c r="I203" s="8" t="s">
        <v>882</v>
      </c>
      <c r="J203" s="8" t="s">
        <v>591</v>
      </c>
      <c r="K203" s="8" t="s">
        <v>592</v>
      </c>
      <c r="L203" s="8" t="s">
        <v>355</v>
      </c>
      <c r="M203" s="8" t="s">
        <v>593</v>
      </c>
      <c r="N203" s="8" t="s">
        <v>111</v>
      </c>
      <c r="O203" s="8" t="s">
        <v>111</v>
      </c>
      <c r="P203" s="8" t="s">
        <v>111</v>
      </c>
      <c r="Q203" s="8" t="s">
        <v>111</v>
      </c>
      <c r="R203" s="8"/>
      <c r="S203" s="8" t="s">
        <v>112</v>
      </c>
      <c r="T203" s="8"/>
      <c r="U203" s="8" t="s">
        <v>594</v>
      </c>
    </row>
    <row r="204" spans="1:21" ht="36" x14ac:dyDescent="0.3">
      <c r="A204" s="8" t="s">
        <v>929</v>
      </c>
      <c r="B204" s="10">
        <v>264292</v>
      </c>
      <c r="C204" s="8" t="s">
        <v>181</v>
      </c>
      <c r="D204" s="8" t="s">
        <v>9</v>
      </c>
      <c r="E204" s="8" t="s">
        <v>588</v>
      </c>
      <c r="F204" s="8" t="s">
        <v>384</v>
      </c>
      <c r="G204" s="8" t="s">
        <v>930</v>
      </c>
      <c r="H204" s="8" t="s">
        <v>9</v>
      </c>
      <c r="I204" s="8" t="s">
        <v>931</v>
      </c>
      <c r="J204" s="8" t="s">
        <v>591</v>
      </c>
      <c r="K204" s="8" t="s">
        <v>592</v>
      </c>
      <c r="L204" s="8" t="s">
        <v>355</v>
      </c>
      <c r="M204" s="8" t="s">
        <v>593</v>
      </c>
      <c r="N204" s="8" t="s">
        <v>111</v>
      </c>
      <c r="O204" s="8" t="s">
        <v>111</v>
      </c>
      <c r="P204" s="8" t="s">
        <v>111</v>
      </c>
      <c r="Q204" s="8" t="s">
        <v>111</v>
      </c>
      <c r="R204" s="8"/>
      <c r="S204" s="8" t="s">
        <v>112</v>
      </c>
      <c r="T204" s="8"/>
      <c r="U204" s="8" t="s">
        <v>594</v>
      </c>
    </row>
    <row r="205" spans="1:21" ht="24" x14ac:dyDescent="0.3">
      <c r="A205" s="8" t="s">
        <v>932</v>
      </c>
      <c r="B205" s="10">
        <v>264292</v>
      </c>
      <c r="C205" s="8" t="s">
        <v>181</v>
      </c>
      <c r="D205" s="8" t="s">
        <v>9</v>
      </c>
      <c r="E205" s="8" t="s">
        <v>588</v>
      </c>
      <c r="F205" s="8" t="s">
        <v>384</v>
      </c>
      <c r="G205" s="8" t="s">
        <v>933</v>
      </c>
      <c r="H205" s="8" t="s">
        <v>9</v>
      </c>
      <c r="I205" s="8" t="s">
        <v>934</v>
      </c>
      <c r="J205" s="8" t="s">
        <v>591</v>
      </c>
      <c r="K205" s="8" t="s">
        <v>592</v>
      </c>
      <c r="L205" s="8" t="s">
        <v>355</v>
      </c>
      <c r="M205" s="8" t="s">
        <v>593</v>
      </c>
      <c r="N205" s="8" t="s">
        <v>111</v>
      </c>
      <c r="O205" s="8" t="s">
        <v>111</v>
      </c>
      <c r="P205" s="8" t="s">
        <v>111</v>
      </c>
      <c r="Q205" s="8" t="s">
        <v>111</v>
      </c>
      <c r="R205" s="8"/>
      <c r="S205" s="8" t="s">
        <v>112</v>
      </c>
      <c r="T205" s="8"/>
      <c r="U205" s="8" t="s">
        <v>594</v>
      </c>
    </row>
    <row r="206" spans="1:21" ht="48" x14ac:dyDescent="0.3">
      <c r="A206" s="8" t="s">
        <v>935</v>
      </c>
      <c r="B206" s="10">
        <v>264292</v>
      </c>
      <c r="C206" s="8" t="s">
        <v>181</v>
      </c>
      <c r="D206" s="8" t="s">
        <v>9</v>
      </c>
      <c r="E206" s="8" t="s">
        <v>588</v>
      </c>
      <c r="F206" s="8" t="s">
        <v>384</v>
      </c>
      <c r="G206" s="8" t="s">
        <v>936</v>
      </c>
      <c r="H206" s="8" t="s">
        <v>9</v>
      </c>
      <c r="I206" s="8" t="s">
        <v>355</v>
      </c>
      <c r="J206" s="8" t="s">
        <v>591</v>
      </c>
      <c r="K206" s="8" t="s">
        <v>592</v>
      </c>
      <c r="L206" s="8" t="s">
        <v>355</v>
      </c>
      <c r="M206" s="8" t="s">
        <v>593</v>
      </c>
      <c r="N206" s="8" t="s">
        <v>111</v>
      </c>
      <c r="O206" s="8" t="s">
        <v>111</v>
      </c>
      <c r="P206" s="8" t="s">
        <v>111</v>
      </c>
      <c r="Q206" s="8" t="s">
        <v>111</v>
      </c>
      <c r="R206" s="8"/>
      <c r="S206" s="8" t="s">
        <v>112</v>
      </c>
      <c r="T206" s="8"/>
      <c r="U206" s="8" t="s">
        <v>594</v>
      </c>
    </row>
    <row r="207" spans="1:21" ht="60" x14ac:dyDescent="0.3">
      <c r="A207" s="8" t="s">
        <v>937</v>
      </c>
      <c r="B207" s="10">
        <v>264292</v>
      </c>
      <c r="C207" s="8" t="s">
        <v>181</v>
      </c>
      <c r="D207" s="8" t="s">
        <v>9</v>
      </c>
      <c r="E207" s="8" t="s">
        <v>588</v>
      </c>
      <c r="F207" s="8" t="s">
        <v>384</v>
      </c>
      <c r="G207" s="8" t="s">
        <v>938</v>
      </c>
      <c r="H207" s="8" t="s">
        <v>9</v>
      </c>
      <c r="I207" s="8" t="s">
        <v>355</v>
      </c>
      <c r="J207" s="8" t="s">
        <v>591</v>
      </c>
      <c r="K207" s="8" t="s">
        <v>592</v>
      </c>
      <c r="L207" s="8" t="s">
        <v>355</v>
      </c>
      <c r="M207" s="8" t="s">
        <v>593</v>
      </c>
      <c r="N207" s="8" t="s">
        <v>111</v>
      </c>
      <c r="O207" s="8" t="s">
        <v>111</v>
      </c>
      <c r="P207" s="8" t="s">
        <v>111</v>
      </c>
      <c r="Q207" s="8" t="s">
        <v>111</v>
      </c>
      <c r="R207" s="8"/>
      <c r="S207" s="8" t="s">
        <v>112</v>
      </c>
      <c r="T207" s="8"/>
      <c r="U207" s="8" t="s">
        <v>594</v>
      </c>
    </row>
    <row r="208" spans="1:21" ht="36" x14ac:dyDescent="0.3">
      <c r="A208" s="8" t="s">
        <v>939</v>
      </c>
      <c r="B208" s="10">
        <v>264292</v>
      </c>
      <c r="C208" s="8" t="s">
        <v>181</v>
      </c>
      <c r="D208" s="8" t="s">
        <v>9</v>
      </c>
      <c r="E208" s="8" t="s">
        <v>588</v>
      </c>
      <c r="F208" s="8" t="s">
        <v>384</v>
      </c>
      <c r="G208" s="8" t="s">
        <v>940</v>
      </c>
      <c r="H208" s="8" t="s">
        <v>9</v>
      </c>
      <c r="I208" s="8" t="s">
        <v>355</v>
      </c>
      <c r="J208" s="8" t="s">
        <v>591</v>
      </c>
      <c r="K208" s="8" t="s">
        <v>592</v>
      </c>
      <c r="L208" s="8" t="s">
        <v>355</v>
      </c>
      <c r="M208" s="8" t="s">
        <v>593</v>
      </c>
      <c r="N208" s="8" t="s">
        <v>111</v>
      </c>
      <c r="O208" s="8" t="s">
        <v>111</v>
      </c>
      <c r="P208" s="8" t="s">
        <v>111</v>
      </c>
      <c r="Q208" s="8" t="s">
        <v>111</v>
      </c>
      <c r="R208" s="8"/>
      <c r="S208" s="8" t="s">
        <v>112</v>
      </c>
      <c r="T208" s="8"/>
      <c r="U208" s="8" t="s">
        <v>594</v>
      </c>
    </row>
    <row r="209" spans="1:21" ht="36" x14ac:dyDescent="0.3">
      <c r="A209" s="8" t="s">
        <v>941</v>
      </c>
      <c r="B209" s="10">
        <v>264292</v>
      </c>
      <c r="C209" s="8" t="s">
        <v>181</v>
      </c>
      <c r="D209" s="8" t="s">
        <v>9</v>
      </c>
      <c r="E209" s="8" t="s">
        <v>588</v>
      </c>
      <c r="F209" s="8" t="s">
        <v>384</v>
      </c>
      <c r="G209" s="8" t="s">
        <v>942</v>
      </c>
      <c r="H209" s="8" t="s">
        <v>9</v>
      </c>
      <c r="I209" s="8" t="s">
        <v>355</v>
      </c>
      <c r="J209" s="8" t="s">
        <v>591</v>
      </c>
      <c r="K209" s="8" t="s">
        <v>592</v>
      </c>
      <c r="L209" s="8" t="s">
        <v>355</v>
      </c>
      <c r="M209" s="8" t="s">
        <v>593</v>
      </c>
      <c r="N209" s="8" t="s">
        <v>111</v>
      </c>
      <c r="O209" s="8" t="s">
        <v>111</v>
      </c>
      <c r="P209" s="8" t="s">
        <v>111</v>
      </c>
      <c r="Q209" s="8" t="s">
        <v>111</v>
      </c>
      <c r="R209" s="8"/>
      <c r="S209" s="8" t="s">
        <v>112</v>
      </c>
      <c r="T209" s="8"/>
      <c r="U209" s="8" t="s">
        <v>594</v>
      </c>
    </row>
    <row r="210" spans="1:21" ht="48" x14ac:dyDescent="0.3">
      <c r="A210" s="8" t="s">
        <v>943</v>
      </c>
      <c r="B210" s="10">
        <v>264292</v>
      </c>
      <c r="C210" s="8" t="s">
        <v>181</v>
      </c>
      <c r="D210" s="8" t="s">
        <v>9</v>
      </c>
      <c r="E210" s="8" t="s">
        <v>588</v>
      </c>
      <c r="F210" s="8" t="s">
        <v>384</v>
      </c>
      <c r="G210" s="8" t="s">
        <v>862</v>
      </c>
      <c r="H210" s="8" t="s">
        <v>9</v>
      </c>
      <c r="I210" s="8" t="s">
        <v>944</v>
      </c>
      <c r="J210" s="8" t="s">
        <v>591</v>
      </c>
      <c r="K210" s="8" t="s">
        <v>592</v>
      </c>
      <c r="L210" s="8" t="s">
        <v>912</v>
      </c>
      <c r="M210" s="8" t="s">
        <v>593</v>
      </c>
      <c r="N210" s="8" t="s">
        <v>111</v>
      </c>
      <c r="O210" s="8" t="s">
        <v>111</v>
      </c>
      <c r="P210" s="8" t="s">
        <v>111</v>
      </c>
      <c r="Q210" s="8" t="s">
        <v>111</v>
      </c>
      <c r="R210" s="8"/>
      <c r="S210" s="8" t="s">
        <v>112</v>
      </c>
      <c r="T210" s="8"/>
      <c r="U210" s="8" t="s">
        <v>594</v>
      </c>
    </row>
    <row r="211" spans="1:21" ht="60" x14ac:dyDescent="0.3">
      <c r="A211" s="8" t="s">
        <v>945</v>
      </c>
      <c r="B211" s="10">
        <v>264292</v>
      </c>
      <c r="C211" s="8" t="s">
        <v>181</v>
      </c>
      <c r="D211" s="8" t="s">
        <v>9</v>
      </c>
      <c r="E211" s="8" t="s">
        <v>588</v>
      </c>
      <c r="F211" s="8" t="s">
        <v>384</v>
      </c>
      <c r="G211" s="8" t="s">
        <v>914</v>
      </c>
      <c r="H211" s="8" t="s">
        <v>9</v>
      </c>
      <c r="I211" s="8" t="s">
        <v>355</v>
      </c>
      <c r="J211" s="8" t="s">
        <v>591</v>
      </c>
      <c r="K211" s="8" t="s">
        <v>592</v>
      </c>
      <c r="L211" s="8" t="s">
        <v>355</v>
      </c>
      <c r="M211" s="8" t="s">
        <v>593</v>
      </c>
      <c r="N211" s="8" t="s">
        <v>111</v>
      </c>
      <c r="O211" s="8" t="s">
        <v>111</v>
      </c>
      <c r="P211" s="8" t="s">
        <v>111</v>
      </c>
      <c r="Q211" s="8" t="s">
        <v>111</v>
      </c>
      <c r="R211" s="8"/>
      <c r="S211" s="8" t="s">
        <v>112</v>
      </c>
      <c r="T211" s="8"/>
      <c r="U211" s="8" t="s">
        <v>594</v>
      </c>
    </row>
    <row r="212" spans="1:21" ht="60" x14ac:dyDescent="0.3">
      <c r="A212" s="8" t="s">
        <v>946</v>
      </c>
      <c r="B212" s="10">
        <v>264292</v>
      </c>
      <c r="C212" s="8" t="s">
        <v>181</v>
      </c>
      <c r="D212" s="8" t="s">
        <v>9</v>
      </c>
      <c r="E212" s="8" t="s">
        <v>588</v>
      </c>
      <c r="F212" s="8" t="s">
        <v>384</v>
      </c>
      <c r="G212" s="8" t="s">
        <v>916</v>
      </c>
      <c r="H212" s="8" t="s">
        <v>9</v>
      </c>
      <c r="I212" s="8" t="s">
        <v>355</v>
      </c>
      <c r="J212" s="8" t="s">
        <v>591</v>
      </c>
      <c r="K212" s="8" t="s">
        <v>592</v>
      </c>
      <c r="L212" s="8" t="s">
        <v>355</v>
      </c>
      <c r="M212" s="8" t="s">
        <v>593</v>
      </c>
      <c r="N212" s="8" t="s">
        <v>111</v>
      </c>
      <c r="O212" s="8" t="s">
        <v>111</v>
      </c>
      <c r="P212" s="8" t="s">
        <v>111</v>
      </c>
      <c r="Q212" s="8" t="s">
        <v>111</v>
      </c>
      <c r="R212" s="8"/>
      <c r="S212" s="8" t="s">
        <v>112</v>
      </c>
      <c r="T212" s="8"/>
      <c r="U212" s="8" t="s">
        <v>594</v>
      </c>
    </row>
    <row r="213" spans="1:21" ht="60" x14ac:dyDescent="0.3">
      <c r="A213" s="8" t="s">
        <v>947</v>
      </c>
      <c r="B213" s="10">
        <v>264292</v>
      </c>
      <c r="C213" s="8" t="s">
        <v>181</v>
      </c>
      <c r="D213" s="8" t="s">
        <v>9</v>
      </c>
      <c r="E213" s="8" t="s">
        <v>588</v>
      </c>
      <c r="F213" s="8" t="s">
        <v>384</v>
      </c>
      <c r="G213" s="8" t="s">
        <v>918</v>
      </c>
      <c r="H213" s="8" t="s">
        <v>9</v>
      </c>
      <c r="I213" s="8" t="s">
        <v>355</v>
      </c>
      <c r="J213" s="8" t="s">
        <v>591</v>
      </c>
      <c r="K213" s="8" t="s">
        <v>592</v>
      </c>
      <c r="L213" s="8" t="s">
        <v>355</v>
      </c>
      <c r="M213" s="8" t="s">
        <v>593</v>
      </c>
      <c r="N213" s="8" t="s">
        <v>111</v>
      </c>
      <c r="O213" s="8" t="s">
        <v>111</v>
      </c>
      <c r="P213" s="8" t="s">
        <v>111</v>
      </c>
      <c r="Q213" s="8" t="s">
        <v>111</v>
      </c>
      <c r="R213" s="8"/>
      <c r="S213" s="8" t="s">
        <v>112</v>
      </c>
      <c r="T213" s="8"/>
      <c r="U213" s="8" t="s">
        <v>594</v>
      </c>
    </row>
    <row r="214" spans="1:21" ht="60" x14ac:dyDescent="0.3">
      <c r="A214" s="8" t="s">
        <v>948</v>
      </c>
      <c r="B214" s="10">
        <v>264292</v>
      </c>
      <c r="C214" s="8" t="s">
        <v>181</v>
      </c>
      <c r="D214" s="8" t="s">
        <v>9</v>
      </c>
      <c r="E214" s="8" t="s">
        <v>588</v>
      </c>
      <c r="F214" s="8" t="s">
        <v>384</v>
      </c>
      <c r="G214" s="8" t="s">
        <v>920</v>
      </c>
      <c r="H214" s="8" t="s">
        <v>9</v>
      </c>
      <c r="I214" s="8" t="s">
        <v>355</v>
      </c>
      <c r="J214" s="8" t="s">
        <v>591</v>
      </c>
      <c r="K214" s="8" t="s">
        <v>592</v>
      </c>
      <c r="L214" s="8" t="s">
        <v>355</v>
      </c>
      <c r="M214" s="8" t="s">
        <v>593</v>
      </c>
      <c r="N214" s="8" t="s">
        <v>111</v>
      </c>
      <c r="O214" s="8" t="s">
        <v>111</v>
      </c>
      <c r="P214" s="8" t="s">
        <v>111</v>
      </c>
      <c r="Q214" s="8" t="s">
        <v>111</v>
      </c>
      <c r="R214" s="8"/>
      <c r="S214" s="8" t="s">
        <v>112</v>
      </c>
      <c r="T214" s="8"/>
      <c r="U214" s="8" t="s">
        <v>594</v>
      </c>
    </row>
    <row r="215" spans="1:21" ht="60" x14ac:dyDescent="0.3">
      <c r="A215" s="8" t="s">
        <v>949</v>
      </c>
      <c r="B215" s="10">
        <v>264292</v>
      </c>
      <c r="C215" s="8" t="s">
        <v>181</v>
      </c>
      <c r="D215" s="8" t="s">
        <v>9</v>
      </c>
      <c r="E215" s="8" t="s">
        <v>588</v>
      </c>
      <c r="F215" s="8" t="s">
        <v>384</v>
      </c>
      <c r="G215" s="8" t="s">
        <v>922</v>
      </c>
      <c r="H215" s="8" t="s">
        <v>9</v>
      </c>
      <c r="I215" s="8" t="s">
        <v>355</v>
      </c>
      <c r="J215" s="8" t="s">
        <v>591</v>
      </c>
      <c r="K215" s="8" t="s">
        <v>592</v>
      </c>
      <c r="L215" s="8" t="s">
        <v>355</v>
      </c>
      <c r="M215" s="8" t="s">
        <v>593</v>
      </c>
      <c r="N215" s="8" t="s">
        <v>111</v>
      </c>
      <c r="O215" s="8" t="s">
        <v>111</v>
      </c>
      <c r="P215" s="8" t="s">
        <v>111</v>
      </c>
      <c r="Q215" s="8" t="s">
        <v>111</v>
      </c>
      <c r="R215" s="8"/>
      <c r="S215" s="8" t="s">
        <v>112</v>
      </c>
      <c r="T215" s="8"/>
      <c r="U215" s="8" t="s">
        <v>594</v>
      </c>
    </row>
    <row r="216" spans="1:21" ht="36" x14ac:dyDescent="0.3">
      <c r="A216" s="8" t="s">
        <v>950</v>
      </c>
      <c r="B216" s="10">
        <v>264292</v>
      </c>
      <c r="C216" s="8" t="s">
        <v>181</v>
      </c>
      <c r="D216" s="8" t="s">
        <v>9</v>
      </c>
      <c r="E216" s="8" t="s">
        <v>588</v>
      </c>
      <c r="F216" s="8" t="s">
        <v>384</v>
      </c>
      <c r="G216" s="8" t="s">
        <v>924</v>
      </c>
      <c r="H216" s="8" t="s">
        <v>9</v>
      </c>
      <c r="I216" s="8" t="s">
        <v>355</v>
      </c>
      <c r="J216" s="8" t="s">
        <v>591</v>
      </c>
      <c r="K216" s="8" t="s">
        <v>592</v>
      </c>
      <c r="L216" s="8" t="s">
        <v>355</v>
      </c>
      <c r="M216" s="8" t="s">
        <v>593</v>
      </c>
      <c r="N216" s="8" t="s">
        <v>111</v>
      </c>
      <c r="O216" s="8" t="s">
        <v>111</v>
      </c>
      <c r="P216" s="8" t="s">
        <v>111</v>
      </c>
      <c r="Q216" s="8" t="s">
        <v>111</v>
      </c>
      <c r="R216" s="8"/>
      <c r="S216" s="8" t="s">
        <v>112</v>
      </c>
      <c r="T216" s="8"/>
      <c r="U216" s="8" t="s">
        <v>594</v>
      </c>
    </row>
    <row r="217" spans="1:21" ht="36" x14ac:dyDescent="0.3">
      <c r="A217" s="8" t="s">
        <v>951</v>
      </c>
      <c r="B217" s="10">
        <v>264292</v>
      </c>
      <c r="C217" s="8" t="s">
        <v>181</v>
      </c>
      <c r="D217" s="8" t="s">
        <v>9</v>
      </c>
      <c r="E217" s="8" t="s">
        <v>588</v>
      </c>
      <c r="F217" s="8" t="s">
        <v>384</v>
      </c>
      <c r="G217" s="8" t="s">
        <v>926</v>
      </c>
      <c r="H217" s="8" t="s">
        <v>9</v>
      </c>
      <c r="I217" s="8" t="s">
        <v>355</v>
      </c>
      <c r="J217" s="8" t="s">
        <v>591</v>
      </c>
      <c r="K217" s="8" t="s">
        <v>592</v>
      </c>
      <c r="L217" s="8" t="s">
        <v>355</v>
      </c>
      <c r="M217" s="8" t="s">
        <v>593</v>
      </c>
      <c r="N217" s="8" t="s">
        <v>111</v>
      </c>
      <c r="O217" s="8" t="s">
        <v>111</v>
      </c>
      <c r="P217" s="8" t="s">
        <v>111</v>
      </c>
      <c r="Q217" s="8" t="s">
        <v>111</v>
      </c>
      <c r="R217" s="8"/>
      <c r="S217" s="8" t="s">
        <v>112</v>
      </c>
      <c r="T217" s="8"/>
      <c r="U217" s="8" t="s">
        <v>594</v>
      </c>
    </row>
    <row r="218" spans="1:21" ht="36" x14ac:dyDescent="0.3">
      <c r="A218" s="8" t="s">
        <v>952</v>
      </c>
      <c r="B218" s="10">
        <v>264292</v>
      </c>
      <c r="C218" s="8" t="s">
        <v>181</v>
      </c>
      <c r="D218" s="8" t="s">
        <v>9</v>
      </c>
      <c r="E218" s="8" t="s">
        <v>588</v>
      </c>
      <c r="F218" s="8" t="s">
        <v>384</v>
      </c>
      <c r="G218" s="8" t="s">
        <v>928</v>
      </c>
      <c r="H218" s="8" t="s">
        <v>9</v>
      </c>
      <c r="I218" s="8" t="s">
        <v>355</v>
      </c>
      <c r="J218" s="8" t="s">
        <v>591</v>
      </c>
      <c r="K218" s="8" t="s">
        <v>592</v>
      </c>
      <c r="L218" s="8" t="s">
        <v>355</v>
      </c>
      <c r="M218" s="8" t="s">
        <v>593</v>
      </c>
      <c r="N218" s="8" t="s">
        <v>111</v>
      </c>
      <c r="O218" s="8" t="s">
        <v>111</v>
      </c>
      <c r="P218" s="8" t="s">
        <v>111</v>
      </c>
      <c r="Q218" s="8" t="s">
        <v>111</v>
      </c>
      <c r="R218" s="8"/>
      <c r="S218" s="8" t="s">
        <v>112</v>
      </c>
      <c r="T218" s="8"/>
      <c r="U218" s="8" t="s">
        <v>594</v>
      </c>
    </row>
    <row r="219" spans="1:21" ht="36" x14ac:dyDescent="0.3">
      <c r="A219" s="8" t="s">
        <v>953</v>
      </c>
      <c r="B219" s="10">
        <v>264292</v>
      </c>
      <c r="C219" s="8" t="s">
        <v>181</v>
      </c>
      <c r="D219" s="8" t="s">
        <v>9</v>
      </c>
      <c r="E219" s="8" t="s">
        <v>588</v>
      </c>
      <c r="F219" s="8" t="s">
        <v>384</v>
      </c>
      <c r="G219" s="8" t="s">
        <v>930</v>
      </c>
      <c r="H219" s="8" t="s">
        <v>9</v>
      </c>
      <c r="I219" s="8" t="s">
        <v>355</v>
      </c>
      <c r="J219" s="8" t="s">
        <v>591</v>
      </c>
      <c r="K219" s="8" t="s">
        <v>592</v>
      </c>
      <c r="L219" s="8" t="s">
        <v>355</v>
      </c>
      <c r="M219" s="8" t="s">
        <v>593</v>
      </c>
      <c r="N219" s="8" t="s">
        <v>111</v>
      </c>
      <c r="O219" s="8" t="s">
        <v>111</v>
      </c>
      <c r="P219" s="8" t="s">
        <v>111</v>
      </c>
      <c r="Q219" s="8" t="s">
        <v>111</v>
      </c>
      <c r="R219" s="8"/>
      <c r="S219" s="8" t="s">
        <v>112</v>
      </c>
      <c r="T219" s="8"/>
      <c r="U219" s="8" t="s">
        <v>594</v>
      </c>
    </row>
    <row r="220" spans="1:21" ht="24" x14ac:dyDescent="0.3">
      <c r="A220" s="8" t="s">
        <v>954</v>
      </c>
      <c r="B220" s="10">
        <v>264292</v>
      </c>
      <c r="C220" s="8" t="s">
        <v>181</v>
      </c>
      <c r="D220" s="8" t="s">
        <v>9</v>
      </c>
      <c r="E220" s="8" t="s">
        <v>588</v>
      </c>
      <c r="F220" s="8" t="s">
        <v>384</v>
      </c>
      <c r="G220" s="8" t="s">
        <v>933</v>
      </c>
      <c r="H220" s="8" t="s">
        <v>9</v>
      </c>
      <c r="I220" s="8" t="s">
        <v>355</v>
      </c>
      <c r="J220" s="8" t="s">
        <v>591</v>
      </c>
      <c r="K220" s="8" t="s">
        <v>592</v>
      </c>
      <c r="L220" s="8" t="s">
        <v>355</v>
      </c>
      <c r="M220" s="8" t="s">
        <v>593</v>
      </c>
      <c r="N220" s="8" t="s">
        <v>111</v>
      </c>
      <c r="O220" s="8" t="s">
        <v>111</v>
      </c>
      <c r="P220" s="8" t="s">
        <v>111</v>
      </c>
      <c r="Q220" s="8" t="s">
        <v>111</v>
      </c>
      <c r="R220" s="8"/>
      <c r="S220" s="8" t="s">
        <v>112</v>
      </c>
      <c r="T220" s="8"/>
      <c r="U220" s="8" t="s">
        <v>594</v>
      </c>
    </row>
    <row r="221" spans="1:21" ht="48" x14ac:dyDescent="0.3">
      <c r="A221" s="8" t="s">
        <v>955</v>
      </c>
      <c r="B221" s="10">
        <v>264292</v>
      </c>
      <c r="C221" s="8" t="s">
        <v>181</v>
      </c>
      <c r="D221" s="8" t="s">
        <v>9</v>
      </c>
      <c r="E221" s="8" t="s">
        <v>588</v>
      </c>
      <c r="F221" s="8" t="s">
        <v>384</v>
      </c>
      <c r="G221" s="8" t="s">
        <v>936</v>
      </c>
      <c r="H221" s="8" t="s">
        <v>9</v>
      </c>
      <c r="I221" s="8" t="s">
        <v>956</v>
      </c>
      <c r="J221" s="8" t="s">
        <v>591</v>
      </c>
      <c r="K221" s="8" t="s">
        <v>592</v>
      </c>
      <c r="L221" s="8" t="s">
        <v>355</v>
      </c>
      <c r="M221" s="8" t="s">
        <v>593</v>
      </c>
      <c r="N221" s="8" t="s">
        <v>111</v>
      </c>
      <c r="O221" s="8" t="s">
        <v>111</v>
      </c>
      <c r="P221" s="8" t="s">
        <v>111</v>
      </c>
      <c r="Q221" s="8" t="s">
        <v>111</v>
      </c>
      <c r="R221" s="8"/>
      <c r="S221" s="8" t="s">
        <v>112</v>
      </c>
      <c r="T221" s="8"/>
      <c r="U221" s="8" t="s">
        <v>594</v>
      </c>
    </row>
    <row r="222" spans="1:21" ht="60" x14ac:dyDescent="0.3">
      <c r="A222" s="8" t="s">
        <v>957</v>
      </c>
      <c r="B222" s="10">
        <v>264292</v>
      </c>
      <c r="C222" s="8" t="s">
        <v>181</v>
      </c>
      <c r="D222" s="8" t="s">
        <v>9</v>
      </c>
      <c r="E222" s="8" t="s">
        <v>588</v>
      </c>
      <c r="F222" s="8" t="s">
        <v>384</v>
      </c>
      <c r="G222" s="8" t="s">
        <v>938</v>
      </c>
      <c r="H222" s="8" t="s">
        <v>9</v>
      </c>
      <c r="I222" s="8" t="s">
        <v>958</v>
      </c>
      <c r="J222" s="8" t="s">
        <v>591</v>
      </c>
      <c r="K222" s="8" t="s">
        <v>592</v>
      </c>
      <c r="L222" s="8" t="s">
        <v>355</v>
      </c>
      <c r="M222" s="8" t="s">
        <v>593</v>
      </c>
      <c r="N222" s="8" t="s">
        <v>111</v>
      </c>
      <c r="O222" s="8" t="s">
        <v>111</v>
      </c>
      <c r="P222" s="8" t="s">
        <v>111</v>
      </c>
      <c r="Q222" s="8" t="s">
        <v>111</v>
      </c>
      <c r="R222" s="8"/>
      <c r="S222" s="8" t="s">
        <v>112</v>
      </c>
      <c r="T222" s="8"/>
      <c r="U222" s="8" t="s">
        <v>594</v>
      </c>
    </row>
    <row r="223" spans="1:21" ht="36" x14ac:dyDescent="0.3">
      <c r="A223" s="8" t="s">
        <v>959</v>
      </c>
      <c r="B223" s="10">
        <v>264292</v>
      </c>
      <c r="C223" s="8" t="s">
        <v>181</v>
      </c>
      <c r="D223" s="8" t="s">
        <v>9</v>
      </c>
      <c r="E223" s="8" t="s">
        <v>588</v>
      </c>
      <c r="F223" s="8" t="s">
        <v>384</v>
      </c>
      <c r="G223" s="8" t="s">
        <v>940</v>
      </c>
      <c r="H223" s="8" t="s">
        <v>9</v>
      </c>
      <c r="I223" s="8" t="s">
        <v>960</v>
      </c>
      <c r="J223" s="8" t="s">
        <v>591</v>
      </c>
      <c r="K223" s="8" t="s">
        <v>592</v>
      </c>
      <c r="L223" s="8" t="s">
        <v>355</v>
      </c>
      <c r="M223" s="8" t="s">
        <v>593</v>
      </c>
      <c r="N223" s="8" t="s">
        <v>111</v>
      </c>
      <c r="O223" s="8" t="s">
        <v>111</v>
      </c>
      <c r="P223" s="8" t="s">
        <v>111</v>
      </c>
      <c r="Q223" s="8" t="s">
        <v>111</v>
      </c>
      <c r="R223" s="8"/>
      <c r="S223" s="8" t="s">
        <v>112</v>
      </c>
      <c r="T223" s="8"/>
      <c r="U223" s="8" t="s">
        <v>594</v>
      </c>
    </row>
    <row r="224" spans="1:21" ht="36" x14ac:dyDescent="0.3">
      <c r="A224" s="8" t="s">
        <v>961</v>
      </c>
      <c r="B224" s="10">
        <v>264292</v>
      </c>
      <c r="C224" s="8" t="s">
        <v>181</v>
      </c>
      <c r="D224" s="8" t="s">
        <v>9</v>
      </c>
      <c r="E224" s="8" t="s">
        <v>588</v>
      </c>
      <c r="F224" s="8" t="s">
        <v>384</v>
      </c>
      <c r="G224" s="8" t="s">
        <v>942</v>
      </c>
      <c r="H224" s="8" t="s">
        <v>9</v>
      </c>
      <c r="I224" s="8" t="s">
        <v>962</v>
      </c>
      <c r="J224" s="8" t="s">
        <v>591</v>
      </c>
      <c r="K224" s="8" t="s">
        <v>592</v>
      </c>
      <c r="L224" s="8" t="s">
        <v>355</v>
      </c>
      <c r="M224" s="8" t="s">
        <v>593</v>
      </c>
      <c r="N224" s="8" t="s">
        <v>111</v>
      </c>
      <c r="O224" s="8" t="s">
        <v>111</v>
      </c>
      <c r="P224" s="8" t="s">
        <v>111</v>
      </c>
      <c r="Q224" s="8" t="s">
        <v>111</v>
      </c>
      <c r="R224" s="8"/>
      <c r="S224" s="8" t="s">
        <v>112</v>
      </c>
      <c r="T224" s="8"/>
      <c r="U224" s="8" t="s">
        <v>594</v>
      </c>
    </row>
    <row r="225" spans="1:21" ht="24" x14ac:dyDescent="0.3">
      <c r="A225" s="8" t="s">
        <v>963</v>
      </c>
      <c r="B225" s="10">
        <v>329797</v>
      </c>
      <c r="C225" s="8" t="s">
        <v>183</v>
      </c>
      <c r="D225" s="8" t="s">
        <v>9</v>
      </c>
      <c r="E225" s="8" t="s">
        <v>588</v>
      </c>
      <c r="F225" s="8" t="s">
        <v>384</v>
      </c>
      <c r="G225" s="8" t="s">
        <v>964</v>
      </c>
      <c r="H225" s="8" t="s">
        <v>9</v>
      </c>
      <c r="I225" s="8" t="s">
        <v>732</v>
      </c>
      <c r="J225" s="8" t="s">
        <v>591</v>
      </c>
      <c r="K225" s="8" t="s">
        <v>592</v>
      </c>
      <c r="L225" s="8" t="s">
        <v>355</v>
      </c>
      <c r="M225" s="8" t="s">
        <v>593</v>
      </c>
      <c r="N225" s="8" t="s">
        <v>111</v>
      </c>
      <c r="O225" s="8" t="s">
        <v>111</v>
      </c>
      <c r="P225" s="8" t="s">
        <v>111</v>
      </c>
      <c r="Q225" s="8" t="s">
        <v>111</v>
      </c>
      <c r="R225" s="8"/>
      <c r="S225" s="8" t="s">
        <v>112</v>
      </c>
      <c r="T225" s="8"/>
      <c r="U225" s="8" t="s">
        <v>594</v>
      </c>
    </row>
    <row r="226" spans="1:21" ht="24" x14ac:dyDescent="0.3">
      <c r="A226" s="8" t="s">
        <v>965</v>
      </c>
      <c r="B226" s="10">
        <v>320521</v>
      </c>
      <c r="C226" s="8" t="s">
        <v>185</v>
      </c>
      <c r="D226" s="8" t="s">
        <v>9</v>
      </c>
      <c r="E226" s="8" t="s">
        <v>588</v>
      </c>
      <c r="F226" s="8" t="s">
        <v>357</v>
      </c>
      <c r="G226" s="8" t="s">
        <v>966</v>
      </c>
      <c r="H226" s="8" t="s">
        <v>9</v>
      </c>
      <c r="I226" s="8" t="s">
        <v>967</v>
      </c>
      <c r="J226" s="8" t="s">
        <v>591</v>
      </c>
      <c r="K226" s="8" t="s">
        <v>592</v>
      </c>
      <c r="L226" s="8">
        <v>319755</v>
      </c>
      <c r="M226" s="8" t="s">
        <v>593</v>
      </c>
      <c r="N226" s="8" t="s">
        <v>111</v>
      </c>
      <c r="O226" s="8" t="s">
        <v>111</v>
      </c>
      <c r="P226" s="8" t="s">
        <v>111</v>
      </c>
      <c r="Q226" s="8" t="s">
        <v>111</v>
      </c>
      <c r="R226" s="8"/>
      <c r="S226" s="8" t="s">
        <v>112</v>
      </c>
      <c r="T226" s="8"/>
      <c r="U226" s="8" t="s">
        <v>594</v>
      </c>
    </row>
    <row r="227" spans="1:21" ht="24" x14ac:dyDescent="0.3">
      <c r="A227" s="8" t="s">
        <v>968</v>
      </c>
      <c r="B227" s="10">
        <v>320521</v>
      </c>
      <c r="C227" s="8" t="s">
        <v>185</v>
      </c>
      <c r="D227" s="8" t="s">
        <v>9</v>
      </c>
      <c r="E227" s="8" t="s">
        <v>588</v>
      </c>
      <c r="F227" s="8" t="s">
        <v>357</v>
      </c>
      <c r="G227" s="8" t="s">
        <v>966</v>
      </c>
      <c r="H227" s="8" t="s">
        <v>9</v>
      </c>
      <c r="I227" s="8" t="s">
        <v>969</v>
      </c>
      <c r="J227" s="8" t="s">
        <v>591</v>
      </c>
      <c r="K227" s="8" t="s">
        <v>592</v>
      </c>
      <c r="L227" s="8">
        <v>319755</v>
      </c>
      <c r="M227" s="8" t="s">
        <v>593</v>
      </c>
      <c r="N227" s="8" t="s">
        <v>111</v>
      </c>
      <c r="O227" s="8" t="s">
        <v>111</v>
      </c>
      <c r="P227" s="8" t="s">
        <v>111</v>
      </c>
      <c r="Q227" s="8" t="s">
        <v>111</v>
      </c>
      <c r="R227" s="8"/>
      <c r="S227" s="8" t="s">
        <v>112</v>
      </c>
      <c r="T227" s="8"/>
      <c r="U227" s="8" t="s">
        <v>594</v>
      </c>
    </row>
    <row r="228" spans="1:21" ht="24" x14ac:dyDescent="0.3">
      <c r="A228" s="8" t="s">
        <v>970</v>
      </c>
      <c r="B228" s="10">
        <v>332626</v>
      </c>
      <c r="C228" s="8" t="s">
        <v>187</v>
      </c>
      <c r="D228" s="8" t="s">
        <v>9</v>
      </c>
      <c r="E228" s="8" t="s">
        <v>588</v>
      </c>
      <c r="F228" s="8" t="s">
        <v>384</v>
      </c>
      <c r="G228" s="8" t="s">
        <v>971</v>
      </c>
      <c r="H228" s="8" t="s">
        <v>9</v>
      </c>
      <c r="I228" s="8" t="s">
        <v>842</v>
      </c>
      <c r="J228" s="8" t="s">
        <v>591</v>
      </c>
      <c r="K228" s="8" t="s">
        <v>592</v>
      </c>
      <c r="L228" s="8" t="s">
        <v>355</v>
      </c>
      <c r="M228" s="8" t="s">
        <v>593</v>
      </c>
      <c r="N228" s="8" t="s">
        <v>111</v>
      </c>
      <c r="O228" s="8" t="s">
        <v>111</v>
      </c>
      <c r="P228" s="8" t="s">
        <v>111</v>
      </c>
      <c r="Q228" s="8" t="s">
        <v>111</v>
      </c>
      <c r="R228" s="8"/>
      <c r="S228" s="8" t="s">
        <v>112</v>
      </c>
      <c r="T228" s="8"/>
      <c r="U228" s="8" t="s">
        <v>594</v>
      </c>
    </row>
    <row r="229" spans="1:21" ht="24" x14ac:dyDescent="0.3">
      <c r="A229" s="8" t="s">
        <v>972</v>
      </c>
      <c r="B229" s="10">
        <v>332626</v>
      </c>
      <c r="C229" s="8" t="s">
        <v>187</v>
      </c>
      <c r="D229" s="8" t="s">
        <v>9</v>
      </c>
      <c r="E229" s="8" t="s">
        <v>588</v>
      </c>
      <c r="F229" s="8" t="s">
        <v>384</v>
      </c>
      <c r="G229" s="8" t="s">
        <v>971</v>
      </c>
      <c r="H229" s="8" t="s">
        <v>9</v>
      </c>
      <c r="I229" s="8" t="s">
        <v>669</v>
      </c>
      <c r="J229" s="8" t="s">
        <v>591</v>
      </c>
      <c r="K229" s="8" t="s">
        <v>592</v>
      </c>
      <c r="L229" s="8" t="s">
        <v>355</v>
      </c>
      <c r="M229" s="8" t="s">
        <v>593</v>
      </c>
      <c r="N229" s="8" t="s">
        <v>111</v>
      </c>
      <c r="O229" s="8" t="s">
        <v>111</v>
      </c>
      <c r="P229" s="8" t="s">
        <v>111</v>
      </c>
      <c r="Q229" s="8" t="s">
        <v>111</v>
      </c>
      <c r="R229" s="8"/>
      <c r="S229" s="8" t="s">
        <v>112</v>
      </c>
      <c r="T229" s="8"/>
      <c r="U229" s="8" t="s">
        <v>594</v>
      </c>
    </row>
    <row r="230" spans="1:21" ht="24" x14ac:dyDescent="0.3">
      <c r="A230" s="8" t="s">
        <v>973</v>
      </c>
      <c r="B230" s="10">
        <v>332626</v>
      </c>
      <c r="C230" s="8" t="s">
        <v>187</v>
      </c>
      <c r="D230" s="8" t="s">
        <v>9</v>
      </c>
      <c r="E230" s="8" t="s">
        <v>588</v>
      </c>
      <c r="F230" s="8" t="s">
        <v>384</v>
      </c>
      <c r="G230" s="8" t="s">
        <v>971</v>
      </c>
      <c r="H230" s="8" t="s">
        <v>9</v>
      </c>
      <c r="I230" s="8" t="s">
        <v>608</v>
      </c>
      <c r="J230" s="8" t="s">
        <v>591</v>
      </c>
      <c r="K230" s="8" t="s">
        <v>592</v>
      </c>
      <c r="L230" s="8" t="s">
        <v>355</v>
      </c>
      <c r="M230" s="8" t="s">
        <v>593</v>
      </c>
      <c r="N230" s="8" t="s">
        <v>111</v>
      </c>
      <c r="O230" s="8" t="s">
        <v>111</v>
      </c>
      <c r="P230" s="8" t="s">
        <v>111</v>
      </c>
      <c r="Q230" s="8" t="s">
        <v>111</v>
      </c>
      <c r="R230" s="8"/>
      <c r="S230" s="8" t="s">
        <v>112</v>
      </c>
      <c r="T230" s="8"/>
      <c r="U230" s="8" t="s">
        <v>594</v>
      </c>
    </row>
    <row r="231" spans="1:21" ht="60" x14ac:dyDescent="0.3">
      <c r="A231" s="8" t="s">
        <v>974</v>
      </c>
      <c r="B231" s="10">
        <v>290127</v>
      </c>
      <c r="C231" s="8" t="s">
        <v>189</v>
      </c>
      <c r="D231" s="8" t="s">
        <v>9</v>
      </c>
      <c r="E231" s="8" t="s">
        <v>588</v>
      </c>
      <c r="F231" s="8" t="s">
        <v>384</v>
      </c>
      <c r="G231" s="8" t="s">
        <v>975</v>
      </c>
      <c r="H231" s="8" t="s">
        <v>9</v>
      </c>
      <c r="I231" s="8" t="s">
        <v>608</v>
      </c>
      <c r="J231" s="8" t="s">
        <v>591</v>
      </c>
      <c r="K231" s="8" t="s">
        <v>592</v>
      </c>
      <c r="L231" s="8" t="s">
        <v>355</v>
      </c>
      <c r="M231" s="8" t="s">
        <v>593</v>
      </c>
      <c r="N231" s="8" t="s">
        <v>111</v>
      </c>
      <c r="O231" s="8" t="s">
        <v>111</v>
      </c>
      <c r="P231" s="8" t="s">
        <v>111</v>
      </c>
      <c r="Q231" s="8" t="s">
        <v>111</v>
      </c>
      <c r="R231" s="8"/>
      <c r="S231" s="8" t="s">
        <v>112</v>
      </c>
      <c r="T231" s="8"/>
      <c r="U231" s="8" t="s">
        <v>594</v>
      </c>
    </row>
    <row r="232" spans="1:21" ht="24" x14ac:dyDescent="0.3">
      <c r="A232" s="8" t="s">
        <v>976</v>
      </c>
      <c r="B232" s="10">
        <v>292722</v>
      </c>
      <c r="C232" s="8" t="s">
        <v>191</v>
      </c>
      <c r="D232" s="8" t="s">
        <v>9</v>
      </c>
      <c r="E232" s="8" t="s">
        <v>588</v>
      </c>
      <c r="F232" s="8" t="s">
        <v>384</v>
      </c>
      <c r="G232" s="8" t="s">
        <v>714</v>
      </c>
      <c r="H232" s="8" t="s">
        <v>9</v>
      </c>
      <c r="I232" s="8" t="s">
        <v>977</v>
      </c>
      <c r="J232" s="8" t="s">
        <v>591</v>
      </c>
      <c r="K232" s="8" t="s">
        <v>592</v>
      </c>
      <c r="L232" s="8" t="s">
        <v>978</v>
      </c>
      <c r="M232" s="8" t="s">
        <v>593</v>
      </c>
      <c r="N232" s="8" t="s">
        <v>111</v>
      </c>
      <c r="O232" s="8" t="s">
        <v>111</v>
      </c>
      <c r="P232" s="8" t="s">
        <v>111</v>
      </c>
      <c r="Q232" s="8" t="s">
        <v>111</v>
      </c>
      <c r="R232" s="8"/>
      <c r="S232" s="8" t="s">
        <v>112</v>
      </c>
      <c r="T232" s="8"/>
      <c r="U232" s="8" t="s">
        <v>594</v>
      </c>
    </row>
    <row r="233" spans="1:21" ht="24" x14ac:dyDescent="0.3">
      <c r="A233" s="8" t="s">
        <v>979</v>
      </c>
      <c r="B233" s="10">
        <v>292722</v>
      </c>
      <c r="C233" s="8" t="s">
        <v>191</v>
      </c>
      <c r="D233" s="8" t="s">
        <v>9</v>
      </c>
      <c r="E233" s="8" t="s">
        <v>588</v>
      </c>
      <c r="F233" s="8" t="s">
        <v>384</v>
      </c>
      <c r="G233" s="8" t="s">
        <v>714</v>
      </c>
      <c r="H233" s="8" t="s">
        <v>9</v>
      </c>
      <c r="I233" s="8" t="s">
        <v>608</v>
      </c>
      <c r="J233" s="8" t="s">
        <v>591</v>
      </c>
      <c r="K233" s="8" t="s">
        <v>592</v>
      </c>
      <c r="L233" s="8" t="s">
        <v>978</v>
      </c>
      <c r="M233" s="8" t="s">
        <v>593</v>
      </c>
      <c r="N233" s="8" t="s">
        <v>111</v>
      </c>
      <c r="O233" s="8" t="s">
        <v>111</v>
      </c>
      <c r="P233" s="8" t="s">
        <v>111</v>
      </c>
      <c r="Q233" s="8" t="s">
        <v>111</v>
      </c>
      <c r="R233" s="8"/>
      <c r="S233" s="8" t="s">
        <v>112</v>
      </c>
      <c r="T233" s="8"/>
      <c r="U233" s="8" t="s">
        <v>594</v>
      </c>
    </row>
    <row r="234" spans="1:21" ht="24" x14ac:dyDescent="0.3">
      <c r="A234" s="8" t="s">
        <v>980</v>
      </c>
      <c r="B234" s="10">
        <v>303264</v>
      </c>
      <c r="C234" s="8" t="s">
        <v>193</v>
      </c>
      <c r="D234" s="8" t="s">
        <v>9</v>
      </c>
      <c r="E234" s="8" t="s">
        <v>588</v>
      </c>
      <c r="F234" s="8" t="s">
        <v>357</v>
      </c>
      <c r="G234" s="8" t="s">
        <v>852</v>
      </c>
      <c r="H234" s="8" t="s">
        <v>9</v>
      </c>
      <c r="I234" s="8" t="s">
        <v>981</v>
      </c>
      <c r="J234" s="8" t="s">
        <v>591</v>
      </c>
      <c r="K234" s="8" t="s">
        <v>592</v>
      </c>
      <c r="L234" s="8" t="s">
        <v>982</v>
      </c>
      <c r="M234" s="8" t="s">
        <v>593</v>
      </c>
      <c r="N234" s="8" t="s">
        <v>111</v>
      </c>
      <c r="O234" s="8" t="s">
        <v>111</v>
      </c>
      <c r="P234" s="8" t="s">
        <v>111</v>
      </c>
      <c r="Q234" s="8" t="s">
        <v>111</v>
      </c>
      <c r="R234" s="8"/>
      <c r="S234" s="8" t="s">
        <v>112</v>
      </c>
      <c r="T234" s="8"/>
      <c r="U234" s="8" t="s">
        <v>594</v>
      </c>
    </row>
    <row r="235" spans="1:21" ht="24" x14ac:dyDescent="0.3">
      <c r="A235" s="8" t="s">
        <v>983</v>
      </c>
      <c r="B235" s="10">
        <v>305162</v>
      </c>
      <c r="C235" s="8" t="s">
        <v>195</v>
      </c>
      <c r="D235" s="8" t="s">
        <v>9</v>
      </c>
      <c r="E235" s="8" t="s">
        <v>588</v>
      </c>
      <c r="F235" s="8" t="s">
        <v>357</v>
      </c>
      <c r="G235" s="8" t="s">
        <v>852</v>
      </c>
      <c r="H235" s="8" t="s">
        <v>9</v>
      </c>
      <c r="I235" s="8" t="s">
        <v>984</v>
      </c>
      <c r="J235" s="8" t="s">
        <v>591</v>
      </c>
      <c r="K235" s="8" t="s">
        <v>592</v>
      </c>
      <c r="L235" s="8" t="s">
        <v>985</v>
      </c>
      <c r="M235" s="8" t="s">
        <v>593</v>
      </c>
      <c r="N235" s="8" t="s">
        <v>111</v>
      </c>
      <c r="O235" s="8" t="s">
        <v>111</v>
      </c>
      <c r="P235" s="8" t="s">
        <v>111</v>
      </c>
      <c r="Q235" s="8" t="s">
        <v>111</v>
      </c>
      <c r="R235" s="8"/>
      <c r="S235" s="8" t="s">
        <v>112</v>
      </c>
      <c r="T235" s="8"/>
      <c r="U235" s="8" t="s">
        <v>594</v>
      </c>
    </row>
    <row r="236" spans="1:21" ht="24" x14ac:dyDescent="0.3">
      <c r="A236" s="8" t="s">
        <v>986</v>
      </c>
      <c r="B236" s="10">
        <v>305162</v>
      </c>
      <c r="C236" s="8" t="s">
        <v>195</v>
      </c>
      <c r="D236" s="8" t="s">
        <v>9</v>
      </c>
      <c r="E236" s="8" t="s">
        <v>588</v>
      </c>
      <c r="F236" s="8" t="s">
        <v>357</v>
      </c>
      <c r="G236" s="8" t="s">
        <v>852</v>
      </c>
      <c r="H236" s="8" t="s">
        <v>9</v>
      </c>
      <c r="I236" s="8" t="s">
        <v>987</v>
      </c>
      <c r="J236" s="8" t="s">
        <v>591</v>
      </c>
      <c r="K236" s="8" t="s">
        <v>592</v>
      </c>
      <c r="L236" s="8" t="s">
        <v>985</v>
      </c>
      <c r="M236" s="8" t="s">
        <v>593</v>
      </c>
      <c r="N236" s="8" t="s">
        <v>111</v>
      </c>
      <c r="O236" s="8" t="s">
        <v>111</v>
      </c>
      <c r="P236" s="8" t="s">
        <v>111</v>
      </c>
      <c r="Q236" s="8" t="s">
        <v>111</v>
      </c>
      <c r="R236" s="8"/>
      <c r="S236" s="8" t="s">
        <v>112</v>
      </c>
      <c r="T236" s="8"/>
      <c r="U236" s="8" t="s">
        <v>594</v>
      </c>
    </row>
    <row r="237" spans="1:21" ht="24" x14ac:dyDescent="0.3">
      <c r="A237" s="8" t="s">
        <v>988</v>
      </c>
      <c r="B237" s="10">
        <v>305162</v>
      </c>
      <c r="C237" s="8" t="s">
        <v>195</v>
      </c>
      <c r="D237" s="8" t="s">
        <v>9</v>
      </c>
      <c r="E237" s="8" t="s">
        <v>588</v>
      </c>
      <c r="F237" s="8" t="s">
        <v>357</v>
      </c>
      <c r="G237" s="8" t="s">
        <v>852</v>
      </c>
      <c r="H237" s="8" t="s">
        <v>9</v>
      </c>
      <c r="I237" s="8" t="s">
        <v>989</v>
      </c>
      <c r="J237" s="8" t="s">
        <v>591</v>
      </c>
      <c r="K237" s="8" t="s">
        <v>592</v>
      </c>
      <c r="L237" s="8" t="s">
        <v>985</v>
      </c>
      <c r="M237" s="8" t="s">
        <v>593</v>
      </c>
      <c r="N237" s="8" t="s">
        <v>111</v>
      </c>
      <c r="O237" s="8" t="s">
        <v>111</v>
      </c>
      <c r="P237" s="8" t="s">
        <v>111</v>
      </c>
      <c r="Q237" s="8" t="s">
        <v>111</v>
      </c>
      <c r="R237" s="8"/>
      <c r="S237" s="8" t="s">
        <v>112</v>
      </c>
      <c r="T237" s="8"/>
      <c r="U237" s="8" t="s">
        <v>594</v>
      </c>
    </row>
    <row r="238" spans="1:21" ht="24" x14ac:dyDescent="0.3">
      <c r="A238" s="8" t="s">
        <v>990</v>
      </c>
      <c r="B238" s="10">
        <v>289953</v>
      </c>
      <c r="C238" s="8" t="s">
        <v>197</v>
      </c>
      <c r="D238" s="8" t="s">
        <v>9</v>
      </c>
      <c r="E238" s="8" t="s">
        <v>588</v>
      </c>
      <c r="F238" s="8" t="s">
        <v>384</v>
      </c>
      <c r="G238" s="8" t="s">
        <v>991</v>
      </c>
      <c r="H238" s="8" t="s">
        <v>9</v>
      </c>
      <c r="I238" s="8" t="s">
        <v>606</v>
      </c>
      <c r="J238" s="8" t="s">
        <v>591</v>
      </c>
      <c r="K238" s="8" t="s">
        <v>592</v>
      </c>
      <c r="L238" s="8" t="s">
        <v>355</v>
      </c>
      <c r="M238" s="8" t="s">
        <v>593</v>
      </c>
      <c r="N238" s="8" t="s">
        <v>111</v>
      </c>
      <c r="O238" s="8" t="s">
        <v>111</v>
      </c>
      <c r="P238" s="8" t="s">
        <v>111</v>
      </c>
      <c r="Q238" s="8" t="s">
        <v>111</v>
      </c>
      <c r="R238" s="8"/>
      <c r="S238" s="8" t="s">
        <v>112</v>
      </c>
      <c r="T238" s="8"/>
      <c r="U238" s="8" t="s">
        <v>594</v>
      </c>
    </row>
    <row r="239" spans="1:21" ht="24" x14ac:dyDescent="0.3">
      <c r="A239" s="8" t="s">
        <v>992</v>
      </c>
      <c r="B239" s="10">
        <v>289953</v>
      </c>
      <c r="C239" s="8" t="s">
        <v>197</v>
      </c>
      <c r="D239" s="8" t="s">
        <v>9</v>
      </c>
      <c r="E239" s="8" t="s">
        <v>588</v>
      </c>
      <c r="F239" s="8" t="s">
        <v>384</v>
      </c>
      <c r="G239" s="8" t="s">
        <v>993</v>
      </c>
      <c r="H239" s="8" t="s">
        <v>9</v>
      </c>
      <c r="I239" s="8" t="s">
        <v>606</v>
      </c>
      <c r="J239" s="8" t="s">
        <v>591</v>
      </c>
      <c r="K239" s="8" t="s">
        <v>592</v>
      </c>
      <c r="L239" s="8" t="s">
        <v>355</v>
      </c>
      <c r="M239" s="8" t="s">
        <v>593</v>
      </c>
      <c r="N239" s="8" t="s">
        <v>111</v>
      </c>
      <c r="O239" s="8" t="s">
        <v>111</v>
      </c>
      <c r="P239" s="8" t="s">
        <v>111</v>
      </c>
      <c r="Q239" s="8" t="s">
        <v>111</v>
      </c>
      <c r="R239" s="8"/>
      <c r="S239" s="8" t="s">
        <v>112</v>
      </c>
      <c r="T239" s="8"/>
      <c r="U239" s="8" t="s">
        <v>594</v>
      </c>
    </row>
    <row r="240" spans="1:21" ht="24" x14ac:dyDescent="0.3">
      <c r="A240" s="8" t="s">
        <v>994</v>
      </c>
      <c r="B240" s="10">
        <v>289953</v>
      </c>
      <c r="C240" s="8" t="s">
        <v>197</v>
      </c>
      <c r="D240" s="8" t="s">
        <v>9</v>
      </c>
      <c r="E240" s="8" t="s">
        <v>588</v>
      </c>
      <c r="F240" s="8" t="s">
        <v>384</v>
      </c>
      <c r="G240" s="8" t="s">
        <v>991</v>
      </c>
      <c r="H240" s="8" t="s">
        <v>9</v>
      </c>
      <c r="I240" s="8" t="s">
        <v>608</v>
      </c>
      <c r="J240" s="8" t="s">
        <v>591</v>
      </c>
      <c r="K240" s="8" t="s">
        <v>592</v>
      </c>
      <c r="L240" s="8" t="s">
        <v>355</v>
      </c>
      <c r="M240" s="8" t="s">
        <v>593</v>
      </c>
      <c r="N240" s="8" t="s">
        <v>111</v>
      </c>
      <c r="O240" s="8" t="s">
        <v>111</v>
      </c>
      <c r="P240" s="8" t="s">
        <v>111</v>
      </c>
      <c r="Q240" s="8" t="s">
        <v>111</v>
      </c>
      <c r="R240" s="8"/>
      <c r="S240" s="8" t="s">
        <v>112</v>
      </c>
      <c r="T240" s="8"/>
      <c r="U240" s="8" t="s">
        <v>594</v>
      </c>
    </row>
    <row r="241" spans="1:21" ht="24" x14ac:dyDescent="0.3">
      <c r="A241" s="8" t="s">
        <v>995</v>
      </c>
      <c r="B241" s="10">
        <v>289953</v>
      </c>
      <c r="C241" s="8" t="s">
        <v>197</v>
      </c>
      <c r="D241" s="8" t="s">
        <v>9</v>
      </c>
      <c r="E241" s="8" t="s">
        <v>588</v>
      </c>
      <c r="F241" s="8" t="s">
        <v>384</v>
      </c>
      <c r="G241" s="8" t="s">
        <v>993</v>
      </c>
      <c r="H241" s="8" t="s">
        <v>9</v>
      </c>
      <c r="I241" s="8" t="s">
        <v>745</v>
      </c>
      <c r="J241" s="8" t="s">
        <v>591</v>
      </c>
      <c r="K241" s="8" t="s">
        <v>592</v>
      </c>
      <c r="L241" s="8" t="s">
        <v>355</v>
      </c>
      <c r="M241" s="8" t="s">
        <v>593</v>
      </c>
      <c r="N241" s="8" t="s">
        <v>111</v>
      </c>
      <c r="O241" s="8" t="s">
        <v>111</v>
      </c>
      <c r="P241" s="8" t="s">
        <v>111</v>
      </c>
      <c r="Q241" s="8" t="s">
        <v>111</v>
      </c>
      <c r="R241" s="8"/>
      <c r="S241" s="8" t="s">
        <v>112</v>
      </c>
      <c r="T241" s="8"/>
      <c r="U241" s="8" t="s">
        <v>594</v>
      </c>
    </row>
    <row r="242" spans="1:21" ht="48" x14ac:dyDescent="0.3">
      <c r="A242" s="8" t="s">
        <v>996</v>
      </c>
      <c r="B242" s="10">
        <v>319331</v>
      </c>
      <c r="C242" s="8" t="s">
        <v>199</v>
      </c>
      <c r="D242" s="8" t="s">
        <v>9</v>
      </c>
      <c r="E242" s="8" t="s">
        <v>588</v>
      </c>
      <c r="F242" s="8" t="s">
        <v>384</v>
      </c>
      <c r="G242" s="8" t="s">
        <v>856</v>
      </c>
      <c r="H242" s="8" t="s">
        <v>9</v>
      </c>
      <c r="I242" s="8" t="s">
        <v>997</v>
      </c>
      <c r="J242" s="8" t="s">
        <v>591</v>
      </c>
      <c r="K242" s="8" t="s">
        <v>592</v>
      </c>
      <c r="L242" s="8">
        <v>319734</v>
      </c>
      <c r="M242" s="8" t="s">
        <v>593</v>
      </c>
      <c r="N242" s="8" t="s">
        <v>111</v>
      </c>
      <c r="O242" s="8" t="s">
        <v>111</v>
      </c>
      <c r="P242" s="8" t="s">
        <v>111</v>
      </c>
      <c r="Q242" s="8" t="s">
        <v>111</v>
      </c>
      <c r="R242" s="8"/>
      <c r="S242" s="8" t="s">
        <v>112</v>
      </c>
      <c r="T242" s="8"/>
      <c r="U242" s="8" t="s">
        <v>594</v>
      </c>
    </row>
    <row r="243" spans="1:21" ht="48" x14ac:dyDescent="0.3">
      <c r="A243" s="8" t="s">
        <v>998</v>
      </c>
      <c r="B243" s="10">
        <v>319331</v>
      </c>
      <c r="C243" s="8" t="s">
        <v>199</v>
      </c>
      <c r="D243" s="8" t="s">
        <v>9</v>
      </c>
      <c r="E243" s="8" t="s">
        <v>588</v>
      </c>
      <c r="F243" s="8" t="s">
        <v>384</v>
      </c>
      <c r="G243" s="8" t="s">
        <v>999</v>
      </c>
      <c r="H243" s="8" t="s">
        <v>9</v>
      </c>
      <c r="I243" s="8" t="s">
        <v>1000</v>
      </c>
      <c r="J243" s="8" t="s">
        <v>591</v>
      </c>
      <c r="K243" s="8" t="s">
        <v>592</v>
      </c>
      <c r="L243" s="8" t="s">
        <v>355</v>
      </c>
      <c r="M243" s="8" t="s">
        <v>593</v>
      </c>
      <c r="N243" s="8" t="s">
        <v>111</v>
      </c>
      <c r="O243" s="8" t="s">
        <v>111</v>
      </c>
      <c r="P243" s="8" t="s">
        <v>111</v>
      </c>
      <c r="Q243" s="8" t="s">
        <v>111</v>
      </c>
      <c r="R243" s="8"/>
      <c r="S243" s="8" t="s">
        <v>112</v>
      </c>
      <c r="T243" s="8"/>
      <c r="U243" s="8" t="s">
        <v>594</v>
      </c>
    </row>
    <row r="244" spans="1:21" ht="48" x14ac:dyDescent="0.3">
      <c r="A244" s="8" t="s">
        <v>1001</v>
      </c>
      <c r="B244" s="10">
        <v>319331</v>
      </c>
      <c r="C244" s="8" t="s">
        <v>199</v>
      </c>
      <c r="D244" s="8" t="s">
        <v>9</v>
      </c>
      <c r="E244" s="8" t="s">
        <v>588</v>
      </c>
      <c r="F244" s="8" t="s">
        <v>384</v>
      </c>
      <c r="G244" s="8" t="s">
        <v>1002</v>
      </c>
      <c r="H244" s="8" t="s">
        <v>9</v>
      </c>
      <c r="I244" s="8" t="s">
        <v>1003</v>
      </c>
      <c r="J244" s="8" t="s">
        <v>591</v>
      </c>
      <c r="K244" s="8" t="s">
        <v>592</v>
      </c>
      <c r="L244" s="8" t="s">
        <v>355</v>
      </c>
      <c r="M244" s="8" t="s">
        <v>593</v>
      </c>
      <c r="N244" s="8" t="s">
        <v>111</v>
      </c>
      <c r="O244" s="8" t="s">
        <v>111</v>
      </c>
      <c r="P244" s="8" t="s">
        <v>111</v>
      </c>
      <c r="Q244" s="8" t="s">
        <v>111</v>
      </c>
      <c r="R244" s="8"/>
      <c r="S244" s="8" t="s">
        <v>112</v>
      </c>
      <c r="T244" s="8"/>
      <c r="U244" s="8" t="s">
        <v>594</v>
      </c>
    </row>
    <row r="245" spans="1:21" ht="48" x14ac:dyDescent="0.3">
      <c r="A245" s="8" t="s">
        <v>1004</v>
      </c>
      <c r="B245" s="10">
        <v>319331</v>
      </c>
      <c r="C245" s="8" t="s">
        <v>199</v>
      </c>
      <c r="D245" s="8" t="s">
        <v>9</v>
      </c>
      <c r="E245" s="8" t="s">
        <v>588</v>
      </c>
      <c r="F245" s="8" t="s">
        <v>384</v>
      </c>
      <c r="G245" s="8" t="s">
        <v>1005</v>
      </c>
      <c r="H245" s="8" t="s">
        <v>9</v>
      </c>
      <c r="I245" s="8" t="s">
        <v>697</v>
      </c>
      <c r="J245" s="8" t="s">
        <v>591</v>
      </c>
      <c r="K245" s="8" t="s">
        <v>592</v>
      </c>
      <c r="L245" s="8" t="s">
        <v>355</v>
      </c>
      <c r="M245" s="8" t="s">
        <v>593</v>
      </c>
      <c r="N245" s="8" t="s">
        <v>111</v>
      </c>
      <c r="O245" s="8" t="s">
        <v>111</v>
      </c>
      <c r="P245" s="8" t="s">
        <v>111</v>
      </c>
      <c r="Q245" s="8" t="s">
        <v>111</v>
      </c>
      <c r="R245" s="8"/>
      <c r="S245" s="8" t="s">
        <v>112</v>
      </c>
      <c r="T245" s="8"/>
      <c r="U245" s="8" t="s">
        <v>594</v>
      </c>
    </row>
  </sheetData>
  <mergeCells count="2">
    <mergeCell ref="A1:U1"/>
    <mergeCell ref="A2:U2"/>
  </mergeCells>
  <conditionalFormatting sqref="S5:S345">
    <cfRule type="cellIs" dxfId="163" priority="1" stopIfTrue="1" operator="equal">
      <formula>"Pass"</formula>
    </cfRule>
    <cfRule type="cellIs" dxfId="162" priority="2" stopIfTrue="1" operator="equal">
      <formula>"Fail"</formula>
    </cfRule>
    <cfRule type="cellIs" dxfId="161" priority="3" stopIfTrue="1" operator="equal">
      <formula>"Blocked"</formula>
    </cfRule>
    <cfRule type="cellIs" dxfId="160" priority="4" stopIfTrue="1" operator="equal">
      <formula>"In Progress"</formula>
    </cfRule>
    <cfRule type="cellIs" dxfId="159" priority="5" stopIfTrue="1" operator="equal">
      <formula>"Not Started"</formula>
    </cfRule>
    <cfRule type="cellIs" dxfId="158" priority="6" stopIfTrue="1" operator="equal">
      <formula>"N/A"</formula>
    </cfRule>
    <cfRule type="cellIs" dxfId="157" priority="7" stopIfTrue="1" operator="equal">
      <formula>"Ready"</formula>
    </cfRule>
    <cfRule type="cellIs" dxfId="156" priority="8" stopIfTrue="1" operator="equal">
      <formula>"Not Ready"</formula>
    </cfRule>
  </conditionalFormatting>
  <dataValidations count="1">
    <dataValidation type="list" allowBlank="1" showInputMessage="1" showErrorMessage="1" errorTitle="Invalid selection" error="Select a value from the dropdown list." sqref="S5:S345" xr:uid="{50D0A273-4A27-47A7-8DA7-EC57AA2B5ECC}">
      <formula1>"Not Started,In Progress,Pass,Fail,Blocked,N/A"</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54444-474C-4F10-B71A-1E8451B8E460}">
  <dimension ref="A1:Y110"/>
  <sheetViews>
    <sheetView showGridLines="0" zoomScale="65" zoomScaleNormal="65" workbookViewId="0">
      <pane xSplit="4" ySplit="4" topLeftCell="E5" activePane="bottomRight" state="frozenSplit"/>
      <selection pane="bottomLeft" activeCell="A5" sqref="A5"/>
      <selection pane="topRight" activeCell="E1" sqref="E1"/>
      <selection pane="bottomRight"/>
    </sheetView>
  </sheetViews>
  <sheetFormatPr defaultRowHeight="14.4" x14ac:dyDescent="0.3"/>
  <cols>
    <col min="1" max="1" width="16.77734375" customWidth="1"/>
    <col min="2" max="2" width="14.77734375" style="11" customWidth="1"/>
    <col min="3" max="3" width="34.77734375" customWidth="1"/>
    <col min="4" max="4" width="16.77734375" customWidth="1"/>
    <col min="5" max="5" width="26.77734375" customWidth="1"/>
    <col min="6" max="6" width="14.77734375" customWidth="1"/>
    <col min="7" max="7" width="18.77734375" customWidth="1"/>
    <col min="8" max="8" width="22.77734375" customWidth="1"/>
    <col min="9" max="9" width="24.77734375" customWidth="1"/>
    <col min="10" max="10" width="18.77734375" customWidth="1"/>
    <col min="11" max="11" width="22.77734375" customWidth="1"/>
    <col min="12" max="12" width="34.77734375" customWidth="1"/>
    <col min="13" max="13" width="22.77734375" customWidth="1"/>
    <col min="14" max="14" width="34.77734375" customWidth="1"/>
    <col min="15" max="17" width="30.77734375" customWidth="1"/>
    <col min="18" max="18" width="28.77734375" customWidth="1"/>
    <col min="19" max="20" width="48.77734375" customWidth="1"/>
    <col min="21" max="21" width="16.77734375" customWidth="1"/>
    <col min="22" max="22" width="18.77734375" customWidth="1"/>
    <col min="23" max="23" width="16.77734375" customWidth="1"/>
    <col min="24" max="24" width="30.77734375" customWidth="1"/>
    <col min="25" max="25" width="42.77734375" customWidth="1"/>
  </cols>
  <sheetData>
    <row r="1" spans="1:25" ht="30" customHeight="1" x14ac:dyDescent="0.3">
      <c r="A1" s="1" t="s">
        <v>330</v>
      </c>
      <c r="B1" s="1"/>
      <c r="C1" s="1"/>
      <c r="D1" s="1"/>
      <c r="E1" s="1"/>
      <c r="F1" s="1"/>
      <c r="G1" s="1"/>
      <c r="H1" s="1"/>
      <c r="I1" s="1"/>
      <c r="J1" s="1"/>
      <c r="K1" s="1"/>
      <c r="L1" s="1"/>
      <c r="M1" s="1"/>
      <c r="N1" s="1"/>
      <c r="O1" s="1"/>
      <c r="P1" s="1"/>
      <c r="Q1" s="1"/>
      <c r="R1" s="1"/>
      <c r="S1" s="1"/>
      <c r="T1" s="1"/>
      <c r="U1" s="1"/>
      <c r="V1" s="1"/>
      <c r="W1" s="1"/>
      <c r="X1" s="1"/>
      <c r="Y1" s="1"/>
    </row>
    <row r="2" spans="1:25" ht="28.05" customHeight="1" x14ac:dyDescent="0.3">
      <c r="A2" s="2" t="s">
        <v>331</v>
      </c>
      <c r="B2" s="2"/>
      <c r="C2" s="2"/>
      <c r="D2" s="2"/>
      <c r="E2" s="2"/>
      <c r="F2" s="2"/>
      <c r="G2" s="2"/>
      <c r="H2" s="2"/>
      <c r="I2" s="2"/>
      <c r="J2" s="2"/>
      <c r="K2" s="2"/>
      <c r="L2" s="2"/>
      <c r="M2" s="2"/>
      <c r="N2" s="2"/>
      <c r="O2" s="2"/>
      <c r="P2" s="2"/>
      <c r="Q2" s="2"/>
      <c r="R2" s="2"/>
      <c r="S2" s="2"/>
      <c r="T2" s="2"/>
      <c r="U2" s="2"/>
      <c r="V2" s="2"/>
      <c r="W2" s="2"/>
      <c r="X2" s="2"/>
      <c r="Y2" s="2"/>
    </row>
    <row r="4" spans="1:25" ht="42" customHeight="1" x14ac:dyDescent="0.3">
      <c r="A4" s="7" t="s">
        <v>219</v>
      </c>
      <c r="B4" s="9" t="s">
        <v>92</v>
      </c>
      <c r="C4" s="7" t="s">
        <v>93</v>
      </c>
      <c r="D4" s="7" t="s">
        <v>332</v>
      </c>
      <c r="E4" s="7" t="s">
        <v>333</v>
      </c>
      <c r="F4" s="7" t="s">
        <v>334</v>
      </c>
      <c r="G4" s="7" t="s">
        <v>335</v>
      </c>
      <c r="H4" s="7" t="s">
        <v>336</v>
      </c>
      <c r="I4" s="7" t="s">
        <v>337</v>
      </c>
      <c r="J4" s="7" t="s">
        <v>338</v>
      </c>
      <c r="K4" s="7" t="s">
        <v>339</v>
      </c>
      <c r="L4" s="7" t="s">
        <v>340</v>
      </c>
      <c r="M4" s="7" t="s">
        <v>341</v>
      </c>
      <c r="N4" s="7" t="s">
        <v>342</v>
      </c>
      <c r="O4" s="7" t="s">
        <v>343</v>
      </c>
      <c r="P4" s="7" t="s">
        <v>344</v>
      </c>
      <c r="Q4" s="7" t="s">
        <v>345</v>
      </c>
      <c r="R4" s="7" t="s">
        <v>346</v>
      </c>
      <c r="S4" s="7" t="s">
        <v>347</v>
      </c>
      <c r="T4" s="7" t="s">
        <v>348</v>
      </c>
      <c r="U4" s="7" t="s">
        <v>349</v>
      </c>
      <c r="V4" s="7" t="s">
        <v>104</v>
      </c>
      <c r="W4" s="7" t="s">
        <v>25</v>
      </c>
      <c r="X4" s="7" t="s">
        <v>107</v>
      </c>
      <c r="Y4" s="7" t="s">
        <v>7</v>
      </c>
    </row>
    <row r="5" spans="1:25" ht="36" x14ac:dyDescent="0.3">
      <c r="A5" s="8" t="s">
        <v>350</v>
      </c>
      <c r="B5" s="10">
        <v>270202</v>
      </c>
      <c r="C5" s="8" t="s">
        <v>351</v>
      </c>
      <c r="D5" s="8" t="s">
        <v>352</v>
      </c>
      <c r="E5" s="8" t="s">
        <v>353</v>
      </c>
      <c r="F5" s="8" t="b">
        <v>1</v>
      </c>
      <c r="G5" s="8" t="s">
        <v>354</v>
      </c>
      <c r="H5" s="8" t="s">
        <v>355</v>
      </c>
      <c r="I5" s="8" t="s">
        <v>355</v>
      </c>
      <c r="J5" s="8" t="s">
        <v>356</v>
      </c>
      <c r="K5" s="8" t="s">
        <v>357</v>
      </c>
      <c r="L5" s="8" t="s">
        <v>358</v>
      </c>
      <c r="M5" s="8" t="s">
        <v>359</v>
      </c>
      <c r="N5" s="8" t="s">
        <v>355</v>
      </c>
      <c r="O5" s="8" t="s">
        <v>360</v>
      </c>
      <c r="P5" s="8" t="s">
        <v>361</v>
      </c>
      <c r="Q5" s="8" t="s">
        <v>362</v>
      </c>
      <c r="R5" s="8" t="s">
        <v>363</v>
      </c>
      <c r="S5" s="8" t="s">
        <v>364</v>
      </c>
      <c r="T5" s="8"/>
      <c r="U5" s="8" t="s">
        <v>111</v>
      </c>
      <c r="V5" s="8" t="s">
        <v>111</v>
      </c>
      <c r="W5" s="8" t="s">
        <v>112</v>
      </c>
      <c r="X5" s="8"/>
      <c r="Y5" s="8" t="s">
        <v>365</v>
      </c>
    </row>
    <row r="6" spans="1:25" ht="36" x14ac:dyDescent="0.3">
      <c r="A6" s="8" t="s">
        <v>366</v>
      </c>
      <c r="B6" s="10">
        <v>263527</v>
      </c>
      <c r="C6" s="8" t="s">
        <v>367</v>
      </c>
      <c r="D6" s="8" t="s">
        <v>352</v>
      </c>
      <c r="E6" s="8" t="s">
        <v>353</v>
      </c>
      <c r="F6" s="8" t="b">
        <v>1</v>
      </c>
      <c r="G6" s="8" t="s">
        <v>354</v>
      </c>
      <c r="H6" s="8" t="s">
        <v>355</v>
      </c>
      <c r="I6" s="8" t="s">
        <v>355</v>
      </c>
      <c r="J6" s="8" t="s">
        <v>356</v>
      </c>
      <c r="K6" s="8" t="s">
        <v>357</v>
      </c>
      <c r="L6" s="8" t="s">
        <v>358</v>
      </c>
      <c r="M6" s="8" t="s">
        <v>359</v>
      </c>
      <c r="N6" s="8" t="s">
        <v>355</v>
      </c>
      <c r="O6" s="8" t="s">
        <v>360</v>
      </c>
      <c r="P6" s="8" t="s">
        <v>361</v>
      </c>
      <c r="Q6" s="8" t="s">
        <v>362</v>
      </c>
      <c r="R6" s="8" t="s">
        <v>363</v>
      </c>
      <c r="S6" s="8" t="s">
        <v>364</v>
      </c>
      <c r="T6" s="8"/>
      <c r="U6" s="8" t="s">
        <v>111</v>
      </c>
      <c r="V6" s="8" t="s">
        <v>111</v>
      </c>
      <c r="W6" s="8" t="s">
        <v>112</v>
      </c>
      <c r="X6" s="8"/>
      <c r="Y6" s="8" t="s">
        <v>365</v>
      </c>
    </row>
    <row r="7" spans="1:25" ht="36" x14ac:dyDescent="0.3">
      <c r="A7" s="8" t="s">
        <v>368</v>
      </c>
      <c r="B7" s="10">
        <v>238801</v>
      </c>
      <c r="C7" s="8" t="s">
        <v>110</v>
      </c>
      <c r="D7" s="8" t="s">
        <v>352</v>
      </c>
      <c r="E7" s="8" t="s">
        <v>353</v>
      </c>
      <c r="F7" s="8" t="b">
        <v>1</v>
      </c>
      <c r="G7" s="8" t="s">
        <v>354</v>
      </c>
      <c r="H7" s="8" t="s">
        <v>355</v>
      </c>
      <c r="I7" s="8" t="s">
        <v>355</v>
      </c>
      <c r="J7" s="8" t="s">
        <v>356</v>
      </c>
      <c r="K7" s="8" t="s">
        <v>357</v>
      </c>
      <c r="L7" s="8" t="s">
        <v>358</v>
      </c>
      <c r="M7" s="8" t="s">
        <v>359</v>
      </c>
      <c r="N7" s="8" t="s">
        <v>355</v>
      </c>
      <c r="O7" s="8" t="s">
        <v>360</v>
      </c>
      <c r="P7" s="8" t="s">
        <v>361</v>
      </c>
      <c r="Q7" s="8" t="s">
        <v>362</v>
      </c>
      <c r="R7" s="8" t="s">
        <v>363</v>
      </c>
      <c r="S7" s="8" t="s">
        <v>364</v>
      </c>
      <c r="T7" s="8"/>
      <c r="U7" s="8" t="s">
        <v>111</v>
      </c>
      <c r="V7" s="8" t="s">
        <v>111</v>
      </c>
      <c r="W7" s="8" t="s">
        <v>112</v>
      </c>
      <c r="X7" s="8"/>
      <c r="Y7" s="8" t="s">
        <v>365</v>
      </c>
    </row>
    <row r="8" spans="1:25" ht="36" x14ac:dyDescent="0.3">
      <c r="A8" s="8" t="s">
        <v>369</v>
      </c>
      <c r="B8" s="10">
        <v>265179</v>
      </c>
      <c r="C8" s="8" t="s">
        <v>370</v>
      </c>
      <c r="D8" s="8" t="s">
        <v>352</v>
      </c>
      <c r="E8" s="8" t="s">
        <v>353</v>
      </c>
      <c r="F8" s="8" t="b">
        <v>1</v>
      </c>
      <c r="G8" s="8" t="s">
        <v>354</v>
      </c>
      <c r="H8" s="8" t="s">
        <v>355</v>
      </c>
      <c r="I8" s="8" t="s">
        <v>355</v>
      </c>
      <c r="J8" s="8" t="s">
        <v>356</v>
      </c>
      <c r="K8" s="8" t="s">
        <v>357</v>
      </c>
      <c r="L8" s="8" t="s">
        <v>358</v>
      </c>
      <c r="M8" s="8" t="s">
        <v>359</v>
      </c>
      <c r="N8" s="8" t="s">
        <v>355</v>
      </c>
      <c r="O8" s="8" t="s">
        <v>360</v>
      </c>
      <c r="P8" s="8" t="s">
        <v>361</v>
      </c>
      <c r="Q8" s="8" t="s">
        <v>362</v>
      </c>
      <c r="R8" s="8" t="s">
        <v>363</v>
      </c>
      <c r="S8" s="8" t="s">
        <v>364</v>
      </c>
      <c r="T8" s="8"/>
      <c r="U8" s="8" t="s">
        <v>111</v>
      </c>
      <c r="V8" s="8" t="s">
        <v>111</v>
      </c>
      <c r="W8" s="8" t="s">
        <v>112</v>
      </c>
      <c r="X8" s="8"/>
      <c r="Y8" s="8" t="s">
        <v>365</v>
      </c>
    </row>
    <row r="9" spans="1:25" ht="36" x14ac:dyDescent="0.3">
      <c r="A9" s="8" t="s">
        <v>371</v>
      </c>
      <c r="B9" s="10">
        <v>319925</v>
      </c>
      <c r="C9" s="8" t="s">
        <v>116</v>
      </c>
      <c r="D9" s="8" t="s">
        <v>352</v>
      </c>
      <c r="E9" s="8" t="s">
        <v>372</v>
      </c>
      <c r="F9" s="8" t="b">
        <v>1</v>
      </c>
      <c r="G9" s="8" t="s">
        <v>354</v>
      </c>
      <c r="H9" s="8" t="s">
        <v>355</v>
      </c>
      <c r="I9" s="8" t="s">
        <v>355</v>
      </c>
      <c r="J9" s="8" t="s">
        <v>356</v>
      </c>
      <c r="K9" s="8" t="s">
        <v>357</v>
      </c>
      <c r="L9" s="8" t="s">
        <v>373</v>
      </c>
      <c r="M9" s="8" t="s">
        <v>359</v>
      </c>
      <c r="N9" s="8" t="s">
        <v>355</v>
      </c>
      <c r="O9" s="8" t="s">
        <v>360</v>
      </c>
      <c r="P9" s="8" t="s">
        <v>361</v>
      </c>
      <c r="Q9" s="8" t="s">
        <v>362</v>
      </c>
      <c r="R9" s="8" t="s">
        <v>363</v>
      </c>
      <c r="S9" s="8" t="s">
        <v>374</v>
      </c>
      <c r="T9" s="8"/>
      <c r="U9" s="8" t="s">
        <v>111</v>
      </c>
      <c r="V9" s="8" t="s">
        <v>111</v>
      </c>
      <c r="W9" s="8" t="s">
        <v>112</v>
      </c>
      <c r="X9" s="8"/>
      <c r="Y9" s="8" t="s">
        <v>365</v>
      </c>
    </row>
    <row r="10" spans="1:25" ht="36" x14ac:dyDescent="0.3">
      <c r="A10" s="8" t="s">
        <v>375</v>
      </c>
      <c r="B10" s="10">
        <v>215656</v>
      </c>
      <c r="C10" s="8" t="s">
        <v>118</v>
      </c>
      <c r="D10" s="8" t="s">
        <v>352</v>
      </c>
      <c r="E10" s="8" t="s">
        <v>353</v>
      </c>
      <c r="F10" s="8" t="b">
        <v>1</v>
      </c>
      <c r="G10" s="8" t="s">
        <v>354</v>
      </c>
      <c r="H10" s="8" t="s">
        <v>355</v>
      </c>
      <c r="I10" s="8" t="s">
        <v>355</v>
      </c>
      <c r="J10" s="8" t="s">
        <v>356</v>
      </c>
      <c r="K10" s="8" t="s">
        <v>355</v>
      </c>
      <c r="L10" s="8" t="s">
        <v>355</v>
      </c>
      <c r="M10" s="8" t="s">
        <v>355</v>
      </c>
      <c r="N10" s="8" t="s">
        <v>355</v>
      </c>
      <c r="O10" s="8" t="s">
        <v>360</v>
      </c>
      <c r="P10" s="8" t="s">
        <v>361</v>
      </c>
      <c r="Q10" s="8" t="s">
        <v>362</v>
      </c>
      <c r="R10" s="8" t="s">
        <v>363</v>
      </c>
      <c r="S10" s="8" t="s">
        <v>376</v>
      </c>
      <c r="T10" s="8"/>
      <c r="U10" s="8" t="s">
        <v>111</v>
      </c>
      <c r="V10" s="8" t="s">
        <v>111</v>
      </c>
      <c r="W10" s="8" t="s">
        <v>112</v>
      </c>
      <c r="X10" s="8"/>
      <c r="Y10" s="8" t="s">
        <v>365</v>
      </c>
    </row>
    <row r="11" spans="1:25" ht="36" x14ac:dyDescent="0.3">
      <c r="A11" s="8" t="s">
        <v>377</v>
      </c>
      <c r="B11" s="10">
        <v>319918</v>
      </c>
      <c r="C11" s="8" t="s">
        <v>120</v>
      </c>
      <c r="D11" s="8" t="s">
        <v>352</v>
      </c>
      <c r="E11" s="8" t="s">
        <v>355</v>
      </c>
      <c r="F11" s="8" t="s">
        <v>355</v>
      </c>
      <c r="G11" s="8" t="s">
        <v>355</v>
      </c>
      <c r="H11" s="8" t="s">
        <v>355</v>
      </c>
      <c r="I11" s="8" t="s">
        <v>355</v>
      </c>
      <c r="J11" s="8" t="s">
        <v>356</v>
      </c>
      <c r="K11" s="8" t="s">
        <v>355</v>
      </c>
      <c r="L11" s="8" t="s">
        <v>355</v>
      </c>
      <c r="M11" s="8" t="s">
        <v>355</v>
      </c>
      <c r="N11" s="8" t="s">
        <v>355</v>
      </c>
      <c r="O11" s="8" t="s">
        <v>360</v>
      </c>
      <c r="P11" s="8" t="s">
        <v>361</v>
      </c>
      <c r="Q11" s="8" t="s">
        <v>362</v>
      </c>
      <c r="R11" s="8" t="s">
        <v>363</v>
      </c>
      <c r="S11" s="8" t="s">
        <v>378</v>
      </c>
      <c r="T11" s="8"/>
      <c r="U11" s="8" t="s">
        <v>111</v>
      </c>
      <c r="V11" s="8" t="s">
        <v>111</v>
      </c>
      <c r="W11" s="8" t="s">
        <v>112</v>
      </c>
      <c r="X11" s="8"/>
      <c r="Y11" s="8" t="s">
        <v>365</v>
      </c>
    </row>
    <row r="12" spans="1:25" ht="36" x14ac:dyDescent="0.3">
      <c r="A12" s="8" t="s">
        <v>379</v>
      </c>
      <c r="B12" s="10">
        <v>229337</v>
      </c>
      <c r="C12" s="8" t="s">
        <v>380</v>
      </c>
      <c r="D12" s="8" t="s">
        <v>352</v>
      </c>
      <c r="E12" s="8" t="s">
        <v>353</v>
      </c>
      <c r="F12" s="8" t="b">
        <v>1</v>
      </c>
      <c r="G12" s="8" t="s">
        <v>354</v>
      </c>
      <c r="H12" s="8" t="s">
        <v>355</v>
      </c>
      <c r="I12" s="8" t="s">
        <v>355</v>
      </c>
      <c r="J12" s="8" t="s">
        <v>356</v>
      </c>
      <c r="K12" s="8" t="s">
        <v>357</v>
      </c>
      <c r="L12" s="8" t="s">
        <v>358</v>
      </c>
      <c r="M12" s="8" t="s">
        <v>359</v>
      </c>
      <c r="N12" s="8" t="s">
        <v>355</v>
      </c>
      <c r="O12" s="8" t="s">
        <v>360</v>
      </c>
      <c r="P12" s="8" t="s">
        <v>361</v>
      </c>
      <c r="Q12" s="8" t="s">
        <v>362</v>
      </c>
      <c r="R12" s="8" t="s">
        <v>363</v>
      </c>
      <c r="S12" s="8" t="s">
        <v>364</v>
      </c>
      <c r="T12" s="8"/>
      <c r="U12" s="8" t="s">
        <v>111</v>
      </c>
      <c r="V12" s="8" t="s">
        <v>111</v>
      </c>
      <c r="W12" s="8" t="s">
        <v>112</v>
      </c>
      <c r="X12" s="8"/>
      <c r="Y12" s="8" t="s">
        <v>365</v>
      </c>
    </row>
    <row r="13" spans="1:25" ht="36" x14ac:dyDescent="0.3">
      <c r="A13" s="8" t="s">
        <v>381</v>
      </c>
      <c r="B13" s="10">
        <v>276577</v>
      </c>
      <c r="C13" s="8" t="s">
        <v>123</v>
      </c>
      <c r="D13" s="8" t="s">
        <v>352</v>
      </c>
      <c r="E13" s="8" t="s">
        <v>353</v>
      </c>
      <c r="F13" s="8" t="b">
        <v>1</v>
      </c>
      <c r="G13" s="8" t="s">
        <v>354</v>
      </c>
      <c r="H13" s="8" t="s">
        <v>355</v>
      </c>
      <c r="I13" s="8" t="s">
        <v>355</v>
      </c>
      <c r="J13" s="8" t="s">
        <v>356</v>
      </c>
      <c r="K13" s="8" t="s">
        <v>357</v>
      </c>
      <c r="L13" s="8" t="s">
        <v>358</v>
      </c>
      <c r="M13" s="8" t="s">
        <v>359</v>
      </c>
      <c r="N13" s="8" t="s">
        <v>355</v>
      </c>
      <c r="O13" s="8" t="s">
        <v>360</v>
      </c>
      <c r="P13" s="8" t="s">
        <v>361</v>
      </c>
      <c r="Q13" s="8" t="s">
        <v>362</v>
      </c>
      <c r="R13" s="8" t="s">
        <v>363</v>
      </c>
      <c r="S13" s="8" t="s">
        <v>364</v>
      </c>
      <c r="T13" s="8"/>
      <c r="U13" s="8" t="s">
        <v>111</v>
      </c>
      <c r="V13" s="8" t="s">
        <v>111</v>
      </c>
      <c r="W13" s="8" t="s">
        <v>112</v>
      </c>
      <c r="X13" s="8"/>
      <c r="Y13" s="8" t="s">
        <v>365</v>
      </c>
    </row>
    <row r="14" spans="1:25" ht="36" x14ac:dyDescent="0.3">
      <c r="A14" s="8" t="s">
        <v>382</v>
      </c>
      <c r="B14" s="10">
        <v>320120</v>
      </c>
      <c r="C14" s="8" t="s">
        <v>383</v>
      </c>
      <c r="D14" s="8" t="s">
        <v>352</v>
      </c>
      <c r="E14" s="8" t="s">
        <v>353</v>
      </c>
      <c r="F14" s="8" t="b">
        <v>1</v>
      </c>
      <c r="G14" s="8" t="s">
        <v>354</v>
      </c>
      <c r="H14" s="8" t="s">
        <v>355</v>
      </c>
      <c r="I14" s="8" t="s">
        <v>355</v>
      </c>
      <c r="J14" s="8" t="s">
        <v>356</v>
      </c>
      <c r="K14" s="8" t="s">
        <v>384</v>
      </c>
      <c r="L14" s="8" t="s">
        <v>385</v>
      </c>
      <c r="M14" s="8" t="s">
        <v>386</v>
      </c>
      <c r="N14" s="8" t="s">
        <v>385</v>
      </c>
      <c r="O14" s="8" t="s">
        <v>360</v>
      </c>
      <c r="P14" s="8" t="s">
        <v>361</v>
      </c>
      <c r="Q14" s="8" t="s">
        <v>362</v>
      </c>
      <c r="R14" s="8" t="s">
        <v>363</v>
      </c>
      <c r="S14" s="8" t="s">
        <v>387</v>
      </c>
      <c r="T14" s="8"/>
      <c r="U14" s="8" t="s">
        <v>111</v>
      </c>
      <c r="V14" s="8" t="s">
        <v>111</v>
      </c>
      <c r="W14" s="8" t="s">
        <v>112</v>
      </c>
      <c r="X14" s="8"/>
      <c r="Y14" s="8" t="s">
        <v>365</v>
      </c>
    </row>
    <row r="15" spans="1:25" ht="36" x14ac:dyDescent="0.3">
      <c r="A15" s="8" t="s">
        <v>388</v>
      </c>
      <c r="B15" s="10">
        <v>319723</v>
      </c>
      <c r="C15" s="8" t="s">
        <v>389</v>
      </c>
      <c r="D15" s="8" t="s">
        <v>352</v>
      </c>
      <c r="E15" s="8" t="s">
        <v>353</v>
      </c>
      <c r="F15" s="8" t="b">
        <v>1</v>
      </c>
      <c r="G15" s="8" t="s">
        <v>354</v>
      </c>
      <c r="H15" s="8" t="s">
        <v>355</v>
      </c>
      <c r="I15" s="8" t="s">
        <v>355</v>
      </c>
      <c r="J15" s="8" t="s">
        <v>356</v>
      </c>
      <c r="K15" s="8" t="s">
        <v>384</v>
      </c>
      <c r="L15" s="8" t="s">
        <v>385</v>
      </c>
      <c r="M15" s="8" t="s">
        <v>386</v>
      </c>
      <c r="N15" s="8" t="s">
        <v>385</v>
      </c>
      <c r="O15" s="8" t="s">
        <v>360</v>
      </c>
      <c r="P15" s="8" t="s">
        <v>361</v>
      </c>
      <c r="Q15" s="8" t="s">
        <v>362</v>
      </c>
      <c r="R15" s="8" t="s">
        <v>363</v>
      </c>
      <c r="S15" s="8" t="s">
        <v>387</v>
      </c>
      <c r="T15" s="8"/>
      <c r="U15" s="8" t="s">
        <v>111</v>
      </c>
      <c r="V15" s="8" t="s">
        <v>111</v>
      </c>
      <c r="W15" s="8" t="s">
        <v>112</v>
      </c>
      <c r="X15" s="8"/>
      <c r="Y15" s="8" t="s">
        <v>365</v>
      </c>
    </row>
    <row r="16" spans="1:25" ht="36" x14ac:dyDescent="0.3">
      <c r="A16" s="8" t="s">
        <v>390</v>
      </c>
      <c r="B16" s="10">
        <v>319755</v>
      </c>
      <c r="C16" s="8" t="s">
        <v>391</v>
      </c>
      <c r="D16" s="8" t="s">
        <v>352</v>
      </c>
      <c r="E16" s="8" t="s">
        <v>353</v>
      </c>
      <c r="F16" s="8" t="b">
        <v>1</v>
      </c>
      <c r="G16" s="8" t="s">
        <v>354</v>
      </c>
      <c r="H16" s="8" t="s">
        <v>355</v>
      </c>
      <c r="I16" s="8" t="s">
        <v>355</v>
      </c>
      <c r="J16" s="8" t="s">
        <v>356</v>
      </c>
      <c r="K16" s="8" t="s">
        <v>357</v>
      </c>
      <c r="L16" s="8" t="s">
        <v>392</v>
      </c>
      <c r="M16" s="8" t="s">
        <v>359</v>
      </c>
      <c r="N16" s="8" t="s">
        <v>355</v>
      </c>
      <c r="O16" s="8" t="s">
        <v>360</v>
      </c>
      <c r="P16" s="8" t="s">
        <v>361</v>
      </c>
      <c r="Q16" s="8" t="s">
        <v>362</v>
      </c>
      <c r="R16" s="8" t="s">
        <v>363</v>
      </c>
      <c r="S16" s="8" t="s">
        <v>393</v>
      </c>
      <c r="T16" s="8"/>
      <c r="U16" s="8" t="s">
        <v>111</v>
      </c>
      <c r="V16" s="8" t="s">
        <v>111</v>
      </c>
      <c r="W16" s="8" t="s">
        <v>112</v>
      </c>
      <c r="X16" s="8"/>
      <c r="Y16" s="8" t="s">
        <v>365</v>
      </c>
    </row>
    <row r="17" spans="1:25" ht="36" x14ac:dyDescent="0.3">
      <c r="A17" s="8" t="s">
        <v>394</v>
      </c>
      <c r="B17" s="10">
        <v>320308</v>
      </c>
      <c r="C17" s="8" t="s">
        <v>125</v>
      </c>
      <c r="D17" s="8" t="s">
        <v>352</v>
      </c>
      <c r="E17" s="8" t="s">
        <v>353</v>
      </c>
      <c r="F17" s="8" t="b">
        <v>1</v>
      </c>
      <c r="G17" s="8" t="s">
        <v>354</v>
      </c>
      <c r="H17" s="8" t="s">
        <v>355</v>
      </c>
      <c r="I17" s="8" t="s">
        <v>355</v>
      </c>
      <c r="J17" s="8" t="s">
        <v>356</v>
      </c>
      <c r="K17" s="8" t="s">
        <v>357</v>
      </c>
      <c r="L17" s="8" t="s">
        <v>358</v>
      </c>
      <c r="M17" s="8" t="s">
        <v>359</v>
      </c>
      <c r="N17" s="8" t="s">
        <v>355</v>
      </c>
      <c r="O17" s="8" t="s">
        <v>360</v>
      </c>
      <c r="P17" s="8" t="s">
        <v>361</v>
      </c>
      <c r="Q17" s="8" t="s">
        <v>362</v>
      </c>
      <c r="R17" s="8" t="s">
        <v>363</v>
      </c>
      <c r="S17" s="8" t="s">
        <v>364</v>
      </c>
      <c r="T17" s="8"/>
      <c r="U17" s="8" t="s">
        <v>111</v>
      </c>
      <c r="V17" s="8" t="s">
        <v>111</v>
      </c>
      <c r="W17" s="8" t="s">
        <v>112</v>
      </c>
      <c r="X17" s="8"/>
      <c r="Y17" s="8" t="s">
        <v>365</v>
      </c>
    </row>
    <row r="18" spans="1:25" ht="36" x14ac:dyDescent="0.3">
      <c r="A18" s="8" t="s">
        <v>395</v>
      </c>
      <c r="B18" s="10">
        <v>315721</v>
      </c>
      <c r="C18" s="8" t="s">
        <v>127</v>
      </c>
      <c r="D18" s="8" t="s">
        <v>352</v>
      </c>
      <c r="E18" s="8" t="s">
        <v>353</v>
      </c>
      <c r="F18" s="8" t="b">
        <v>1</v>
      </c>
      <c r="G18" s="8" t="s">
        <v>354</v>
      </c>
      <c r="H18" s="8" t="s">
        <v>355</v>
      </c>
      <c r="I18" s="8" t="s">
        <v>355</v>
      </c>
      <c r="J18" s="8" t="s">
        <v>356</v>
      </c>
      <c r="K18" s="8" t="s">
        <v>357</v>
      </c>
      <c r="L18" s="8" t="s">
        <v>358</v>
      </c>
      <c r="M18" s="8" t="s">
        <v>359</v>
      </c>
      <c r="N18" s="8" t="s">
        <v>355</v>
      </c>
      <c r="O18" s="8" t="s">
        <v>360</v>
      </c>
      <c r="P18" s="8" t="s">
        <v>361</v>
      </c>
      <c r="Q18" s="8" t="s">
        <v>362</v>
      </c>
      <c r="R18" s="8" t="s">
        <v>363</v>
      </c>
      <c r="S18" s="8" t="s">
        <v>364</v>
      </c>
      <c r="T18" s="8"/>
      <c r="U18" s="8" t="s">
        <v>111</v>
      </c>
      <c r="V18" s="8" t="s">
        <v>111</v>
      </c>
      <c r="W18" s="8" t="s">
        <v>112</v>
      </c>
      <c r="X18" s="8"/>
      <c r="Y18" s="8" t="s">
        <v>365</v>
      </c>
    </row>
    <row r="19" spans="1:25" ht="36" x14ac:dyDescent="0.3">
      <c r="A19" s="8" t="s">
        <v>396</v>
      </c>
      <c r="B19" s="10">
        <v>273952</v>
      </c>
      <c r="C19" s="8" t="s">
        <v>129</v>
      </c>
      <c r="D19" s="8" t="s">
        <v>352</v>
      </c>
      <c r="E19" s="8" t="s">
        <v>353</v>
      </c>
      <c r="F19" s="8" t="b">
        <v>1</v>
      </c>
      <c r="G19" s="8" t="s">
        <v>354</v>
      </c>
      <c r="H19" s="8" t="s">
        <v>355</v>
      </c>
      <c r="I19" s="8" t="s">
        <v>355</v>
      </c>
      <c r="J19" s="8" t="s">
        <v>356</v>
      </c>
      <c r="K19" s="8" t="s">
        <v>357</v>
      </c>
      <c r="L19" s="8" t="s">
        <v>358</v>
      </c>
      <c r="M19" s="8" t="s">
        <v>359</v>
      </c>
      <c r="N19" s="8" t="s">
        <v>355</v>
      </c>
      <c r="O19" s="8" t="s">
        <v>360</v>
      </c>
      <c r="P19" s="8" t="s">
        <v>361</v>
      </c>
      <c r="Q19" s="8" t="s">
        <v>362</v>
      </c>
      <c r="R19" s="8" t="s">
        <v>363</v>
      </c>
      <c r="S19" s="8" t="s">
        <v>364</v>
      </c>
      <c r="T19" s="8"/>
      <c r="U19" s="8" t="s">
        <v>111</v>
      </c>
      <c r="V19" s="8" t="s">
        <v>111</v>
      </c>
      <c r="W19" s="8" t="s">
        <v>112</v>
      </c>
      <c r="X19" s="8"/>
      <c r="Y19" s="8" t="s">
        <v>365</v>
      </c>
    </row>
    <row r="20" spans="1:25" ht="36" x14ac:dyDescent="0.3">
      <c r="A20" s="8" t="s">
        <v>397</v>
      </c>
      <c r="B20" s="10">
        <v>296844</v>
      </c>
      <c r="C20" s="8" t="s">
        <v>398</v>
      </c>
      <c r="D20" s="8" t="s">
        <v>352</v>
      </c>
      <c r="E20" s="8" t="s">
        <v>353</v>
      </c>
      <c r="F20" s="8" t="b">
        <v>1</v>
      </c>
      <c r="G20" s="8" t="s">
        <v>354</v>
      </c>
      <c r="H20" s="8" t="s">
        <v>355</v>
      </c>
      <c r="I20" s="8" t="s">
        <v>355</v>
      </c>
      <c r="J20" s="8" t="s">
        <v>356</v>
      </c>
      <c r="K20" s="8" t="s">
        <v>357</v>
      </c>
      <c r="L20" s="8" t="s">
        <v>358</v>
      </c>
      <c r="M20" s="8" t="s">
        <v>359</v>
      </c>
      <c r="N20" s="8" t="s">
        <v>355</v>
      </c>
      <c r="O20" s="8" t="s">
        <v>360</v>
      </c>
      <c r="P20" s="8" t="s">
        <v>361</v>
      </c>
      <c r="Q20" s="8" t="s">
        <v>362</v>
      </c>
      <c r="R20" s="8" t="s">
        <v>363</v>
      </c>
      <c r="S20" s="8" t="s">
        <v>364</v>
      </c>
      <c r="T20" s="8"/>
      <c r="U20" s="8" t="s">
        <v>111</v>
      </c>
      <c r="V20" s="8" t="s">
        <v>111</v>
      </c>
      <c r="W20" s="8" t="s">
        <v>112</v>
      </c>
      <c r="X20" s="8"/>
      <c r="Y20" s="8" t="s">
        <v>365</v>
      </c>
    </row>
    <row r="21" spans="1:25" ht="36" x14ac:dyDescent="0.3">
      <c r="A21" s="8" t="s">
        <v>399</v>
      </c>
      <c r="B21" s="10">
        <v>297212</v>
      </c>
      <c r="C21" s="8" t="s">
        <v>131</v>
      </c>
      <c r="D21" s="8" t="s">
        <v>352</v>
      </c>
      <c r="E21" s="8" t="s">
        <v>353</v>
      </c>
      <c r="F21" s="8" t="b">
        <v>1</v>
      </c>
      <c r="G21" s="8" t="s">
        <v>354</v>
      </c>
      <c r="H21" s="8" t="s">
        <v>355</v>
      </c>
      <c r="I21" s="8" t="s">
        <v>355</v>
      </c>
      <c r="J21" s="8" t="s">
        <v>356</v>
      </c>
      <c r="K21" s="8" t="s">
        <v>357</v>
      </c>
      <c r="L21" s="8" t="s">
        <v>358</v>
      </c>
      <c r="M21" s="8" t="s">
        <v>359</v>
      </c>
      <c r="N21" s="8" t="s">
        <v>355</v>
      </c>
      <c r="O21" s="8" t="s">
        <v>360</v>
      </c>
      <c r="P21" s="8" t="s">
        <v>361</v>
      </c>
      <c r="Q21" s="8" t="s">
        <v>362</v>
      </c>
      <c r="R21" s="8" t="s">
        <v>363</v>
      </c>
      <c r="S21" s="8" t="s">
        <v>364</v>
      </c>
      <c r="T21" s="8"/>
      <c r="U21" s="8" t="s">
        <v>111</v>
      </c>
      <c r="V21" s="8" t="s">
        <v>111</v>
      </c>
      <c r="W21" s="8" t="s">
        <v>112</v>
      </c>
      <c r="X21" s="8"/>
      <c r="Y21" s="8" t="s">
        <v>365</v>
      </c>
    </row>
    <row r="22" spans="1:25" ht="36" x14ac:dyDescent="0.3">
      <c r="A22" s="8" t="s">
        <v>400</v>
      </c>
      <c r="B22" s="10">
        <v>300954</v>
      </c>
      <c r="C22" s="8" t="s">
        <v>133</v>
      </c>
      <c r="D22" s="8" t="s">
        <v>352</v>
      </c>
      <c r="E22" s="8" t="s">
        <v>353</v>
      </c>
      <c r="F22" s="8" t="b">
        <v>1</v>
      </c>
      <c r="G22" s="8" t="s">
        <v>354</v>
      </c>
      <c r="H22" s="8" t="s">
        <v>355</v>
      </c>
      <c r="I22" s="8" t="s">
        <v>355</v>
      </c>
      <c r="J22" s="8" t="s">
        <v>356</v>
      </c>
      <c r="K22" s="8" t="s">
        <v>357</v>
      </c>
      <c r="L22" s="8" t="s">
        <v>401</v>
      </c>
      <c r="M22" s="8" t="s">
        <v>359</v>
      </c>
      <c r="N22" s="8" t="s">
        <v>355</v>
      </c>
      <c r="O22" s="8" t="s">
        <v>360</v>
      </c>
      <c r="P22" s="8" t="s">
        <v>361</v>
      </c>
      <c r="Q22" s="8" t="s">
        <v>362</v>
      </c>
      <c r="R22" s="8" t="s">
        <v>363</v>
      </c>
      <c r="S22" s="8" t="s">
        <v>402</v>
      </c>
      <c r="T22" s="8"/>
      <c r="U22" s="8" t="s">
        <v>111</v>
      </c>
      <c r="V22" s="8" t="s">
        <v>111</v>
      </c>
      <c r="W22" s="8" t="s">
        <v>112</v>
      </c>
      <c r="X22" s="8"/>
      <c r="Y22" s="8" t="s">
        <v>365</v>
      </c>
    </row>
    <row r="23" spans="1:25" ht="36" x14ac:dyDescent="0.3">
      <c r="A23" s="8" t="s">
        <v>403</v>
      </c>
      <c r="B23" s="10">
        <v>296396</v>
      </c>
      <c r="C23" s="8" t="s">
        <v>404</v>
      </c>
      <c r="D23" s="8" t="s">
        <v>352</v>
      </c>
      <c r="E23" s="8" t="s">
        <v>353</v>
      </c>
      <c r="F23" s="8" t="b">
        <v>1</v>
      </c>
      <c r="G23" s="8" t="s">
        <v>354</v>
      </c>
      <c r="H23" s="8" t="s">
        <v>355</v>
      </c>
      <c r="I23" s="8" t="s">
        <v>355</v>
      </c>
      <c r="J23" s="8" t="s">
        <v>356</v>
      </c>
      <c r="K23" s="8" t="s">
        <v>357</v>
      </c>
      <c r="L23" s="8" t="s">
        <v>358</v>
      </c>
      <c r="M23" s="8" t="s">
        <v>359</v>
      </c>
      <c r="N23" s="8" t="s">
        <v>355</v>
      </c>
      <c r="O23" s="8" t="s">
        <v>360</v>
      </c>
      <c r="P23" s="8" t="s">
        <v>361</v>
      </c>
      <c r="Q23" s="8" t="s">
        <v>362</v>
      </c>
      <c r="R23" s="8" t="s">
        <v>363</v>
      </c>
      <c r="S23" s="8" t="s">
        <v>364</v>
      </c>
      <c r="T23" s="8"/>
      <c r="U23" s="8" t="s">
        <v>111</v>
      </c>
      <c r="V23" s="8" t="s">
        <v>111</v>
      </c>
      <c r="W23" s="8" t="s">
        <v>112</v>
      </c>
      <c r="X23" s="8"/>
      <c r="Y23" s="8" t="s">
        <v>365</v>
      </c>
    </row>
    <row r="24" spans="1:25" ht="36" x14ac:dyDescent="0.3">
      <c r="A24" s="8" t="s">
        <v>405</v>
      </c>
      <c r="B24" s="10">
        <v>234366</v>
      </c>
      <c r="C24" s="8" t="s">
        <v>135</v>
      </c>
      <c r="D24" s="8" t="s">
        <v>352</v>
      </c>
      <c r="E24" s="8" t="s">
        <v>353</v>
      </c>
      <c r="F24" s="8" t="b">
        <v>1</v>
      </c>
      <c r="G24" s="8" t="s">
        <v>354</v>
      </c>
      <c r="H24" s="8" t="s">
        <v>355</v>
      </c>
      <c r="I24" s="8" t="s">
        <v>355</v>
      </c>
      <c r="J24" s="8" t="s">
        <v>356</v>
      </c>
      <c r="K24" s="8" t="s">
        <v>357</v>
      </c>
      <c r="L24" s="8" t="s">
        <v>358</v>
      </c>
      <c r="M24" s="8" t="s">
        <v>359</v>
      </c>
      <c r="N24" s="8" t="s">
        <v>355</v>
      </c>
      <c r="O24" s="8" t="s">
        <v>360</v>
      </c>
      <c r="P24" s="8" t="s">
        <v>361</v>
      </c>
      <c r="Q24" s="8" t="s">
        <v>362</v>
      </c>
      <c r="R24" s="8" t="s">
        <v>363</v>
      </c>
      <c r="S24" s="8" t="s">
        <v>364</v>
      </c>
      <c r="T24" s="8"/>
      <c r="U24" s="8" t="s">
        <v>111</v>
      </c>
      <c r="V24" s="8" t="s">
        <v>111</v>
      </c>
      <c r="W24" s="8" t="s">
        <v>112</v>
      </c>
      <c r="X24" s="8"/>
      <c r="Y24" s="8" t="s">
        <v>365</v>
      </c>
    </row>
    <row r="25" spans="1:25" ht="36" x14ac:dyDescent="0.3">
      <c r="A25" s="8" t="s">
        <v>406</v>
      </c>
      <c r="B25" s="10">
        <v>230418</v>
      </c>
      <c r="C25" s="8" t="s">
        <v>407</v>
      </c>
      <c r="D25" s="8" t="s">
        <v>352</v>
      </c>
      <c r="E25" s="8" t="s">
        <v>353</v>
      </c>
      <c r="F25" s="8" t="b">
        <v>1</v>
      </c>
      <c r="G25" s="8" t="s">
        <v>354</v>
      </c>
      <c r="H25" s="8" t="s">
        <v>355</v>
      </c>
      <c r="I25" s="8" t="s">
        <v>355</v>
      </c>
      <c r="J25" s="8" t="s">
        <v>356</v>
      </c>
      <c r="K25" s="8" t="s">
        <v>357</v>
      </c>
      <c r="L25" s="8" t="s">
        <v>358</v>
      </c>
      <c r="M25" s="8" t="s">
        <v>359</v>
      </c>
      <c r="N25" s="8" t="s">
        <v>355</v>
      </c>
      <c r="O25" s="8" t="s">
        <v>360</v>
      </c>
      <c r="P25" s="8" t="s">
        <v>361</v>
      </c>
      <c r="Q25" s="8" t="s">
        <v>362</v>
      </c>
      <c r="R25" s="8" t="s">
        <v>363</v>
      </c>
      <c r="S25" s="8" t="s">
        <v>364</v>
      </c>
      <c r="T25" s="8"/>
      <c r="U25" s="8" t="s">
        <v>111</v>
      </c>
      <c r="V25" s="8" t="s">
        <v>111</v>
      </c>
      <c r="W25" s="8" t="s">
        <v>112</v>
      </c>
      <c r="X25" s="8"/>
      <c r="Y25" s="8" t="s">
        <v>365</v>
      </c>
    </row>
    <row r="26" spans="1:25" ht="36" x14ac:dyDescent="0.3">
      <c r="A26" s="8" t="s">
        <v>408</v>
      </c>
      <c r="B26" s="10">
        <v>293981</v>
      </c>
      <c r="C26" s="8" t="s">
        <v>137</v>
      </c>
      <c r="D26" s="8" t="s">
        <v>352</v>
      </c>
      <c r="E26" s="8" t="s">
        <v>353</v>
      </c>
      <c r="F26" s="8" t="b">
        <v>1</v>
      </c>
      <c r="G26" s="8" t="s">
        <v>354</v>
      </c>
      <c r="H26" s="8" t="s">
        <v>355</v>
      </c>
      <c r="I26" s="8" t="s">
        <v>355</v>
      </c>
      <c r="J26" s="8" t="s">
        <v>356</v>
      </c>
      <c r="K26" s="8" t="s">
        <v>357</v>
      </c>
      <c r="L26" s="8" t="s">
        <v>358</v>
      </c>
      <c r="M26" s="8" t="s">
        <v>359</v>
      </c>
      <c r="N26" s="8" t="s">
        <v>355</v>
      </c>
      <c r="O26" s="8" t="s">
        <v>360</v>
      </c>
      <c r="P26" s="8" t="s">
        <v>361</v>
      </c>
      <c r="Q26" s="8" t="s">
        <v>362</v>
      </c>
      <c r="R26" s="8" t="s">
        <v>363</v>
      </c>
      <c r="S26" s="8" t="s">
        <v>364</v>
      </c>
      <c r="T26" s="8"/>
      <c r="U26" s="8" t="s">
        <v>111</v>
      </c>
      <c r="V26" s="8" t="s">
        <v>111</v>
      </c>
      <c r="W26" s="8" t="s">
        <v>112</v>
      </c>
      <c r="X26" s="8"/>
      <c r="Y26" s="8" t="s">
        <v>365</v>
      </c>
    </row>
    <row r="27" spans="1:25" ht="36" x14ac:dyDescent="0.3">
      <c r="A27" s="8" t="s">
        <v>409</v>
      </c>
      <c r="B27" s="10">
        <v>292990</v>
      </c>
      <c r="C27" s="8" t="s">
        <v>139</v>
      </c>
      <c r="D27" s="8" t="s">
        <v>352</v>
      </c>
      <c r="E27" s="8" t="s">
        <v>353</v>
      </c>
      <c r="F27" s="8" t="b">
        <v>1</v>
      </c>
      <c r="G27" s="8" t="s">
        <v>354</v>
      </c>
      <c r="H27" s="8" t="s">
        <v>355</v>
      </c>
      <c r="I27" s="8" t="s">
        <v>355</v>
      </c>
      <c r="J27" s="8" t="s">
        <v>356</v>
      </c>
      <c r="K27" s="8" t="s">
        <v>357</v>
      </c>
      <c r="L27" s="8" t="s">
        <v>358</v>
      </c>
      <c r="M27" s="8" t="s">
        <v>359</v>
      </c>
      <c r="N27" s="8" t="s">
        <v>355</v>
      </c>
      <c r="O27" s="8" t="s">
        <v>360</v>
      </c>
      <c r="P27" s="8" t="s">
        <v>361</v>
      </c>
      <c r="Q27" s="8" t="s">
        <v>362</v>
      </c>
      <c r="R27" s="8" t="s">
        <v>363</v>
      </c>
      <c r="S27" s="8" t="s">
        <v>364</v>
      </c>
      <c r="T27" s="8"/>
      <c r="U27" s="8" t="s">
        <v>111</v>
      </c>
      <c r="V27" s="8" t="s">
        <v>111</v>
      </c>
      <c r="W27" s="8" t="s">
        <v>112</v>
      </c>
      <c r="X27" s="8"/>
      <c r="Y27" s="8" t="s">
        <v>365</v>
      </c>
    </row>
    <row r="28" spans="1:25" ht="36" x14ac:dyDescent="0.3">
      <c r="A28" s="8" t="s">
        <v>410</v>
      </c>
      <c r="B28" s="10">
        <v>293148</v>
      </c>
      <c r="C28" s="8" t="s">
        <v>141</v>
      </c>
      <c r="D28" s="8" t="s">
        <v>352</v>
      </c>
      <c r="E28" s="8" t="s">
        <v>353</v>
      </c>
      <c r="F28" s="8" t="b">
        <v>1</v>
      </c>
      <c r="G28" s="8" t="s">
        <v>354</v>
      </c>
      <c r="H28" s="8" t="s">
        <v>355</v>
      </c>
      <c r="I28" s="8" t="s">
        <v>355</v>
      </c>
      <c r="J28" s="8" t="s">
        <v>356</v>
      </c>
      <c r="K28" s="8" t="s">
        <v>357</v>
      </c>
      <c r="L28" s="8" t="s">
        <v>358</v>
      </c>
      <c r="M28" s="8" t="s">
        <v>359</v>
      </c>
      <c r="N28" s="8" t="s">
        <v>355</v>
      </c>
      <c r="O28" s="8" t="s">
        <v>360</v>
      </c>
      <c r="P28" s="8" t="s">
        <v>361</v>
      </c>
      <c r="Q28" s="8" t="s">
        <v>362</v>
      </c>
      <c r="R28" s="8" t="s">
        <v>363</v>
      </c>
      <c r="S28" s="8" t="s">
        <v>364</v>
      </c>
      <c r="T28" s="8"/>
      <c r="U28" s="8" t="s">
        <v>111</v>
      </c>
      <c r="V28" s="8" t="s">
        <v>111</v>
      </c>
      <c r="W28" s="8" t="s">
        <v>112</v>
      </c>
      <c r="X28" s="8"/>
      <c r="Y28" s="8" t="s">
        <v>365</v>
      </c>
    </row>
    <row r="29" spans="1:25" ht="36" x14ac:dyDescent="0.3">
      <c r="A29" s="8" t="s">
        <v>411</v>
      </c>
      <c r="B29" s="10">
        <v>301378</v>
      </c>
      <c r="C29" s="8" t="s">
        <v>412</v>
      </c>
      <c r="D29" s="8" t="s">
        <v>352</v>
      </c>
      <c r="E29" s="8" t="s">
        <v>353</v>
      </c>
      <c r="F29" s="8" t="b">
        <v>1</v>
      </c>
      <c r="G29" s="8" t="s">
        <v>354</v>
      </c>
      <c r="H29" s="8" t="s">
        <v>355</v>
      </c>
      <c r="I29" s="8" t="s">
        <v>355</v>
      </c>
      <c r="J29" s="8" t="s">
        <v>356</v>
      </c>
      <c r="K29" s="8" t="s">
        <v>357</v>
      </c>
      <c r="L29" s="8" t="s">
        <v>358</v>
      </c>
      <c r="M29" s="8" t="s">
        <v>359</v>
      </c>
      <c r="N29" s="8" t="s">
        <v>355</v>
      </c>
      <c r="O29" s="8" t="s">
        <v>360</v>
      </c>
      <c r="P29" s="8" t="s">
        <v>361</v>
      </c>
      <c r="Q29" s="8" t="s">
        <v>362</v>
      </c>
      <c r="R29" s="8" t="s">
        <v>363</v>
      </c>
      <c r="S29" s="8" t="s">
        <v>364</v>
      </c>
      <c r="T29" s="8"/>
      <c r="U29" s="8" t="s">
        <v>111</v>
      </c>
      <c r="V29" s="8" t="s">
        <v>111</v>
      </c>
      <c r="W29" s="8" t="s">
        <v>112</v>
      </c>
      <c r="X29" s="8"/>
      <c r="Y29" s="8" t="s">
        <v>365</v>
      </c>
    </row>
    <row r="30" spans="1:25" ht="72" x14ac:dyDescent="0.3">
      <c r="A30" s="8" t="s">
        <v>413</v>
      </c>
      <c r="B30" s="10">
        <v>277464</v>
      </c>
      <c r="C30" s="8" t="s">
        <v>414</v>
      </c>
      <c r="D30" s="8" t="s">
        <v>352</v>
      </c>
      <c r="E30" s="8" t="s">
        <v>415</v>
      </c>
      <c r="F30" s="8" t="b">
        <v>1</v>
      </c>
      <c r="G30" s="8" t="s">
        <v>354</v>
      </c>
      <c r="H30" s="8" t="s">
        <v>355</v>
      </c>
      <c r="I30" s="8" t="s">
        <v>355</v>
      </c>
      <c r="J30" s="8" t="s">
        <v>356</v>
      </c>
      <c r="K30" s="8" t="s">
        <v>416</v>
      </c>
      <c r="L30" s="8" t="s">
        <v>417</v>
      </c>
      <c r="M30" s="8" t="s">
        <v>418</v>
      </c>
      <c r="N30" s="8" t="s">
        <v>417</v>
      </c>
      <c r="O30" s="8" t="s">
        <v>360</v>
      </c>
      <c r="P30" s="8" t="s">
        <v>361</v>
      </c>
      <c r="Q30" s="8" t="s">
        <v>362</v>
      </c>
      <c r="R30" s="8" t="s">
        <v>363</v>
      </c>
      <c r="S30" s="8" t="s">
        <v>419</v>
      </c>
      <c r="T30" s="8"/>
      <c r="U30" s="8" t="s">
        <v>111</v>
      </c>
      <c r="V30" s="8" t="s">
        <v>111</v>
      </c>
      <c r="W30" s="8" t="s">
        <v>112</v>
      </c>
      <c r="X30" s="8"/>
      <c r="Y30" s="8" t="s">
        <v>365</v>
      </c>
    </row>
    <row r="31" spans="1:25" ht="36" x14ac:dyDescent="0.3">
      <c r="A31" s="8" t="s">
        <v>420</v>
      </c>
      <c r="B31" s="10">
        <v>277466</v>
      </c>
      <c r="C31" s="8" t="s">
        <v>421</v>
      </c>
      <c r="D31" s="8" t="s">
        <v>352</v>
      </c>
      <c r="E31" s="8" t="s">
        <v>355</v>
      </c>
      <c r="F31" s="8" t="s">
        <v>355</v>
      </c>
      <c r="G31" s="8" t="s">
        <v>355</v>
      </c>
      <c r="H31" s="8" t="s">
        <v>355</v>
      </c>
      <c r="I31" s="8" t="s">
        <v>355</v>
      </c>
      <c r="J31" s="8" t="s">
        <v>356</v>
      </c>
      <c r="K31" s="8" t="s">
        <v>355</v>
      </c>
      <c r="L31" s="8" t="s">
        <v>355</v>
      </c>
      <c r="M31" s="8" t="s">
        <v>355</v>
      </c>
      <c r="N31" s="8" t="s">
        <v>355</v>
      </c>
      <c r="O31" s="8" t="s">
        <v>360</v>
      </c>
      <c r="P31" s="8" t="s">
        <v>361</v>
      </c>
      <c r="Q31" s="8" t="s">
        <v>362</v>
      </c>
      <c r="R31" s="8" t="s">
        <v>363</v>
      </c>
      <c r="S31" s="8" t="s">
        <v>378</v>
      </c>
      <c r="T31" s="8"/>
      <c r="U31" s="8" t="s">
        <v>111</v>
      </c>
      <c r="V31" s="8" t="s">
        <v>111</v>
      </c>
      <c r="W31" s="8" t="s">
        <v>112</v>
      </c>
      <c r="X31" s="8"/>
      <c r="Y31" s="8" t="s">
        <v>365</v>
      </c>
    </row>
    <row r="32" spans="1:25" ht="36" x14ac:dyDescent="0.3">
      <c r="A32" s="8" t="s">
        <v>422</v>
      </c>
      <c r="B32" s="10">
        <v>277465</v>
      </c>
      <c r="C32" s="8" t="s">
        <v>423</v>
      </c>
      <c r="D32" s="8" t="s">
        <v>352</v>
      </c>
      <c r="E32" s="8" t="s">
        <v>353</v>
      </c>
      <c r="F32" s="8" t="b">
        <v>1</v>
      </c>
      <c r="G32" s="8" t="s">
        <v>354</v>
      </c>
      <c r="H32" s="8" t="s">
        <v>355</v>
      </c>
      <c r="I32" s="8" t="s">
        <v>355</v>
      </c>
      <c r="J32" s="8" t="s">
        <v>356</v>
      </c>
      <c r="K32" s="8" t="s">
        <v>357</v>
      </c>
      <c r="L32" s="8" t="s">
        <v>358</v>
      </c>
      <c r="M32" s="8" t="s">
        <v>359</v>
      </c>
      <c r="N32" s="8" t="s">
        <v>355</v>
      </c>
      <c r="O32" s="8" t="s">
        <v>360</v>
      </c>
      <c r="P32" s="8" t="s">
        <v>361</v>
      </c>
      <c r="Q32" s="8" t="s">
        <v>362</v>
      </c>
      <c r="R32" s="8" t="s">
        <v>363</v>
      </c>
      <c r="S32" s="8" t="s">
        <v>364</v>
      </c>
      <c r="T32" s="8"/>
      <c r="U32" s="8" t="s">
        <v>111</v>
      </c>
      <c r="V32" s="8" t="s">
        <v>111</v>
      </c>
      <c r="W32" s="8" t="s">
        <v>112</v>
      </c>
      <c r="X32" s="8"/>
      <c r="Y32" s="8" t="s">
        <v>365</v>
      </c>
    </row>
    <row r="33" spans="1:25" ht="36" x14ac:dyDescent="0.3">
      <c r="A33" s="8" t="s">
        <v>424</v>
      </c>
      <c r="B33" s="10">
        <v>313102</v>
      </c>
      <c r="C33" s="8" t="s">
        <v>425</v>
      </c>
      <c r="D33" s="8" t="s">
        <v>352</v>
      </c>
      <c r="E33" s="8" t="s">
        <v>353</v>
      </c>
      <c r="F33" s="8" t="b">
        <v>1</v>
      </c>
      <c r="G33" s="8" t="s">
        <v>354</v>
      </c>
      <c r="H33" s="8" t="s">
        <v>355</v>
      </c>
      <c r="I33" s="8" t="s">
        <v>355</v>
      </c>
      <c r="J33" s="8" t="s">
        <v>356</v>
      </c>
      <c r="K33" s="8" t="s">
        <v>357</v>
      </c>
      <c r="L33" s="8" t="s">
        <v>358</v>
      </c>
      <c r="M33" s="8" t="s">
        <v>359</v>
      </c>
      <c r="N33" s="8" t="s">
        <v>355</v>
      </c>
      <c r="O33" s="8" t="s">
        <v>360</v>
      </c>
      <c r="P33" s="8" t="s">
        <v>361</v>
      </c>
      <c r="Q33" s="8" t="s">
        <v>362</v>
      </c>
      <c r="R33" s="8" t="s">
        <v>363</v>
      </c>
      <c r="S33" s="8" t="s">
        <v>364</v>
      </c>
      <c r="T33" s="8"/>
      <c r="U33" s="8" t="s">
        <v>111</v>
      </c>
      <c r="V33" s="8" t="s">
        <v>111</v>
      </c>
      <c r="W33" s="8" t="s">
        <v>112</v>
      </c>
      <c r="X33" s="8"/>
      <c r="Y33" s="8" t="s">
        <v>365</v>
      </c>
    </row>
    <row r="34" spans="1:25" ht="36" x14ac:dyDescent="0.3">
      <c r="A34" s="8" t="s">
        <v>426</v>
      </c>
      <c r="B34" s="10">
        <v>292739</v>
      </c>
      <c r="C34" s="8" t="s">
        <v>143</v>
      </c>
      <c r="D34" s="8" t="s">
        <v>352</v>
      </c>
      <c r="E34" s="8" t="s">
        <v>353</v>
      </c>
      <c r="F34" s="8" t="b">
        <v>1</v>
      </c>
      <c r="G34" s="8" t="s">
        <v>354</v>
      </c>
      <c r="H34" s="8" t="s">
        <v>355</v>
      </c>
      <c r="I34" s="8" t="s">
        <v>355</v>
      </c>
      <c r="J34" s="8" t="s">
        <v>356</v>
      </c>
      <c r="K34" s="8" t="s">
        <v>357</v>
      </c>
      <c r="L34" s="8" t="s">
        <v>427</v>
      </c>
      <c r="M34" s="8" t="s">
        <v>359</v>
      </c>
      <c r="N34" s="8" t="s">
        <v>355</v>
      </c>
      <c r="O34" s="8" t="s">
        <v>360</v>
      </c>
      <c r="P34" s="8" t="s">
        <v>361</v>
      </c>
      <c r="Q34" s="8" t="s">
        <v>362</v>
      </c>
      <c r="R34" s="8" t="s">
        <v>363</v>
      </c>
      <c r="S34" s="8" t="s">
        <v>428</v>
      </c>
      <c r="T34" s="8"/>
      <c r="U34" s="8" t="s">
        <v>111</v>
      </c>
      <c r="V34" s="8" t="s">
        <v>111</v>
      </c>
      <c r="W34" s="8" t="s">
        <v>112</v>
      </c>
      <c r="X34" s="8"/>
      <c r="Y34" s="8" t="s">
        <v>365</v>
      </c>
    </row>
    <row r="35" spans="1:25" ht="36" x14ac:dyDescent="0.3">
      <c r="A35" s="8" t="s">
        <v>429</v>
      </c>
      <c r="B35" s="10">
        <v>292589</v>
      </c>
      <c r="C35" s="8" t="s">
        <v>145</v>
      </c>
      <c r="D35" s="8" t="s">
        <v>352</v>
      </c>
      <c r="E35" s="8" t="s">
        <v>353</v>
      </c>
      <c r="F35" s="8" t="b">
        <v>1</v>
      </c>
      <c r="G35" s="8" t="s">
        <v>354</v>
      </c>
      <c r="H35" s="8" t="s">
        <v>355</v>
      </c>
      <c r="I35" s="8" t="s">
        <v>355</v>
      </c>
      <c r="J35" s="8" t="s">
        <v>356</v>
      </c>
      <c r="K35" s="8" t="s">
        <v>357</v>
      </c>
      <c r="L35" s="8" t="s">
        <v>358</v>
      </c>
      <c r="M35" s="8" t="s">
        <v>359</v>
      </c>
      <c r="N35" s="8" t="s">
        <v>355</v>
      </c>
      <c r="O35" s="8" t="s">
        <v>360</v>
      </c>
      <c r="P35" s="8" t="s">
        <v>361</v>
      </c>
      <c r="Q35" s="8" t="s">
        <v>362</v>
      </c>
      <c r="R35" s="8" t="s">
        <v>363</v>
      </c>
      <c r="S35" s="8" t="s">
        <v>364</v>
      </c>
      <c r="T35" s="8"/>
      <c r="U35" s="8" t="s">
        <v>111</v>
      </c>
      <c r="V35" s="8" t="s">
        <v>111</v>
      </c>
      <c r="W35" s="8" t="s">
        <v>112</v>
      </c>
      <c r="X35" s="8"/>
      <c r="Y35" s="8" t="s">
        <v>365</v>
      </c>
    </row>
    <row r="36" spans="1:25" ht="36" x14ac:dyDescent="0.3">
      <c r="A36" s="8" t="s">
        <v>430</v>
      </c>
      <c r="B36" s="10">
        <v>245616</v>
      </c>
      <c r="C36" s="8" t="s">
        <v>147</v>
      </c>
      <c r="D36" s="8" t="s">
        <v>352</v>
      </c>
      <c r="E36" s="8" t="s">
        <v>353</v>
      </c>
      <c r="F36" s="8" t="b">
        <v>1</v>
      </c>
      <c r="G36" s="8" t="s">
        <v>354</v>
      </c>
      <c r="H36" s="8" t="s">
        <v>355</v>
      </c>
      <c r="I36" s="8" t="s">
        <v>355</v>
      </c>
      <c r="J36" s="8" t="s">
        <v>356</v>
      </c>
      <c r="K36" s="8" t="s">
        <v>357</v>
      </c>
      <c r="L36" s="8" t="s">
        <v>358</v>
      </c>
      <c r="M36" s="8" t="s">
        <v>359</v>
      </c>
      <c r="N36" s="8" t="s">
        <v>355</v>
      </c>
      <c r="O36" s="8" t="s">
        <v>360</v>
      </c>
      <c r="P36" s="8" t="s">
        <v>361</v>
      </c>
      <c r="Q36" s="8" t="s">
        <v>362</v>
      </c>
      <c r="R36" s="8" t="s">
        <v>363</v>
      </c>
      <c r="S36" s="8" t="s">
        <v>364</v>
      </c>
      <c r="T36" s="8"/>
      <c r="U36" s="8" t="s">
        <v>111</v>
      </c>
      <c r="V36" s="8" t="s">
        <v>111</v>
      </c>
      <c r="W36" s="8" t="s">
        <v>112</v>
      </c>
      <c r="X36" s="8"/>
      <c r="Y36" s="8" t="s">
        <v>365</v>
      </c>
    </row>
    <row r="37" spans="1:25" ht="90" customHeight="1" x14ac:dyDescent="0.3">
      <c r="A37" s="8" t="s">
        <v>431</v>
      </c>
      <c r="B37" s="10">
        <v>258825</v>
      </c>
      <c r="C37" s="8" t="s">
        <v>149</v>
      </c>
      <c r="D37" s="8" t="s">
        <v>352</v>
      </c>
      <c r="E37" s="8" t="s">
        <v>353</v>
      </c>
      <c r="F37" s="8" t="b">
        <v>1</v>
      </c>
      <c r="G37" s="8" t="s">
        <v>354</v>
      </c>
      <c r="H37" s="8" t="s">
        <v>355</v>
      </c>
      <c r="I37" s="8" t="s">
        <v>355</v>
      </c>
      <c r="J37" s="8" t="s">
        <v>356</v>
      </c>
      <c r="K37" s="8" t="s">
        <v>384</v>
      </c>
      <c r="L37" s="8" t="s">
        <v>432</v>
      </c>
      <c r="M37" s="8" t="s">
        <v>386</v>
      </c>
      <c r="N37" s="8" t="s">
        <v>432</v>
      </c>
      <c r="O37" s="8" t="s">
        <v>360</v>
      </c>
      <c r="P37" s="8" t="s">
        <v>361</v>
      </c>
      <c r="Q37" s="8" t="s">
        <v>362</v>
      </c>
      <c r="R37" s="8" t="s">
        <v>363</v>
      </c>
      <c r="S37" s="8" t="s">
        <v>433</v>
      </c>
      <c r="T37" s="8"/>
      <c r="U37" s="8" t="s">
        <v>111</v>
      </c>
      <c r="V37" s="8" t="s">
        <v>111</v>
      </c>
      <c r="W37" s="8" t="s">
        <v>112</v>
      </c>
      <c r="X37" s="8"/>
      <c r="Y37" s="8" t="s">
        <v>365</v>
      </c>
    </row>
    <row r="38" spans="1:25" ht="36" x14ac:dyDescent="0.3">
      <c r="A38" s="8" t="s">
        <v>434</v>
      </c>
      <c r="B38" s="10">
        <v>280257</v>
      </c>
      <c r="C38" s="8" t="s">
        <v>151</v>
      </c>
      <c r="D38" s="8" t="s">
        <v>352</v>
      </c>
      <c r="E38" s="8" t="s">
        <v>353</v>
      </c>
      <c r="F38" s="8" t="b">
        <v>1</v>
      </c>
      <c r="G38" s="8" t="s">
        <v>354</v>
      </c>
      <c r="H38" s="8" t="s">
        <v>355</v>
      </c>
      <c r="I38" s="8" t="s">
        <v>355</v>
      </c>
      <c r="J38" s="8" t="s">
        <v>356</v>
      </c>
      <c r="K38" s="8" t="s">
        <v>357</v>
      </c>
      <c r="L38" s="8" t="s">
        <v>435</v>
      </c>
      <c r="M38" s="8" t="s">
        <v>359</v>
      </c>
      <c r="N38" s="8" t="s">
        <v>355</v>
      </c>
      <c r="O38" s="8" t="s">
        <v>360</v>
      </c>
      <c r="P38" s="8" t="s">
        <v>361</v>
      </c>
      <c r="Q38" s="8" t="s">
        <v>362</v>
      </c>
      <c r="R38" s="8" t="s">
        <v>363</v>
      </c>
      <c r="S38" s="8" t="s">
        <v>436</v>
      </c>
      <c r="T38" s="8"/>
      <c r="U38" s="8" t="s">
        <v>111</v>
      </c>
      <c r="V38" s="8" t="s">
        <v>111</v>
      </c>
      <c r="W38" s="8" t="s">
        <v>112</v>
      </c>
      <c r="X38" s="8"/>
      <c r="Y38" s="8" t="s">
        <v>365</v>
      </c>
    </row>
    <row r="39" spans="1:25" ht="36" x14ac:dyDescent="0.3">
      <c r="A39" s="8" t="s">
        <v>437</v>
      </c>
      <c r="B39" s="10">
        <v>233858</v>
      </c>
      <c r="C39" s="8" t="s">
        <v>438</v>
      </c>
      <c r="D39" s="8" t="s">
        <v>352</v>
      </c>
      <c r="E39" s="8" t="s">
        <v>353</v>
      </c>
      <c r="F39" s="8" t="b">
        <v>1</v>
      </c>
      <c r="G39" s="8" t="s">
        <v>354</v>
      </c>
      <c r="H39" s="8" t="s">
        <v>355</v>
      </c>
      <c r="I39" s="8" t="s">
        <v>355</v>
      </c>
      <c r="J39" s="8" t="s">
        <v>356</v>
      </c>
      <c r="K39" s="8" t="s">
        <v>357</v>
      </c>
      <c r="L39" s="8" t="s">
        <v>358</v>
      </c>
      <c r="M39" s="8" t="s">
        <v>359</v>
      </c>
      <c r="N39" s="8" t="s">
        <v>355</v>
      </c>
      <c r="O39" s="8" t="s">
        <v>360</v>
      </c>
      <c r="P39" s="8" t="s">
        <v>361</v>
      </c>
      <c r="Q39" s="8" t="s">
        <v>362</v>
      </c>
      <c r="R39" s="8" t="s">
        <v>363</v>
      </c>
      <c r="S39" s="8" t="s">
        <v>364</v>
      </c>
      <c r="T39" s="8"/>
      <c r="U39" s="8" t="s">
        <v>111</v>
      </c>
      <c r="V39" s="8" t="s">
        <v>111</v>
      </c>
      <c r="W39" s="8" t="s">
        <v>112</v>
      </c>
      <c r="X39" s="8"/>
      <c r="Y39" s="8" t="s">
        <v>365</v>
      </c>
    </row>
    <row r="40" spans="1:25" ht="36" x14ac:dyDescent="0.3">
      <c r="A40" s="8" t="s">
        <v>439</v>
      </c>
      <c r="B40" s="10">
        <v>282266</v>
      </c>
      <c r="C40" s="8" t="s">
        <v>440</v>
      </c>
      <c r="D40" s="8" t="s">
        <v>352</v>
      </c>
      <c r="E40" s="8" t="s">
        <v>355</v>
      </c>
      <c r="F40" s="8" t="s">
        <v>355</v>
      </c>
      <c r="G40" s="8" t="s">
        <v>355</v>
      </c>
      <c r="H40" s="8" t="s">
        <v>355</v>
      </c>
      <c r="I40" s="8" t="s">
        <v>355</v>
      </c>
      <c r="J40" s="8" t="s">
        <v>356</v>
      </c>
      <c r="K40" s="8" t="s">
        <v>355</v>
      </c>
      <c r="L40" s="8" t="s">
        <v>355</v>
      </c>
      <c r="M40" s="8" t="s">
        <v>355</v>
      </c>
      <c r="N40" s="8" t="s">
        <v>355</v>
      </c>
      <c r="O40" s="8" t="s">
        <v>360</v>
      </c>
      <c r="P40" s="8" t="s">
        <v>361</v>
      </c>
      <c r="Q40" s="8" t="s">
        <v>362</v>
      </c>
      <c r="R40" s="8" t="s">
        <v>363</v>
      </c>
      <c r="S40" s="8" t="s">
        <v>378</v>
      </c>
      <c r="T40" s="8"/>
      <c r="U40" s="8" t="s">
        <v>111</v>
      </c>
      <c r="V40" s="8" t="s">
        <v>111</v>
      </c>
      <c r="W40" s="8" t="s">
        <v>112</v>
      </c>
      <c r="X40" s="8"/>
      <c r="Y40" s="8" t="s">
        <v>365</v>
      </c>
    </row>
    <row r="41" spans="1:25" ht="36" x14ac:dyDescent="0.3">
      <c r="A41" s="8" t="s">
        <v>441</v>
      </c>
      <c r="B41" s="10">
        <v>290338</v>
      </c>
      <c r="C41" s="8" t="s">
        <v>153</v>
      </c>
      <c r="D41" s="8" t="s">
        <v>352</v>
      </c>
      <c r="E41" s="8" t="s">
        <v>355</v>
      </c>
      <c r="F41" s="8" t="s">
        <v>355</v>
      </c>
      <c r="G41" s="8" t="s">
        <v>355</v>
      </c>
      <c r="H41" s="8" t="s">
        <v>355</v>
      </c>
      <c r="I41" s="8" t="s">
        <v>355</v>
      </c>
      <c r="J41" s="8" t="s">
        <v>356</v>
      </c>
      <c r="K41" s="8" t="s">
        <v>355</v>
      </c>
      <c r="L41" s="8" t="s">
        <v>355</v>
      </c>
      <c r="M41" s="8" t="s">
        <v>355</v>
      </c>
      <c r="N41" s="8" t="s">
        <v>355</v>
      </c>
      <c r="O41" s="8" t="s">
        <v>360</v>
      </c>
      <c r="P41" s="8" t="s">
        <v>361</v>
      </c>
      <c r="Q41" s="8" t="s">
        <v>362</v>
      </c>
      <c r="R41" s="8" t="s">
        <v>363</v>
      </c>
      <c r="S41" s="8" t="s">
        <v>378</v>
      </c>
      <c r="T41" s="8"/>
      <c r="U41" s="8" t="s">
        <v>111</v>
      </c>
      <c r="V41" s="8" t="s">
        <v>111</v>
      </c>
      <c r="W41" s="8" t="s">
        <v>112</v>
      </c>
      <c r="X41" s="8"/>
      <c r="Y41" s="8" t="s">
        <v>365</v>
      </c>
    </row>
    <row r="42" spans="1:25" ht="36" x14ac:dyDescent="0.3">
      <c r="A42" s="8" t="s">
        <v>442</v>
      </c>
      <c r="B42" s="10">
        <v>325557</v>
      </c>
      <c r="C42" s="8" t="s">
        <v>443</v>
      </c>
      <c r="D42" s="8" t="s">
        <v>352</v>
      </c>
      <c r="E42" s="8" t="s">
        <v>353</v>
      </c>
      <c r="F42" s="8" t="b">
        <v>1</v>
      </c>
      <c r="G42" s="8" t="s">
        <v>354</v>
      </c>
      <c r="H42" s="8" t="s">
        <v>355</v>
      </c>
      <c r="I42" s="8" t="s">
        <v>355</v>
      </c>
      <c r="J42" s="8" t="s">
        <v>356</v>
      </c>
      <c r="K42" s="8" t="s">
        <v>357</v>
      </c>
      <c r="L42" s="8" t="s">
        <v>358</v>
      </c>
      <c r="M42" s="8" t="s">
        <v>359</v>
      </c>
      <c r="N42" s="8" t="s">
        <v>355</v>
      </c>
      <c r="O42" s="8" t="s">
        <v>360</v>
      </c>
      <c r="P42" s="8" t="s">
        <v>361</v>
      </c>
      <c r="Q42" s="8" t="s">
        <v>362</v>
      </c>
      <c r="R42" s="8" t="s">
        <v>363</v>
      </c>
      <c r="S42" s="8" t="s">
        <v>364</v>
      </c>
      <c r="T42" s="8"/>
      <c r="U42" s="8" t="s">
        <v>111</v>
      </c>
      <c r="V42" s="8" t="s">
        <v>111</v>
      </c>
      <c r="W42" s="8" t="s">
        <v>112</v>
      </c>
      <c r="X42" s="8"/>
      <c r="Y42" s="8" t="s">
        <v>365</v>
      </c>
    </row>
    <row r="43" spans="1:25" ht="36" x14ac:dyDescent="0.3">
      <c r="A43" s="8" t="s">
        <v>444</v>
      </c>
      <c r="B43" s="10">
        <v>293092</v>
      </c>
      <c r="C43" s="8" t="s">
        <v>445</v>
      </c>
      <c r="D43" s="8" t="s">
        <v>352</v>
      </c>
      <c r="E43" s="8" t="s">
        <v>353</v>
      </c>
      <c r="F43" s="8" t="b">
        <v>1</v>
      </c>
      <c r="G43" s="8" t="s">
        <v>354</v>
      </c>
      <c r="H43" s="8" t="s">
        <v>355</v>
      </c>
      <c r="I43" s="8" t="s">
        <v>355</v>
      </c>
      <c r="J43" s="8" t="s">
        <v>356</v>
      </c>
      <c r="K43" s="8" t="s">
        <v>357</v>
      </c>
      <c r="L43" s="8" t="s">
        <v>358</v>
      </c>
      <c r="M43" s="8" t="s">
        <v>359</v>
      </c>
      <c r="N43" s="8" t="s">
        <v>355</v>
      </c>
      <c r="O43" s="8" t="s">
        <v>360</v>
      </c>
      <c r="P43" s="8" t="s">
        <v>361</v>
      </c>
      <c r="Q43" s="8" t="s">
        <v>362</v>
      </c>
      <c r="R43" s="8" t="s">
        <v>363</v>
      </c>
      <c r="S43" s="8" t="s">
        <v>364</v>
      </c>
      <c r="T43" s="8"/>
      <c r="U43" s="8" t="s">
        <v>111</v>
      </c>
      <c r="V43" s="8" t="s">
        <v>111</v>
      </c>
      <c r="W43" s="8" t="s">
        <v>112</v>
      </c>
      <c r="X43" s="8"/>
      <c r="Y43" s="8" t="s">
        <v>365</v>
      </c>
    </row>
    <row r="44" spans="1:25" ht="36" x14ac:dyDescent="0.3">
      <c r="A44" s="8" t="s">
        <v>446</v>
      </c>
      <c r="B44" s="10">
        <v>292626</v>
      </c>
      <c r="C44" s="8" t="s">
        <v>155</v>
      </c>
      <c r="D44" s="8" t="s">
        <v>352</v>
      </c>
      <c r="E44" s="8" t="s">
        <v>353</v>
      </c>
      <c r="F44" s="8" t="b">
        <v>1</v>
      </c>
      <c r="G44" s="8" t="s">
        <v>354</v>
      </c>
      <c r="H44" s="8" t="s">
        <v>355</v>
      </c>
      <c r="I44" s="8" t="s">
        <v>355</v>
      </c>
      <c r="J44" s="8" t="s">
        <v>356</v>
      </c>
      <c r="K44" s="8" t="s">
        <v>357</v>
      </c>
      <c r="L44" s="8" t="s">
        <v>358</v>
      </c>
      <c r="M44" s="8" t="s">
        <v>359</v>
      </c>
      <c r="N44" s="8" t="s">
        <v>355</v>
      </c>
      <c r="O44" s="8" t="s">
        <v>360</v>
      </c>
      <c r="P44" s="8" t="s">
        <v>361</v>
      </c>
      <c r="Q44" s="8" t="s">
        <v>362</v>
      </c>
      <c r="R44" s="8" t="s">
        <v>363</v>
      </c>
      <c r="S44" s="8" t="s">
        <v>364</v>
      </c>
      <c r="T44" s="8"/>
      <c r="U44" s="8" t="s">
        <v>111</v>
      </c>
      <c r="V44" s="8" t="s">
        <v>111</v>
      </c>
      <c r="W44" s="8" t="s">
        <v>112</v>
      </c>
      <c r="X44" s="8"/>
      <c r="Y44" s="8" t="s">
        <v>365</v>
      </c>
    </row>
    <row r="45" spans="1:25" ht="36" x14ac:dyDescent="0.3">
      <c r="A45" s="8" t="s">
        <v>447</v>
      </c>
      <c r="B45" s="10">
        <v>292079</v>
      </c>
      <c r="C45" s="8" t="s">
        <v>448</v>
      </c>
      <c r="D45" s="8" t="s">
        <v>352</v>
      </c>
      <c r="E45" s="8" t="s">
        <v>353</v>
      </c>
      <c r="F45" s="8" t="b">
        <v>1</v>
      </c>
      <c r="G45" s="8" t="s">
        <v>354</v>
      </c>
      <c r="H45" s="8" t="s">
        <v>355</v>
      </c>
      <c r="I45" s="8" t="s">
        <v>355</v>
      </c>
      <c r="J45" s="8" t="s">
        <v>356</v>
      </c>
      <c r="K45" s="8" t="s">
        <v>357</v>
      </c>
      <c r="L45" s="8" t="s">
        <v>358</v>
      </c>
      <c r="M45" s="8" t="s">
        <v>359</v>
      </c>
      <c r="N45" s="8" t="s">
        <v>355</v>
      </c>
      <c r="O45" s="8" t="s">
        <v>360</v>
      </c>
      <c r="P45" s="8" t="s">
        <v>361</v>
      </c>
      <c r="Q45" s="8" t="s">
        <v>362</v>
      </c>
      <c r="R45" s="8" t="s">
        <v>363</v>
      </c>
      <c r="S45" s="8" t="s">
        <v>364</v>
      </c>
      <c r="T45" s="8"/>
      <c r="U45" s="8" t="s">
        <v>111</v>
      </c>
      <c r="V45" s="8" t="s">
        <v>111</v>
      </c>
      <c r="W45" s="8" t="s">
        <v>112</v>
      </c>
      <c r="X45" s="8"/>
      <c r="Y45" s="8" t="s">
        <v>365</v>
      </c>
    </row>
    <row r="46" spans="1:25" ht="36" x14ac:dyDescent="0.3">
      <c r="A46" s="8" t="s">
        <v>449</v>
      </c>
      <c r="B46" s="10">
        <v>275412</v>
      </c>
      <c r="C46" s="8" t="s">
        <v>157</v>
      </c>
      <c r="D46" s="8" t="s">
        <v>352</v>
      </c>
      <c r="E46" s="8" t="s">
        <v>355</v>
      </c>
      <c r="F46" s="8" t="s">
        <v>355</v>
      </c>
      <c r="G46" s="8" t="s">
        <v>355</v>
      </c>
      <c r="H46" s="8" t="s">
        <v>355</v>
      </c>
      <c r="I46" s="8" t="s">
        <v>355</v>
      </c>
      <c r="J46" s="8" t="s">
        <v>356</v>
      </c>
      <c r="K46" s="8" t="s">
        <v>355</v>
      </c>
      <c r="L46" s="8" t="s">
        <v>355</v>
      </c>
      <c r="M46" s="8" t="s">
        <v>355</v>
      </c>
      <c r="N46" s="8" t="s">
        <v>355</v>
      </c>
      <c r="O46" s="8" t="s">
        <v>360</v>
      </c>
      <c r="P46" s="8" t="s">
        <v>361</v>
      </c>
      <c r="Q46" s="8" t="s">
        <v>362</v>
      </c>
      <c r="R46" s="8" t="s">
        <v>363</v>
      </c>
      <c r="S46" s="8" t="s">
        <v>378</v>
      </c>
      <c r="T46" s="8"/>
      <c r="U46" s="8" t="s">
        <v>111</v>
      </c>
      <c r="V46" s="8" t="s">
        <v>111</v>
      </c>
      <c r="W46" s="8" t="s">
        <v>112</v>
      </c>
      <c r="X46" s="8"/>
      <c r="Y46" s="8" t="s">
        <v>365</v>
      </c>
    </row>
    <row r="47" spans="1:25" ht="36" x14ac:dyDescent="0.3">
      <c r="A47" s="8" t="s">
        <v>450</v>
      </c>
      <c r="B47" s="10">
        <v>275457</v>
      </c>
      <c r="C47" s="8" t="s">
        <v>159</v>
      </c>
      <c r="D47" s="8" t="s">
        <v>352</v>
      </c>
      <c r="E47" s="8" t="s">
        <v>355</v>
      </c>
      <c r="F47" s="8" t="s">
        <v>355</v>
      </c>
      <c r="G47" s="8" t="s">
        <v>355</v>
      </c>
      <c r="H47" s="8" t="s">
        <v>355</v>
      </c>
      <c r="I47" s="8" t="s">
        <v>355</v>
      </c>
      <c r="J47" s="8" t="s">
        <v>356</v>
      </c>
      <c r="K47" s="8" t="s">
        <v>355</v>
      </c>
      <c r="L47" s="8" t="s">
        <v>355</v>
      </c>
      <c r="M47" s="8" t="s">
        <v>355</v>
      </c>
      <c r="N47" s="8" t="s">
        <v>355</v>
      </c>
      <c r="O47" s="8" t="s">
        <v>360</v>
      </c>
      <c r="P47" s="8" t="s">
        <v>361</v>
      </c>
      <c r="Q47" s="8" t="s">
        <v>362</v>
      </c>
      <c r="R47" s="8" t="s">
        <v>363</v>
      </c>
      <c r="S47" s="8" t="s">
        <v>378</v>
      </c>
      <c r="T47" s="8"/>
      <c r="U47" s="8" t="s">
        <v>111</v>
      </c>
      <c r="V47" s="8" t="s">
        <v>111</v>
      </c>
      <c r="W47" s="8" t="s">
        <v>112</v>
      </c>
      <c r="X47" s="8"/>
      <c r="Y47" s="8" t="s">
        <v>365</v>
      </c>
    </row>
    <row r="48" spans="1:25" ht="36" x14ac:dyDescent="0.3">
      <c r="A48" s="8" t="s">
        <v>451</v>
      </c>
      <c r="B48" s="10">
        <v>275324</v>
      </c>
      <c r="C48" s="8" t="s">
        <v>452</v>
      </c>
      <c r="D48" s="8" t="s">
        <v>352</v>
      </c>
      <c r="E48" s="8" t="s">
        <v>353</v>
      </c>
      <c r="F48" s="8" t="b">
        <v>1</v>
      </c>
      <c r="G48" s="8" t="s">
        <v>354</v>
      </c>
      <c r="H48" s="8" t="s">
        <v>355</v>
      </c>
      <c r="I48" s="8" t="s">
        <v>355</v>
      </c>
      <c r="J48" s="8" t="s">
        <v>356</v>
      </c>
      <c r="K48" s="8" t="s">
        <v>357</v>
      </c>
      <c r="L48" s="8" t="s">
        <v>358</v>
      </c>
      <c r="M48" s="8" t="s">
        <v>359</v>
      </c>
      <c r="N48" s="8" t="s">
        <v>355</v>
      </c>
      <c r="O48" s="8" t="s">
        <v>360</v>
      </c>
      <c r="P48" s="8" t="s">
        <v>361</v>
      </c>
      <c r="Q48" s="8" t="s">
        <v>362</v>
      </c>
      <c r="R48" s="8" t="s">
        <v>363</v>
      </c>
      <c r="S48" s="8" t="s">
        <v>364</v>
      </c>
      <c r="T48" s="8"/>
      <c r="U48" s="8" t="s">
        <v>111</v>
      </c>
      <c r="V48" s="8" t="s">
        <v>111</v>
      </c>
      <c r="W48" s="8" t="s">
        <v>112</v>
      </c>
      <c r="X48" s="8"/>
      <c r="Y48" s="8" t="s">
        <v>365</v>
      </c>
    </row>
    <row r="49" spans="1:25" ht="36" x14ac:dyDescent="0.3">
      <c r="A49" s="8" t="s">
        <v>453</v>
      </c>
      <c r="B49" s="10">
        <v>319335</v>
      </c>
      <c r="C49" s="8" t="s">
        <v>161</v>
      </c>
      <c r="D49" s="8" t="s">
        <v>352</v>
      </c>
      <c r="E49" s="8" t="s">
        <v>353</v>
      </c>
      <c r="F49" s="8" t="b">
        <v>1</v>
      </c>
      <c r="G49" s="8" t="s">
        <v>354</v>
      </c>
      <c r="H49" s="8" t="s">
        <v>355</v>
      </c>
      <c r="I49" s="8" t="s">
        <v>355</v>
      </c>
      <c r="J49" s="8" t="s">
        <v>356</v>
      </c>
      <c r="K49" s="8" t="s">
        <v>357</v>
      </c>
      <c r="L49" s="8" t="s">
        <v>358</v>
      </c>
      <c r="M49" s="8" t="s">
        <v>359</v>
      </c>
      <c r="N49" s="8" t="s">
        <v>355</v>
      </c>
      <c r="O49" s="8" t="s">
        <v>360</v>
      </c>
      <c r="P49" s="8" t="s">
        <v>361</v>
      </c>
      <c r="Q49" s="8" t="s">
        <v>362</v>
      </c>
      <c r="R49" s="8" t="s">
        <v>363</v>
      </c>
      <c r="S49" s="8" t="s">
        <v>364</v>
      </c>
      <c r="T49" s="8"/>
      <c r="U49" s="8" t="s">
        <v>111</v>
      </c>
      <c r="V49" s="8" t="s">
        <v>111</v>
      </c>
      <c r="W49" s="8" t="s">
        <v>112</v>
      </c>
      <c r="X49" s="8"/>
      <c r="Y49" s="8" t="s">
        <v>365</v>
      </c>
    </row>
    <row r="50" spans="1:25" ht="36" x14ac:dyDescent="0.3">
      <c r="A50" s="8" t="s">
        <v>454</v>
      </c>
      <c r="B50" s="10">
        <v>215655</v>
      </c>
      <c r="C50" s="8" t="s">
        <v>163</v>
      </c>
      <c r="D50" s="8" t="s">
        <v>352</v>
      </c>
      <c r="E50" s="8" t="s">
        <v>353</v>
      </c>
      <c r="F50" s="8" t="b">
        <v>1</v>
      </c>
      <c r="G50" s="8" t="s">
        <v>354</v>
      </c>
      <c r="H50" s="8" t="s">
        <v>355</v>
      </c>
      <c r="I50" s="8" t="s">
        <v>355</v>
      </c>
      <c r="J50" s="8" t="s">
        <v>356</v>
      </c>
      <c r="K50" s="8" t="s">
        <v>355</v>
      </c>
      <c r="L50" s="8" t="s">
        <v>355</v>
      </c>
      <c r="M50" s="8" t="s">
        <v>355</v>
      </c>
      <c r="N50" s="8" t="s">
        <v>355</v>
      </c>
      <c r="O50" s="8" t="s">
        <v>360</v>
      </c>
      <c r="P50" s="8" t="s">
        <v>361</v>
      </c>
      <c r="Q50" s="8" t="s">
        <v>362</v>
      </c>
      <c r="R50" s="8" t="s">
        <v>363</v>
      </c>
      <c r="S50" s="8" t="s">
        <v>376</v>
      </c>
      <c r="T50" s="8"/>
      <c r="U50" s="8" t="s">
        <v>111</v>
      </c>
      <c r="V50" s="8" t="s">
        <v>111</v>
      </c>
      <c r="W50" s="8" t="s">
        <v>112</v>
      </c>
      <c r="X50" s="8"/>
      <c r="Y50" s="8" t="s">
        <v>365</v>
      </c>
    </row>
    <row r="51" spans="1:25" ht="36" x14ac:dyDescent="0.3">
      <c r="A51" s="8" t="s">
        <v>455</v>
      </c>
      <c r="B51" s="10">
        <v>228711</v>
      </c>
      <c r="C51" s="8" t="s">
        <v>456</v>
      </c>
      <c r="D51" s="8" t="s">
        <v>352</v>
      </c>
      <c r="E51" s="8" t="s">
        <v>353</v>
      </c>
      <c r="F51" s="8" t="b">
        <v>1</v>
      </c>
      <c r="G51" s="8" t="s">
        <v>354</v>
      </c>
      <c r="H51" s="8" t="s">
        <v>355</v>
      </c>
      <c r="I51" s="8" t="s">
        <v>355</v>
      </c>
      <c r="J51" s="8" t="s">
        <v>356</v>
      </c>
      <c r="K51" s="8" t="s">
        <v>384</v>
      </c>
      <c r="L51" s="8" t="s">
        <v>457</v>
      </c>
      <c r="M51" s="8" t="s">
        <v>386</v>
      </c>
      <c r="N51" s="8" t="s">
        <v>457</v>
      </c>
      <c r="O51" s="8" t="s">
        <v>360</v>
      </c>
      <c r="P51" s="8" t="s">
        <v>361</v>
      </c>
      <c r="Q51" s="8" t="s">
        <v>362</v>
      </c>
      <c r="R51" s="8" t="s">
        <v>363</v>
      </c>
      <c r="S51" s="8" t="s">
        <v>458</v>
      </c>
      <c r="T51" s="8"/>
      <c r="U51" s="8" t="s">
        <v>111</v>
      </c>
      <c r="V51" s="8" t="s">
        <v>111</v>
      </c>
      <c r="W51" s="8" t="s">
        <v>112</v>
      </c>
      <c r="X51" s="8"/>
      <c r="Y51" s="8" t="s">
        <v>365</v>
      </c>
    </row>
    <row r="52" spans="1:25" ht="36" x14ac:dyDescent="0.3">
      <c r="A52" s="8" t="s">
        <v>459</v>
      </c>
      <c r="B52" s="10">
        <v>257121</v>
      </c>
      <c r="C52" s="8" t="s">
        <v>460</v>
      </c>
      <c r="D52" s="8" t="s">
        <v>352</v>
      </c>
      <c r="E52" s="8" t="s">
        <v>353</v>
      </c>
      <c r="F52" s="8" t="b">
        <v>1</v>
      </c>
      <c r="G52" s="8" t="s">
        <v>354</v>
      </c>
      <c r="H52" s="8" t="s">
        <v>355</v>
      </c>
      <c r="I52" s="8" t="s">
        <v>355</v>
      </c>
      <c r="J52" s="8" t="s">
        <v>356</v>
      </c>
      <c r="K52" s="8" t="s">
        <v>357</v>
      </c>
      <c r="L52" s="8" t="s">
        <v>358</v>
      </c>
      <c r="M52" s="8" t="s">
        <v>359</v>
      </c>
      <c r="N52" s="8" t="s">
        <v>355</v>
      </c>
      <c r="O52" s="8" t="s">
        <v>360</v>
      </c>
      <c r="P52" s="8" t="s">
        <v>361</v>
      </c>
      <c r="Q52" s="8" t="s">
        <v>362</v>
      </c>
      <c r="R52" s="8" t="s">
        <v>363</v>
      </c>
      <c r="S52" s="8" t="s">
        <v>364</v>
      </c>
      <c r="T52" s="8"/>
      <c r="U52" s="8" t="s">
        <v>111</v>
      </c>
      <c r="V52" s="8" t="s">
        <v>111</v>
      </c>
      <c r="W52" s="8" t="s">
        <v>112</v>
      </c>
      <c r="X52" s="8"/>
      <c r="Y52" s="8" t="s">
        <v>365</v>
      </c>
    </row>
    <row r="53" spans="1:25" ht="36" x14ac:dyDescent="0.3">
      <c r="A53" s="8" t="s">
        <v>461</v>
      </c>
      <c r="B53" s="10">
        <v>257120</v>
      </c>
      <c r="C53" s="8" t="s">
        <v>462</v>
      </c>
      <c r="D53" s="8" t="s">
        <v>352</v>
      </c>
      <c r="E53" s="8" t="s">
        <v>353</v>
      </c>
      <c r="F53" s="8" t="b">
        <v>1</v>
      </c>
      <c r="G53" s="8" t="s">
        <v>354</v>
      </c>
      <c r="H53" s="8" t="s">
        <v>355</v>
      </c>
      <c r="I53" s="8" t="s">
        <v>355</v>
      </c>
      <c r="J53" s="8" t="s">
        <v>356</v>
      </c>
      <c r="K53" s="8" t="s">
        <v>357</v>
      </c>
      <c r="L53" s="8" t="s">
        <v>358</v>
      </c>
      <c r="M53" s="8" t="s">
        <v>359</v>
      </c>
      <c r="N53" s="8" t="s">
        <v>355</v>
      </c>
      <c r="O53" s="8" t="s">
        <v>360</v>
      </c>
      <c r="P53" s="8" t="s">
        <v>361</v>
      </c>
      <c r="Q53" s="8" t="s">
        <v>362</v>
      </c>
      <c r="R53" s="8" t="s">
        <v>363</v>
      </c>
      <c r="S53" s="8" t="s">
        <v>364</v>
      </c>
      <c r="T53" s="8"/>
      <c r="U53" s="8" t="s">
        <v>111</v>
      </c>
      <c r="V53" s="8" t="s">
        <v>111</v>
      </c>
      <c r="W53" s="8" t="s">
        <v>112</v>
      </c>
      <c r="X53" s="8"/>
      <c r="Y53" s="8" t="s">
        <v>365</v>
      </c>
    </row>
    <row r="54" spans="1:25" ht="36" x14ac:dyDescent="0.3">
      <c r="A54" s="8" t="s">
        <v>463</v>
      </c>
      <c r="B54" s="10">
        <v>294004</v>
      </c>
      <c r="C54" s="8" t="s">
        <v>464</v>
      </c>
      <c r="D54" s="8" t="s">
        <v>352</v>
      </c>
      <c r="E54" s="8" t="s">
        <v>353</v>
      </c>
      <c r="F54" s="8" t="b">
        <v>1</v>
      </c>
      <c r="G54" s="8" t="s">
        <v>354</v>
      </c>
      <c r="H54" s="8" t="s">
        <v>355</v>
      </c>
      <c r="I54" s="8" t="s">
        <v>355</v>
      </c>
      <c r="J54" s="8" t="s">
        <v>356</v>
      </c>
      <c r="K54" s="8" t="s">
        <v>357</v>
      </c>
      <c r="L54" s="8" t="s">
        <v>465</v>
      </c>
      <c r="M54" s="8" t="s">
        <v>359</v>
      </c>
      <c r="N54" s="8" t="s">
        <v>355</v>
      </c>
      <c r="O54" s="8" t="s">
        <v>360</v>
      </c>
      <c r="P54" s="8" t="s">
        <v>361</v>
      </c>
      <c r="Q54" s="8" t="s">
        <v>362</v>
      </c>
      <c r="R54" s="8" t="s">
        <v>363</v>
      </c>
      <c r="S54" s="8" t="s">
        <v>466</v>
      </c>
      <c r="T54" s="8"/>
      <c r="U54" s="8" t="s">
        <v>111</v>
      </c>
      <c r="V54" s="8" t="s">
        <v>111</v>
      </c>
      <c r="W54" s="8" t="s">
        <v>112</v>
      </c>
      <c r="X54" s="8"/>
      <c r="Y54" s="8" t="s">
        <v>365</v>
      </c>
    </row>
    <row r="55" spans="1:25" ht="36" x14ac:dyDescent="0.3">
      <c r="A55" s="8" t="s">
        <v>467</v>
      </c>
      <c r="B55" s="10">
        <v>292490</v>
      </c>
      <c r="C55" s="8" t="s">
        <v>468</v>
      </c>
      <c r="D55" s="8" t="s">
        <v>352</v>
      </c>
      <c r="E55" s="8" t="s">
        <v>355</v>
      </c>
      <c r="F55" s="8" t="s">
        <v>355</v>
      </c>
      <c r="G55" s="8" t="s">
        <v>355</v>
      </c>
      <c r="H55" s="8" t="s">
        <v>355</v>
      </c>
      <c r="I55" s="8" t="s">
        <v>355</v>
      </c>
      <c r="J55" s="8" t="s">
        <v>356</v>
      </c>
      <c r="K55" s="8" t="s">
        <v>355</v>
      </c>
      <c r="L55" s="8" t="s">
        <v>355</v>
      </c>
      <c r="M55" s="8" t="s">
        <v>355</v>
      </c>
      <c r="N55" s="8" t="s">
        <v>355</v>
      </c>
      <c r="O55" s="8" t="s">
        <v>360</v>
      </c>
      <c r="P55" s="8" t="s">
        <v>361</v>
      </c>
      <c r="Q55" s="8" t="s">
        <v>362</v>
      </c>
      <c r="R55" s="8" t="s">
        <v>363</v>
      </c>
      <c r="S55" s="8" t="s">
        <v>378</v>
      </c>
      <c r="T55" s="8"/>
      <c r="U55" s="8" t="s">
        <v>111</v>
      </c>
      <c r="V55" s="8" t="s">
        <v>111</v>
      </c>
      <c r="W55" s="8" t="s">
        <v>112</v>
      </c>
      <c r="X55" s="8"/>
      <c r="Y55" s="8" t="s">
        <v>365</v>
      </c>
    </row>
    <row r="56" spans="1:25" ht="36" x14ac:dyDescent="0.3">
      <c r="A56" s="8" t="s">
        <v>469</v>
      </c>
      <c r="B56" s="10">
        <v>292950</v>
      </c>
      <c r="C56" s="8" t="s">
        <v>470</v>
      </c>
      <c r="D56" s="8" t="s">
        <v>352</v>
      </c>
      <c r="E56" s="8" t="s">
        <v>353</v>
      </c>
      <c r="F56" s="8" t="b">
        <v>1</v>
      </c>
      <c r="G56" s="8" t="s">
        <v>354</v>
      </c>
      <c r="H56" s="8" t="s">
        <v>355</v>
      </c>
      <c r="I56" s="8" t="s">
        <v>355</v>
      </c>
      <c r="J56" s="8" t="s">
        <v>356</v>
      </c>
      <c r="K56" s="8" t="s">
        <v>357</v>
      </c>
      <c r="L56" s="8" t="s">
        <v>465</v>
      </c>
      <c r="M56" s="8" t="s">
        <v>359</v>
      </c>
      <c r="N56" s="8" t="s">
        <v>355</v>
      </c>
      <c r="O56" s="8" t="s">
        <v>360</v>
      </c>
      <c r="P56" s="8" t="s">
        <v>361</v>
      </c>
      <c r="Q56" s="8" t="s">
        <v>362</v>
      </c>
      <c r="R56" s="8" t="s">
        <v>363</v>
      </c>
      <c r="S56" s="8" t="s">
        <v>466</v>
      </c>
      <c r="T56" s="8"/>
      <c r="U56" s="8" t="s">
        <v>111</v>
      </c>
      <c r="V56" s="8" t="s">
        <v>111</v>
      </c>
      <c r="W56" s="8" t="s">
        <v>112</v>
      </c>
      <c r="X56" s="8"/>
      <c r="Y56" s="8" t="s">
        <v>365</v>
      </c>
    </row>
    <row r="57" spans="1:25" ht="36" x14ac:dyDescent="0.3">
      <c r="A57" s="8" t="s">
        <v>471</v>
      </c>
      <c r="B57" s="10">
        <v>297500</v>
      </c>
      <c r="C57" s="8" t="s">
        <v>472</v>
      </c>
      <c r="D57" s="8" t="s">
        <v>352</v>
      </c>
      <c r="E57" s="8" t="s">
        <v>353</v>
      </c>
      <c r="F57" s="8" t="b">
        <v>1</v>
      </c>
      <c r="G57" s="8" t="s">
        <v>354</v>
      </c>
      <c r="H57" s="8" t="s">
        <v>355</v>
      </c>
      <c r="I57" s="8" t="s">
        <v>355</v>
      </c>
      <c r="J57" s="8" t="s">
        <v>356</v>
      </c>
      <c r="K57" s="8" t="s">
        <v>357</v>
      </c>
      <c r="L57" s="8" t="s">
        <v>465</v>
      </c>
      <c r="M57" s="8" t="s">
        <v>359</v>
      </c>
      <c r="N57" s="8" t="s">
        <v>355</v>
      </c>
      <c r="O57" s="8" t="s">
        <v>360</v>
      </c>
      <c r="P57" s="8" t="s">
        <v>361</v>
      </c>
      <c r="Q57" s="8" t="s">
        <v>362</v>
      </c>
      <c r="R57" s="8" t="s">
        <v>363</v>
      </c>
      <c r="S57" s="8" t="s">
        <v>466</v>
      </c>
      <c r="T57" s="8"/>
      <c r="U57" s="8" t="s">
        <v>111</v>
      </c>
      <c r="V57" s="8" t="s">
        <v>111</v>
      </c>
      <c r="W57" s="8" t="s">
        <v>112</v>
      </c>
      <c r="X57" s="8"/>
      <c r="Y57" s="8" t="s">
        <v>365</v>
      </c>
    </row>
    <row r="58" spans="1:25" ht="36" x14ac:dyDescent="0.3">
      <c r="A58" s="8" t="s">
        <v>473</v>
      </c>
      <c r="B58" s="10">
        <v>293206</v>
      </c>
      <c r="C58" s="8" t="s">
        <v>474</v>
      </c>
      <c r="D58" s="8" t="s">
        <v>352</v>
      </c>
      <c r="E58" s="8" t="s">
        <v>353</v>
      </c>
      <c r="F58" s="8" t="b">
        <v>1</v>
      </c>
      <c r="G58" s="8" t="s">
        <v>354</v>
      </c>
      <c r="H58" s="8" t="s">
        <v>355</v>
      </c>
      <c r="I58" s="8" t="s">
        <v>355</v>
      </c>
      <c r="J58" s="8" t="s">
        <v>356</v>
      </c>
      <c r="K58" s="8" t="s">
        <v>357</v>
      </c>
      <c r="L58" s="8" t="s">
        <v>358</v>
      </c>
      <c r="M58" s="8" t="s">
        <v>359</v>
      </c>
      <c r="N58" s="8" t="s">
        <v>355</v>
      </c>
      <c r="O58" s="8" t="s">
        <v>360</v>
      </c>
      <c r="P58" s="8" t="s">
        <v>361</v>
      </c>
      <c r="Q58" s="8" t="s">
        <v>362</v>
      </c>
      <c r="R58" s="8" t="s">
        <v>363</v>
      </c>
      <c r="S58" s="8" t="s">
        <v>364</v>
      </c>
      <c r="T58" s="8"/>
      <c r="U58" s="8" t="s">
        <v>111</v>
      </c>
      <c r="V58" s="8" t="s">
        <v>111</v>
      </c>
      <c r="W58" s="8" t="s">
        <v>112</v>
      </c>
      <c r="X58" s="8"/>
      <c r="Y58" s="8" t="s">
        <v>365</v>
      </c>
    </row>
    <row r="59" spans="1:25" ht="36" x14ac:dyDescent="0.3">
      <c r="A59" s="8" t="s">
        <v>475</v>
      </c>
      <c r="B59" s="10">
        <v>293272</v>
      </c>
      <c r="C59" s="8" t="s">
        <v>476</v>
      </c>
      <c r="D59" s="8" t="s">
        <v>352</v>
      </c>
      <c r="E59" s="8" t="s">
        <v>353</v>
      </c>
      <c r="F59" s="8" t="b">
        <v>1</v>
      </c>
      <c r="G59" s="8" t="s">
        <v>354</v>
      </c>
      <c r="H59" s="8" t="s">
        <v>355</v>
      </c>
      <c r="I59" s="8" t="s">
        <v>355</v>
      </c>
      <c r="J59" s="8" t="s">
        <v>356</v>
      </c>
      <c r="K59" s="8" t="s">
        <v>357</v>
      </c>
      <c r="L59" s="8" t="s">
        <v>358</v>
      </c>
      <c r="M59" s="8" t="s">
        <v>359</v>
      </c>
      <c r="N59" s="8" t="s">
        <v>355</v>
      </c>
      <c r="O59" s="8" t="s">
        <v>360</v>
      </c>
      <c r="P59" s="8" t="s">
        <v>361</v>
      </c>
      <c r="Q59" s="8" t="s">
        <v>362</v>
      </c>
      <c r="R59" s="8" t="s">
        <v>363</v>
      </c>
      <c r="S59" s="8" t="s">
        <v>364</v>
      </c>
      <c r="T59" s="8"/>
      <c r="U59" s="8" t="s">
        <v>111</v>
      </c>
      <c r="V59" s="8" t="s">
        <v>111</v>
      </c>
      <c r="W59" s="8" t="s">
        <v>112</v>
      </c>
      <c r="X59" s="8"/>
      <c r="Y59" s="8" t="s">
        <v>365</v>
      </c>
    </row>
    <row r="60" spans="1:25" ht="36" x14ac:dyDescent="0.3">
      <c r="A60" s="8" t="s">
        <v>477</v>
      </c>
      <c r="B60" s="10">
        <v>293382</v>
      </c>
      <c r="C60" s="8" t="s">
        <v>478</v>
      </c>
      <c r="D60" s="8" t="s">
        <v>352</v>
      </c>
      <c r="E60" s="8" t="s">
        <v>353</v>
      </c>
      <c r="F60" s="8" t="b">
        <v>1</v>
      </c>
      <c r="G60" s="8" t="s">
        <v>354</v>
      </c>
      <c r="H60" s="8" t="s">
        <v>355</v>
      </c>
      <c r="I60" s="8" t="s">
        <v>355</v>
      </c>
      <c r="J60" s="8" t="s">
        <v>356</v>
      </c>
      <c r="K60" s="8" t="s">
        <v>357</v>
      </c>
      <c r="L60" s="8" t="s">
        <v>465</v>
      </c>
      <c r="M60" s="8" t="s">
        <v>359</v>
      </c>
      <c r="N60" s="8" t="s">
        <v>355</v>
      </c>
      <c r="O60" s="8" t="s">
        <v>360</v>
      </c>
      <c r="P60" s="8" t="s">
        <v>361</v>
      </c>
      <c r="Q60" s="8" t="s">
        <v>362</v>
      </c>
      <c r="R60" s="8" t="s">
        <v>363</v>
      </c>
      <c r="S60" s="8" t="s">
        <v>466</v>
      </c>
      <c r="T60" s="8"/>
      <c r="U60" s="8" t="s">
        <v>111</v>
      </c>
      <c r="V60" s="8" t="s">
        <v>111</v>
      </c>
      <c r="W60" s="8" t="s">
        <v>112</v>
      </c>
      <c r="X60" s="8"/>
      <c r="Y60" s="8" t="s">
        <v>365</v>
      </c>
    </row>
    <row r="61" spans="1:25" ht="36" x14ac:dyDescent="0.3">
      <c r="A61" s="8" t="s">
        <v>479</v>
      </c>
      <c r="B61" s="10">
        <v>293556</v>
      </c>
      <c r="C61" s="8" t="s">
        <v>480</v>
      </c>
      <c r="D61" s="8" t="s">
        <v>352</v>
      </c>
      <c r="E61" s="8" t="s">
        <v>353</v>
      </c>
      <c r="F61" s="8" t="b">
        <v>1</v>
      </c>
      <c r="G61" s="8" t="s">
        <v>354</v>
      </c>
      <c r="H61" s="8" t="s">
        <v>355</v>
      </c>
      <c r="I61" s="8" t="s">
        <v>355</v>
      </c>
      <c r="J61" s="8" t="s">
        <v>356</v>
      </c>
      <c r="K61" s="8" t="s">
        <v>357</v>
      </c>
      <c r="L61" s="8" t="s">
        <v>401</v>
      </c>
      <c r="M61" s="8" t="s">
        <v>359</v>
      </c>
      <c r="N61" s="8" t="s">
        <v>355</v>
      </c>
      <c r="O61" s="8" t="s">
        <v>360</v>
      </c>
      <c r="P61" s="8" t="s">
        <v>361</v>
      </c>
      <c r="Q61" s="8" t="s">
        <v>362</v>
      </c>
      <c r="R61" s="8" t="s">
        <v>363</v>
      </c>
      <c r="S61" s="8" t="s">
        <v>402</v>
      </c>
      <c r="T61" s="8"/>
      <c r="U61" s="8" t="s">
        <v>111</v>
      </c>
      <c r="V61" s="8" t="s">
        <v>111</v>
      </c>
      <c r="W61" s="8" t="s">
        <v>112</v>
      </c>
      <c r="X61" s="8"/>
      <c r="Y61" s="8" t="s">
        <v>365</v>
      </c>
    </row>
    <row r="62" spans="1:25" ht="36" x14ac:dyDescent="0.3">
      <c r="A62" s="8" t="s">
        <v>481</v>
      </c>
      <c r="B62" s="10">
        <v>293951</v>
      </c>
      <c r="C62" s="8" t="s">
        <v>482</v>
      </c>
      <c r="D62" s="8" t="s">
        <v>352</v>
      </c>
      <c r="E62" s="8" t="s">
        <v>353</v>
      </c>
      <c r="F62" s="8" t="b">
        <v>1</v>
      </c>
      <c r="G62" s="8" t="s">
        <v>354</v>
      </c>
      <c r="H62" s="8" t="s">
        <v>355</v>
      </c>
      <c r="I62" s="8" t="s">
        <v>355</v>
      </c>
      <c r="J62" s="8" t="s">
        <v>356</v>
      </c>
      <c r="K62" s="8" t="s">
        <v>357</v>
      </c>
      <c r="L62" s="8" t="s">
        <v>465</v>
      </c>
      <c r="M62" s="8" t="s">
        <v>359</v>
      </c>
      <c r="N62" s="8" t="s">
        <v>355</v>
      </c>
      <c r="O62" s="8" t="s">
        <v>360</v>
      </c>
      <c r="P62" s="8" t="s">
        <v>361</v>
      </c>
      <c r="Q62" s="8" t="s">
        <v>362</v>
      </c>
      <c r="R62" s="8" t="s">
        <v>363</v>
      </c>
      <c r="S62" s="8" t="s">
        <v>466</v>
      </c>
      <c r="T62" s="8"/>
      <c r="U62" s="8" t="s">
        <v>111</v>
      </c>
      <c r="V62" s="8" t="s">
        <v>111</v>
      </c>
      <c r="W62" s="8" t="s">
        <v>112</v>
      </c>
      <c r="X62" s="8"/>
      <c r="Y62" s="8" t="s">
        <v>365</v>
      </c>
    </row>
    <row r="63" spans="1:25" ht="36" x14ac:dyDescent="0.3">
      <c r="A63" s="8" t="s">
        <v>483</v>
      </c>
      <c r="B63" s="10">
        <v>281494</v>
      </c>
      <c r="C63" s="8" t="s">
        <v>484</v>
      </c>
      <c r="D63" s="8" t="s">
        <v>352</v>
      </c>
      <c r="E63" s="8" t="s">
        <v>353</v>
      </c>
      <c r="F63" s="8" t="b">
        <v>1</v>
      </c>
      <c r="G63" s="8" t="s">
        <v>354</v>
      </c>
      <c r="H63" s="8" t="s">
        <v>355</v>
      </c>
      <c r="I63" s="8" t="s">
        <v>355</v>
      </c>
      <c r="J63" s="8" t="s">
        <v>356</v>
      </c>
      <c r="K63" s="8" t="s">
        <v>357</v>
      </c>
      <c r="L63" s="8" t="s">
        <v>358</v>
      </c>
      <c r="M63" s="8" t="s">
        <v>359</v>
      </c>
      <c r="N63" s="8" t="s">
        <v>355</v>
      </c>
      <c r="O63" s="8" t="s">
        <v>360</v>
      </c>
      <c r="P63" s="8" t="s">
        <v>361</v>
      </c>
      <c r="Q63" s="8" t="s">
        <v>362</v>
      </c>
      <c r="R63" s="8" t="s">
        <v>363</v>
      </c>
      <c r="S63" s="8" t="s">
        <v>364</v>
      </c>
      <c r="T63" s="8"/>
      <c r="U63" s="8" t="s">
        <v>111</v>
      </c>
      <c r="V63" s="8" t="s">
        <v>111</v>
      </c>
      <c r="W63" s="8" t="s">
        <v>112</v>
      </c>
      <c r="X63" s="8"/>
      <c r="Y63" s="8" t="s">
        <v>365</v>
      </c>
    </row>
    <row r="64" spans="1:25" ht="36" x14ac:dyDescent="0.3">
      <c r="A64" s="8" t="s">
        <v>485</v>
      </c>
      <c r="B64" s="10">
        <v>320154</v>
      </c>
      <c r="C64" s="8" t="s">
        <v>486</v>
      </c>
      <c r="D64" s="8" t="s">
        <v>352</v>
      </c>
      <c r="E64" s="8" t="s">
        <v>353</v>
      </c>
      <c r="F64" s="8" t="b">
        <v>1</v>
      </c>
      <c r="G64" s="8" t="s">
        <v>354</v>
      </c>
      <c r="H64" s="8" t="s">
        <v>355</v>
      </c>
      <c r="I64" s="8" t="s">
        <v>355</v>
      </c>
      <c r="J64" s="8" t="s">
        <v>356</v>
      </c>
      <c r="K64" s="8" t="s">
        <v>357</v>
      </c>
      <c r="L64" s="8" t="s">
        <v>358</v>
      </c>
      <c r="M64" s="8" t="s">
        <v>359</v>
      </c>
      <c r="N64" s="8" t="s">
        <v>355</v>
      </c>
      <c r="O64" s="8" t="s">
        <v>360</v>
      </c>
      <c r="P64" s="8" t="s">
        <v>361</v>
      </c>
      <c r="Q64" s="8" t="s">
        <v>362</v>
      </c>
      <c r="R64" s="8" t="s">
        <v>363</v>
      </c>
      <c r="S64" s="8" t="s">
        <v>364</v>
      </c>
      <c r="T64" s="8"/>
      <c r="U64" s="8" t="s">
        <v>111</v>
      </c>
      <c r="V64" s="8" t="s">
        <v>111</v>
      </c>
      <c r="W64" s="8" t="s">
        <v>112</v>
      </c>
      <c r="X64" s="8"/>
      <c r="Y64" s="8" t="s">
        <v>365</v>
      </c>
    </row>
    <row r="65" spans="1:25" ht="36" x14ac:dyDescent="0.3">
      <c r="A65" s="8" t="s">
        <v>487</v>
      </c>
      <c r="B65" s="10">
        <v>319957</v>
      </c>
      <c r="C65" s="8" t="s">
        <v>165</v>
      </c>
      <c r="D65" s="8" t="s">
        <v>352</v>
      </c>
      <c r="E65" s="8" t="s">
        <v>488</v>
      </c>
      <c r="F65" s="8" t="b">
        <v>1</v>
      </c>
      <c r="G65" s="8" t="s">
        <v>354</v>
      </c>
      <c r="H65" s="8" t="s">
        <v>355</v>
      </c>
      <c r="I65" s="8" t="s">
        <v>355</v>
      </c>
      <c r="J65" s="8" t="s">
        <v>356</v>
      </c>
      <c r="K65" s="8" t="s">
        <v>357</v>
      </c>
      <c r="L65" s="8" t="s">
        <v>358</v>
      </c>
      <c r="M65" s="8" t="s">
        <v>359</v>
      </c>
      <c r="N65" s="8" t="s">
        <v>355</v>
      </c>
      <c r="O65" s="8" t="s">
        <v>360</v>
      </c>
      <c r="P65" s="8" t="s">
        <v>361</v>
      </c>
      <c r="Q65" s="8" t="s">
        <v>362</v>
      </c>
      <c r="R65" s="8" t="s">
        <v>363</v>
      </c>
      <c r="S65" s="8" t="s">
        <v>489</v>
      </c>
      <c r="T65" s="8"/>
      <c r="U65" s="8" t="s">
        <v>111</v>
      </c>
      <c r="V65" s="8" t="s">
        <v>111</v>
      </c>
      <c r="W65" s="8" t="s">
        <v>112</v>
      </c>
      <c r="X65" s="8"/>
      <c r="Y65" s="8" t="s">
        <v>365</v>
      </c>
    </row>
    <row r="66" spans="1:25" ht="36" x14ac:dyDescent="0.3">
      <c r="A66" s="8" t="s">
        <v>490</v>
      </c>
      <c r="B66" s="10">
        <v>225703</v>
      </c>
      <c r="C66" s="8" t="s">
        <v>491</v>
      </c>
      <c r="D66" s="8" t="s">
        <v>352</v>
      </c>
      <c r="E66" s="8" t="s">
        <v>353</v>
      </c>
      <c r="F66" s="8" t="b">
        <v>1</v>
      </c>
      <c r="G66" s="8" t="s">
        <v>354</v>
      </c>
      <c r="H66" s="8" t="s">
        <v>355</v>
      </c>
      <c r="I66" s="8" t="s">
        <v>355</v>
      </c>
      <c r="J66" s="8" t="s">
        <v>356</v>
      </c>
      <c r="K66" s="8" t="s">
        <v>357</v>
      </c>
      <c r="L66" s="8" t="s">
        <v>358</v>
      </c>
      <c r="M66" s="8" t="s">
        <v>359</v>
      </c>
      <c r="N66" s="8" t="s">
        <v>355</v>
      </c>
      <c r="O66" s="8" t="s">
        <v>360</v>
      </c>
      <c r="P66" s="8" t="s">
        <v>361</v>
      </c>
      <c r="Q66" s="8" t="s">
        <v>362</v>
      </c>
      <c r="R66" s="8" t="s">
        <v>363</v>
      </c>
      <c r="S66" s="8" t="s">
        <v>364</v>
      </c>
      <c r="T66" s="8"/>
      <c r="U66" s="8" t="s">
        <v>111</v>
      </c>
      <c r="V66" s="8" t="s">
        <v>111</v>
      </c>
      <c r="W66" s="8" t="s">
        <v>112</v>
      </c>
      <c r="X66" s="8"/>
      <c r="Y66" s="8" t="s">
        <v>365</v>
      </c>
    </row>
    <row r="67" spans="1:25" ht="36" x14ac:dyDescent="0.3">
      <c r="A67" s="8" t="s">
        <v>492</v>
      </c>
      <c r="B67" s="10">
        <v>289617</v>
      </c>
      <c r="C67" s="8" t="s">
        <v>493</v>
      </c>
      <c r="D67" s="8" t="s">
        <v>352</v>
      </c>
      <c r="E67" s="8" t="s">
        <v>353</v>
      </c>
      <c r="F67" s="8" t="b">
        <v>1</v>
      </c>
      <c r="G67" s="8" t="s">
        <v>354</v>
      </c>
      <c r="H67" s="8" t="s">
        <v>355</v>
      </c>
      <c r="I67" s="8" t="s">
        <v>355</v>
      </c>
      <c r="J67" s="8" t="s">
        <v>356</v>
      </c>
      <c r="K67" s="8" t="s">
        <v>357</v>
      </c>
      <c r="L67" s="8" t="s">
        <v>358</v>
      </c>
      <c r="M67" s="8" t="s">
        <v>359</v>
      </c>
      <c r="N67" s="8" t="s">
        <v>355</v>
      </c>
      <c r="O67" s="8" t="s">
        <v>360</v>
      </c>
      <c r="P67" s="8" t="s">
        <v>361</v>
      </c>
      <c r="Q67" s="8" t="s">
        <v>362</v>
      </c>
      <c r="R67" s="8" t="s">
        <v>363</v>
      </c>
      <c r="S67" s="8" t="s">
        <v>364</v>
      </c>
      <c r="T67" s="8"/>
      <c r="U67" s="8" t="s">
        <v>111</v>
      </c>
      <c r="V67" s="8" t="s">
        <v>111</v>
      </c>
      <c r="W67" s="8" t="s">
        <v>112</v>
      </c>
      <c r="X67" s="8"/>
      <c r="Y67" s="8" t="s">
        <v>365</v>
      </c>
    </row>
    <row r="68" spans="1:25" ht="36" x14ac:dyDescent="0.3">
      <c r="A68" s="8" t="s">
        <v>494</v>
      </c>
      <c r="B68" s="10">
        <v>315940</v>
      </c>
      <c r="C68" s="8" t="s">
        <v>167</v>
      </c>
      <c r="D68" s="8" t="s">
        <v>352</v>
      </c>
      <c r="E68" s="8" t="s">
        <v>353</v>
      </c>
      <c r="F68" s="8" t="b">
        <v>1</v>
      </c>
      <c r="G68" s="8" t="s">
        <v>354</v>
      </c>
      <c r="H68" s="8" t="s">
        <v>355</v>
      </c>
      <c r="I68" s="8" t="s">
        <v>355</v>
      </c>
      <c r="J68" s="8" t="s">
        <v>356</v>
      </c>
      <c r="K68" s="8" t="s">
        <v>357</v>
      </c>
      <c r="L68" s="8" t="s">
        <v>358</v>
      </c>
      <c r="M68" s="8" t="s">
        <v>359</v>
      </c>
      <c r="N68" s="8" t="s">
        <v>355</v>
      </c>
      <c r="O68" s="8" t="s">
        <v>360</v>
      </c>
      <c r="P68" s="8" t="s">
        <v>361</v>
      </c>
      <c r="Q68" s="8" t="s">
        <v>362</v>
      </c>
      <c r="R68" s="8" t="s">
        <v>363</v>
      </c>
      <c r="S68" s="8" t="s">
        <v>364</v>
      </c>
      <c r="T68" s="8"/>
      <c r="U68" s="8" t="s">
        <v>111</v>
      </c>
      <c r="V68" s="8" t="s">
        <v>111</v>
      </c>
      <c r="W68" s="8" t="s">
        <v>112</v>
      </c>
      <c r="X68" s="8"/>
      <c r="Y68" s="8" t="s">
        <v>365</v>
      </c>
    </row>
    <row r="69" spans="1:25" ht="36" x14ac:dyDescent="0.3">
      <c r="A69" s="8" t="s">
        <v>495</v>
      </c>
      <c r="B69" s="10">
        <v>231374</v>
      </c>
      <c r="C69" s="8" t="s">
        <v>496</v>
      </c>
      <c r="D69" s="8" t="s">
        <v>352</v>
      </c>
      <c r="E69" s="8" t="s">
        <v>353</v>
      </c>
      <c r="F69" s="8" t="b">
        <v>1</v>
      </c>
      <c r="G69" s="8" t="s">
        <v>354</v>
      </c>
      <c r="H69" s="8" t="s">
        <v>355</v>
      </c>
      <c r="I69" s="8" t="s">
        <v>355</v>
      </c>
      <c r="J69" s="8" t="s">
        <v>356</v>
      </c>
      <c r="K69" s="8" t="s">
        <v>357</v>
      </c>
      <c r="L69" s="8" t="s">
        <v>358</v>
      </c>
      <c r="M69" s="8" t="s">
        <v>359</v>
      </c>
      <c r="N69" s="8" t="s">
        <v>355</v>
      </c>
      <c r="O69" s="8" t="s">
        <v>360</v>
      </c>
      <c r="P69" s="8" t="s">
        <v>361</v>
      </c>
      <c r="Q69" s="8" t="s">
        <v>362</v>
      </c>
      <c r="R69" s="8" t="s">
        <v>363</v>
      </c>
      <c r="S69" s="8" t="s">
        <v>364</v>
      </c>
      <c r="T69" s="8"/>
      <c r="U69" s="8" t="s">
        <v>111</v>
      </c>
      <c r="V69" s="8" t="s">
        <v>111</v>
      </c>
      <c r="W69" s="8" t="s">
        <v>112</v>
      </c>
      <c r="X69" s="8"/>
      <c r="Y69" s="8" t="s">
        <v>365</v>
      </c>
    </row>
    <row r="70" spans="1:25" ht="36" x14ac:dyDescent="0.3">
      <c r="A70" s="8" t="s">
        <v>497</v>
      </c>
      <c r="B70" s="10">
        <v>282625</v>
      </c>
      <c r="C70" s="8" t="s">
        <v>169</v>
      </c>
      <c r="D70" s="8" t="s">
        <v>352</v>
      </c>
      <c r="E70" s="8" t="s">
        <v>353</v>
      </c>
      <c r="F70" s="8" t="b">
        <v>1</v>
      </c>
      <c r="G70" s="8" t="s">
        <v>354</v>
      </c>
      <c r="H70" s="8" t="s">
        <v>355</v>
      </c>
      <c r="I70" s="8" t="s">
        <v>355</v>
      </c>
      <c r="J70" s="8" t="s">
        <v>356</v>
      </c>
      <c r="K70" s="8" t="s">
        <v>357</v>
      </c>
      <c r="L70" s="8" t="s">
        <v>358</v>
      </c>
      <c r="M70" s="8" t="s">
        <v>359</v>
      </c>
      <c r="N70" s="8" t="s">
        <v>355</v>
      </c>
      <c r="O70" s="8" t="s">
        <v>360</v>
      </c>
      <c r="P70" s="8" t="s">
        <v>361</v>
      </c>
      <c r="Q70" s="8" t="s">
        <v>362</v>
      </c>
      <c r="R70" s="8" t="s">
        <v>363</v>
      </c>
      <c r="S70" s="8" t="s">
        <v>364</v>
      </c>
      <c r="T70" s="8"/>
      <c r="U70" s="8" t="s">
        <v>111</v>
      </c>
      <c r="V70" s="8" t="s">
        <v>111</v>
      </c>
      <c r="W70" s="8" t="s">
        <v>112</v>
      </c>
      <c r="X70" s="8"/>
      <c r="Y70" s="8" t="s">
        <v>365</v>
      </c>
    </row>
    <row r="71" spans="1:25" ht="36" x14ac:dyDescent="0.3">
      <c r="A71" s="8" t="s">
        <v>498</v>
      </c>
      <c r="B71" s="10">
        <v>332726</v>
      </c>
      <c r="C71" s="8" t="s">
        <v>171</v>
      </c>
      <c r="D71" s="8" t="s">
        <v>352</v>
      </c>
      <c r="E71" s="8" t="s">
        <v>353</v>
      </c>
      <c r="F71" s="8" t="b">
        <v>1</v>
      </c>
      <c r="G71" s="8" t="s">
        <v>354</v>
      </c>
      <c r="H71" s="8" t="s">
        <v>355</v>
      </c>
      <c r="I71" s="8" t="s">
        <v>355</v>
      </c>
      <c r="J71" s="8" t="s">
        <v>356</v>
      </c>
      <c r="K71" s="8" t="s">
        <v>357</v>
      </c>
      <c r="L71" s="8" t="s">
        <v>358</v>
      </c>
      <c r="M71" s="8" t="s">
        <v>359</v>
      </c>
      <c r="N71" s="8" t="s">
        <v>355</v>
      </c>
      <c r="O71" s="8" t="s">
        <v>360</v>
      </c>
      <c r="P71" s="8" t="s">
        <v>361</v>
      </c>
      <c r="Q71" s="8" t="s">
        <v>362</v>
      </c>
      <c r="R71" s="8" t="s">
        <v>363</v>
      </c>
      <c r="S71" s="8" t="s">
        <v>364</v>
      </c>
      <c r="T71" s="8"/>
      <c r="U71" s="8" t="s">
        <v>111</v>
      </c>
      <c r="V71" s="8" t="s">
        <v>111</v>
      </c>
      <c r="W71" s="8" t="s">
        <v>112</v>
      </c>
      <c r="X71" s="8"/>
      <c r="Y71" s="8" t="s">
        <v>365</v>
      </c>
    </row>
    <row r="72" spans="1:25" ht="36" x14ac:dyDescent="0.3">
      <c r="A72" s="8" t="s">
        <v>499</v>
      </c>
      <c r="B72" s="10">
        <v>319734</v>
      </c>
      <c r="C72" s="8" t="s">
        <v>173</v>
      </c>
      <c r="D72" s="8" t="s">
        <v>352</v>
      </c>
      <c r="E72" s="8" t="s">
        <v>353</v>
      </c>
      <c r="F72" s="8" t="b">
        <v>1</v>
      </c>
      <c r="G72" s="8" t="s">
        <v>354</v>
      </c>
      <c r="H72" s="8" t="s">
        <v>355</v>
      </c>
      <c r="I72" s="8" t="s">
        <v>355</v>
      </c>
      <c r="J72" s="8" t="s">
        <v>356</v>
      </c>
      <c r="K72" s="8" t="s">
        <v>357</v>
      </c>
      <c r="L72" s="8" t="s">
        <v>358</v>
      </c>
      <c r="M72" s="8" t="s">
        <v>359</v>
      </c>
      <c r="N72" s="8" t="s">
        <v>355</v>
      </c>
      <c r="O72" s="8" t="s">
        <v>360</v>
      </c>
      <c r="P72" s="8" t="s">
        <v>361</v>
      </c>
      <c r="Q72" s="8" t="s">
        <v>362</v>
      </c>
      <c r="R72" s="8" t="s">
        <v>363</v>
      </c>
      <c r="S72" s="8" t="s">
        <v>364</v>
      </c>
      <c r="T72" s="8"/>
      <c r="U72" s="8" t="s">
        <v>111</v>
      </c>
      <c r="V72" s="8" t="s">
        <v>111</v>
      </c>
      <c r="W72" s="8" t="s">
        <v>112</v>
      </c>
      <c r="X72" s="8"/>
      <c r="Y72" s="8" t="s">
        <v>365</v>
      </c>
    </row>
    <row r="73" spans="1:25" ht="36" x14ac:dyDescent="0.3">
      <c r="A73" s="8" t="s">
        <v>500</v>
      </c>
      <c r="B73" s="10">
        <v>266572</v>
      </c>
      <c r="C73" s="8" t="s">
        <v>175</v>
      </c>
      <c r="D73" s="8" t="s">
        <v>352</v>
      </c>
      <c r="E73" s="8" t="s">
        <v>353</v>
      </c>
      <c r="F73" s="8" t="b">
        <v>1</v>
      </c>
      <c r="G73" s="8" t="s">
        <v>354</v>
      </c>
      <c r="H73" s="8" t="s">
        <v>355</v>
      </c>
      <c r="I73" s="8" t="s">
        <v>355</v>
      </c>
      <c r="J73" s="8" t="s">
        <v>356</v>
      </c>
      <c r="K73" s="8" t="s">
        <v>357</v>
      </c>
      <c r="L73" s="8" t="s">
        <v>358</v>
      </c>
      <c r="M73" s="8" t="s">
        <v>359</v>
      </c>
      <c r="N73" s="8" t="s">
        <v>355</v>
      </c>
      <c r="O73" s="8" t="s">
        <v>360</v>
      </c>
      <c r="P73" s="8" t="s">
        <v>361</v>
      </c>
      <c r="Q73" s="8" t="s">
        <v>362</v>
      </c>
      <c r="R73" s="8" t="s">
        <v>363</v>
      </c>
      <c r="S73" s="8" t="s">
        <v>364</v>
      </c>
      <c r="T73" s="8"/>
      <c r="U73" s="8" t="s">
        <v>111</v>
      </c>
      <c r="V73" s="8" t="s">
        <v>111</v>
      </c>
      <c r="W73" s="8" t="s">
        <v>112</v>
      </c>
      <c r="X73" s="8"/>
      <c r="Y73" s="8" t="s">
        <v>365</v>
      </c>
    </row>
    <row r="74" spans="1:25" ht="36" x14ac:dyDescent="0.3">
      <c r="A74" s="8" t="s">
        <v>501</v>
      </c>
      <c r="B74" s="10">
        <v>264528</v>
      </c>
      <c r="C74" s="8" t="s">
        <v>177</v>
      </c>
      <c r="D74" s="8" t="s">
        <v>352</v>
      </c>
      <c r="E74" s="8" t="s">
        <v>353</v>
      </c>
      <c r="F74" s="8" t="b">
        <v>1</v>
      </c>
      <c r="G74" s="8" t="s">
        <v>354</v>
      </c>
      <c r="H74" s="8" t="s">
        <v>355</v>
      </c>
      <c r="I74" s="8" t="s">
        <v>355</v>
      </c>
      <c r="J74" s="8" t="s">
        <v>356</v>
      </c>
      <c r="K74" s="8" t="s">
        <v>357</v>
      </c>
      <c r="L74" s="8" t="s">
        <v>358</v>
      </c>
      <c r="M74" s="8" t="s">
        <v>359</v>
      </c>
      <c r="N74" s="8" t="s">
        <v>355</v>
      </c>
      <c r="O74" s="8" t="s">
        <v>360</v>
      </c>
      <c r="P74" s="8" t="s">
        <v>361</v>
      </c>
      <c r="Q74" s="8" t="s">
        <v>362</v>
      </c>
      <c r="R74" s="8" t="s">
        <v>363</v>
      </c>
      <c r="S74" s="8" t="s">
        <v>364</v>
      </c>
      <c r="T74" s="8"/>
      <c r="U74" s="8" t="s">
        <v>111</v>
      </c>
      <c r="V74" s="8" t="s">
        <v>111</v>
      </c>
      <c r="W74" s="8" t="s">
        <v>112</v>
      </c>
      <c r="X74" s="8"/>
      <c r="Y74" s="8" t="s">
        <v>365</v>
      </c>
    </row>
    <row r="75" spans="1:25" ht="36" x14ac:dyDescent="0.3">
      <c r="A75" s="8" t="s">
        <v>502</v>
      </c>
      <c r="B75" s="10">
        <v>235000</v>
      </c>
      <c r="C75" s="8" t="s">
        <v>503</v>
      </c>
      <c r="D75" s="8" t="s">
        <v>352</v>
      </c>
      <c r="E75" s="8" t="s">
        <v>353</v>
      </c>
      <c r="F75" s="8" t="b">
        <v>1</v>
      </c>
      <c r="G75" s="8" t="s">
        <v>354</v>
      </c>
      <c r="H75" s="8" t="s">
        <v>355</v>
      </c>
      <c r="I75" s="8" t="s">
        <v>355</v>
      </c>
      <c r="J75" s="8" t="s">
        <v>356</v>
      </c>
      <c r="K75" s="8" t="s">
        <v>357</v>
      </c>
      <c r="L75" s="8" t="s">
        <v>358</v>
      </c>
      <c r="M75" s="8" t="s">
        <v>359</v>
      </c>
      <c r="N75" s="8" t="s">
        <v>355</v>
      </c>
      <c r="O75" s="8" t="s">
        <v>360</v>
      </c>
      <c r="P75" s="8" t="s">
        <v>361</v>
      </c>
      <c r="Q75" s="8" t="s">
        <v>362</v>
      </c>
      <c r="R75" s="8" t="s">
        <v>363</v>
      </c>
      <c r="S75" s="8" t="s">
        <v>364</v>
      </c>
      <c r="T75" s="8"/>
      <c r="U75" s="8" t="s">
        <v>111</v>
      </c>
      <c r="V75" s="8" t="s">
        <v>111</v>
      </c>
      <c r="W75" s="8" t="s">
        <v>112</v>
      </c>
      <c r="X75" s="8"/>
      <c r="Y75" s="8" t="s">
        <v>365</v>
      </c>
    </row>
    <row r="76" spans="1:25" ht="36" x14ac:dyDescent="0.3">
      <c r="A76" s="8" t="s">
        <v>504</v>
      </c>
      <c r="B76" s="10">
        <v>296408</v>
      </c>
      <c r="C76" s="8" t="s">
        <v>505</v>
      </c>
      <c r="D76" s="8" t="s">
        <v>352</v>
      </c>
      <c r="E76" s="8" t="s">
        <v>353</v>
      </c>
      <c r="F76" s="8" t="b">
        <v>1</v>
      </c>
      <c r="G76" s="8" t="s">
        <v>354</v>
      </c>
      <c r="H76" s="8" t="s">
        <v>355</v>
      </c>
      <c r="I76" s="8" t="s">
        <v>355</v>
      </c>
      <c r="J76" s="8" t="s">
        <v>356</v>
      </c>
      <c r="K76" s="8" t="s">
        <v>357</v>
      </c>
      <c r="L76" s="8" t="s">
        <v>358</v>
      </c>
      <c r="M76" s="8" t="s">
        <v>359</v>
      </c>
      <c r="N76" s="8" t="s">
        <v>355</v>
      </c>
      <c r="O76" s="8" t="s">
        <v>360</v>
      </c>
      <c r="P76" s="8" t="s">
        <v>361</v>
      </c>
      <c r="Q76" s="8" t="s">
        <v>362</v>
      </c>
      <c r="R76" s="8" t="s">
        <v>363</v>
      </c>
      <c r="S76" s="8" t="s">
        <v>364</v>
      </c>
      <c r="T76" s="8"/>
      <c r="U76" s="8" t="s">
        <v>111</v>
      </c>
      <c r="V76" s="8" t="s">
        <v>111</v>
      </c>
      <c r="W76" s="8" t="s">
        <v>112</v>
      </c>
      <c r="X76" s="8"/>
      <c r="Y76" s="8" t="s">
        <v>365</v>
      </c>
    </row>
    <row r="77" spans="1:25" ht="36" x14ac:dyDescent="0.3">
      <c r="A77" s="8" t="s">
        <v>506</v>
      </c>
      <c r="B77" s="10">
        <v>265784</v>
      </c>
      <c r="C77" s="8" t="s">
        <v>179</v>
      </c>
      <c r="D77" s="8" t="s">
        <v>352</v>
      </c>
      <c r="E77" s="8" t="s">
        <v>353</v>
      </c>
      <c r="F77" s="8" t="b">
        <v>1</v>
      </c>
      <c r="G77" s="8" t="s">
        <v>354</v>
      </c>
      <c r="H77" s="8" t="s">
        <v>355</v>
      </c>
      <c r="I77" s="8" t="s">
        <v>355</v>
      </c>
      <c r="J77" s="8" t="s">
        <v>356</v>
      </c>
      <c r="K77" s="8" t="s">
        <v>357</v>
      </c>
      <c r="L77" s="8" t="s">
        <v>358</v>
      </c>
      <c r="M77" s="8" t="s">
        <v>359</v>
      </c>
      <c r="N77" s="8" t="s">
        <v>355</v>
      </c>
      <c r="O77" s="8" t="s">
        <v>360</v>
      </c>
      <c r="P77" s="8" t="s">
        <v>361</v>
      </c>
      <c r="Q77" s="8" t="s">
        <v>362</v>
      </c>
      <c r="R77" s="8" t="s">
        <v>363</v>
      </c>
      <c r="S77" s="8" t="s">
        <v>364</v>
      </c>
      <c r="T77" s="8"/>
      <c r="U77" s="8" t="s">
        <v>111</v>
      </c>
      <c r="V77" s="8" t="s">
        <v>111</v>
      </c>
      <c r="W77" s="8" t="s">
        <v>112</v>
      </c>
      <c r="X77" s="8"/>
      <c r="Y77" s="8" t="s">
        <v>365</v>
      </c>
    </row>
    <row r="78" spans="1:25" ht="36" x14ac:dyDescent="0.3">
      <c r="A78" s="8" t="s">
        <v>507</v>
      </c>
      <c r="B78" s="10">
        <v>264680</v>
      </c>
      <c r="C78" s="8" t="s">
        <v>508</v>
      </c>
      <c r="D78" s="8" t="s">
        <v>352</v>
      </c>
      <c r="E78" s="8" t="s">
        <v>353</v>
      </c>
      <c r="F78" s="8" t="b">
        <v>1</v>
      </c>
      <c r="G78" s="8" t="s">
        <v>354</v>
      </c>
      <c r="H78" s="8" t="s">
        <v>355</v>
      </c>
      <c r="I78" s="8" t="s">
        <v>355</v>
      </c>
      <c r="J78" s="8" t="s">
        <v>356</v>
      </c>
      <c r="K78" s="8" t="s">
        <v>357</v>
      </c>
      <c r="L78" s="8" t="s">
        <v>358</v>
      </c>
      <c r="M78" s="8" t="s">
        <v>359</v>
      </c>
      <c r="N78" s="8" t="s">
        <v>355</v>
      </c>
      <c r="O78" s="8" t="s">
        <v>360</v>
      </c>
      <c r="P78" s="8" t="s">
        <v>361</v>
      </c>
      <c r="Q78" s="8" t="s">
        <v>362</v>
      </c>
      <c r="R78" s="8" t="s">
        <v>363</v>
      </c>
      <c r="S78" s="8" t="s">
        <v>364</v>
      </c>
      <c r="T78" s="8"/>
      <c r="U78" s="8" t="s">
        <v>111</v>
      </c>
      <c r="V78" s="8" t="s">
        <v>111</v>
      </c>
      <c r="W78" s="8" t="s">
        <v>112</v>
      </c>
      <c r="X78" s="8"/>
      <c r="Y78" s="8" t="s">
        <v>365</v>
      </c>
    </row>
    <row r="79" spans="1:25" ht="36" x14ac:dyDescent="0.3">
      <c r="A79" s="8" t="s">
        <v>509</v>
      </c>
      <c r="B79" s="10">
        <v>264292</v>
      </c>
      <c r="C79" s="8" t="s">
        <v>181</v>
      </c>
      <c r="D79" s="8" t="s">
        <v>352</v>
      </c>
      <c r="E79" s="8" t="s">
        <v>353</v>
      </c>
      <c r="F79" s="8" t="b">
        <v>1</v>
      </c>
      <c r="G79" s="8" t="s">
        <v>354</v>
      </c>
      <c r="H79" s="8" t="s">
        <v>355</v>
      </c>
      <c r="I79" s="8" t="s">
        <v>355</v>
      </c>
      <c r="J79" s="8" t="s">
        <v>356</v>
      </c>
      <c r="K79" s="8" t="s">
        <v>357</v>
      </c>
      <c r="L79" s="8" t="s">
        <v>358</v>
      </c>
      <c r="M79" s="8" t="s">
        <v>359</v>
      </c>
      <c r="N79" s="8" t="s">
        <v>355</v>
      </c>
      <c r="O79" s="8" t="s">
        <v>360</v>
      </c>
      <c r="P79" s="8" t="s">
        <v>361</v>
      </c>
      <c r="Q79" s="8" t="s">
        <v>362</v>
      </c>
      <c r="R79" s="8" t="s">
        <v>363</v>
      </c>
      <c r="S79" s="8" t="s">
        <v>364</v>
      </c>
      <c r="T79" s="8"/>
      <c r="U79" s="8" t="s">
        <v>111</v>
      </c>
      <c r="V79" s="8" t="s">
        <v>111</v>
      </c>
      <c r="W79" s="8" t="s">
        <v>112</v>
      </c>
      <c r="X79" s="8"/>
      <c r="Y79" s="8" t="s">
        <v>365</v>
      </c>
    </row>
    <row r="80" spans="1:25" ht="36" x14ac:dyDescent="0.3">
      <c r="A80" s="8" t="s">
        <v>510</v>
      </c>
      <c r="B80" s="10">
        <v>325778</v>
      </c>
      <c r="C80" s="8" t="s">
        <v>511</v>
      </c>
      <c r="D80" s="8" t="s">
        <v>352</v>
      </c>
      <c r="E80" s="8" t="s">
        <v>353</v>
      </c>
      <c r="F80" s="8" t="b">
        <v>1</v>
      </c>
      <c r="G80" s="8" t="s">
        <v>354</v>
      </c>
      <c r="H80" s="8" t="s">
        <v>355</v>
      </c>
      <c r="I80" s="8" t="s">
        <v>355</v>
      </c>
      <c r="J80" s="8" t="s">
        <v>356</v>
      </c>
      <c r="K80" s="8" t="s">
        <v>357</v>
      </c>
      <c r="L80" s="8" t="s">
        <v>358</v>
      </c>
      <c r="M80" s="8" t="s">
        <v>359</v>
      </c>
      <c r="N80" s="8" t="s">
        <v>355</v>
      </c>
      <c r="O80" s="8" t="s">
        <v>360</v>
      </c>
      <c r="P80" s="8" t="s">
        <v>361</v>
      </c>
      <c r="Q80" s="8" t="s">
        <v>362</v>
      </c>
      <c r="R80" s="8" t="s">
        <v>363</v>
      </c>
      <c r="S80" s="8" t="s">
        <v>364</v>
      </c>
      <c r="T80" s="8"/>
      <c r="U80" s="8" t="s">
        <v>111</v>
      </c>
      <c r="V80" s="8" t="s">
        <v>111</v>
      </c>
      <c r="W80" s="8" t="s">
        <v>112</v>
      </c>
      <c r="X80" s="8"/>
      <c r="Y80" s="8" t="s">
        <v>365</v>
      </c>
    </row>
    <row r="81" spans="1:25" ht="36" x14ac:dyDescent="0.3">
      <c r="A81" s="8" t="s">
        <v>512</v>
      </c>
      <c r="B81" s="10">
        <v>329797</v>
      </c>
      <c r="C81" s="8" t="s">
        <v>183</v>
      </c>
      <c r="D81" s="8" t="s">
        <v>352</v>
      </c>
      <c r="E81" s="8" t="s">
        <v>353</v>
      </c>
      <c r="F81" s="8" t="b">
        <v>1</v>
      </c>
      <c r="G81" s="8" t="s">
        <v>354</v>
      </c>
      <c r="H81" s="8" t="s">
        <v>355</v>
      </c>
      <c r="I81" s="8" t="s">
        <v>355</v>
      </c>
      <c r="J81" s="8" t="s">
        <v>356</v>
      </c>
      <c r="K81" s="8" t="s">
        <v>357</v>
      </c>
      <c r="L81" s="8" t="s">
        <v>358</v>
      </c>
      <c r="M81" s="8" t="s">
        <v>359</v>
      </c>
      <c r="N81" s="8" t="s">
        <v>355</v>
      </c>
      <c r="O81" s="8" t="s">
        <v>360</v>
      </c>
      <c r="P81" s="8" t="s">
        <v>361</v>
      </c>
      <c r="Q81" s="8" t="s">
        <v>362</v>
      </c>
      <c r="R81" s="8" t="s">
        <v>363</v>
      </c>
      <c r="S81" s="8" t="s">
        <v>364</v>
      </c>
      <c r="T81" s="8"/>
      <c r="U81" s="8" t="s">
        <v>111</v>
      </c>
      <c r="V81" s="8" t="s">
        <v>111</v>
      </c>
      <c r="W81" s="8" t="s">
        <v>112</v>
      </c>
      <c r="X81" s="8"/>
      <c r="Y81" s="8" t="s">
        <v>365</v>
      </c>
    </row>
    <row r="82" spans="1:25" ht="36" x14ac:dyDescent="0.3">
      <c r="A82" s="8" t="s">
        <v>513</v>
      </c>
      <c r="B82" s="10">
        <v>292740</v>
      </c>
      <c r="C82" s="8" t="s">
        <v>514</v>
      </c>
      <c r="D82" s="8" t="s">
        <v>352</v>
      </c>
      <c r="E82" s="8" t="s">
        <v>353</v>
      </c>
      <c r="F82" s="8" t="b">
        <v>1</v>
      </c>
      <c r="G82" s="8" t="s">
        <v>354</v>
      </c>
      <c r="H82" s="8" t="s">
        <v>355</v>
      </c>
      <c r="I82" s="8" t="s">
        <v>355</v>
      </c>
      <c r="J82" s="8" t="s">
        <v>356</v>
      </c>
      <c r="K82" s="8" t="s">
        <v>357</v>
      </c>
      <c r="L82" s="8" t="s">
        <v>358</v>
      </c>
      <c r="M82" s="8" t="s">
        <v>359</v>
      </c>
      <c r="N82" s="8" t="s">
        <v>355</v>
      </c>
      <c r="O82" s="8" t="s">
        <v>360</v>
      </c>
      <c r="P82" s="8" t="s">
        <v>361</v>
      </c>
      <c r="Q82" s="8" t="s">
        <v>362</v>
      </c>
      <c r="R82" s="8" t="s">
        <v>363</v>
      </c>
      <c r="S82" s="8" t="s">
        <v>364</v>
      </c>
      <c r="T82" s="8"/>
      <c r="U82" s="8" t="s">
        <v>111</v>
      </c>
      <c r="V82" s="8" t="s">
        <v>111</v>
      </c>
      <c r="W82" s="8" t="s">
        <v>112</v>
      </c>
      <c r="X82" s="8"/>
      <c r="Y82" s="8" t="s">
        <v>365</v>
      </c>
    </row>
    <row r="83" spans="1:25" ht="36" x14ac:dyDescent="0.3">
      <c r="A83" s="8" t="s">
        <v>515</v>
      </c>
      <c r="B83" s="10">
        <v>320521</v>
      </c>
      <c r="C83" s="8" t="s">
        <v>185</v>
      </c>
      <c r="D83" s="8" t="s">
        <v>352</v>
      </c>
      <c r="E83" s="8" t="s">
        <v>353</v>
      </c>
      <c r="F83" s="8" t="b">
        <v>1</v>
      </c>
      <c r="G83" s="8" t="s">
        <v>354</v>
      </c>
      <c r="H83" s="8" t="s">
        <v>355</v>
      </c>
      <c r="I83" s="8" t="s">
        <v>355</v>
      </c>
      <c r="J83" s="8" t="s">
        <v>356</v>
      </c>
      <c r="K83" s="8" t="s">
        <v>357</v>
      </c>
      <c r="L83" s="8" t="s">
        <v>392</v>
      </c>
      <c r="M83" s="8" t="s">
        <v>359</v>
      </c>
      <c r="N83" s="8" t="s">
        <v>355</v>
      </c>
      <c r="O83" s="8" t="s">
        <v>360</v>
      </c>
      <c r="P83" s="8" t="s">
        <v>361</v>
      </c>
      <c r="Q83" s="8" t="s">
        <v>362</v>
      </c>
      <c r="R83" s="8" t="s">
        <v>363</v>
      </c>
      <c r="S83" s="8" t="s">
        <v>393</v>
      </c>
      <c r="T83" s="8"/>
      <c r="U83" s="8" t="s">
        <v>111</v>
      </c>
      <c r="V83" s="8" t="s">
        <v>111</v>
      </c>
      <c r="W83" s="8" t="s">
        <v>112</v>
      </c>
      <c r="X83" s="8"/>
      <c r="Y83" s="8" t="s">
        <v>365</v>
      </c>
    </row>
    <row r="84" spans="1:25" ht="36" x14ac:dyDescent="0.3">
      <c r="A84" s="8" t="s">
        <v>516</v>
      </c>
      <c r="B84" s="10">
        <v>301381</v>
      </c>
      <c r="C84" s="8" t="s">
        <v>517</v>
      </c>
      <c r="D84" s="8" t="s">
        <v>352</v>
      </c>
      <c r="E84" s="8" t="s">
        <v>353</v>
      </c>
      <c r="F84" s="8" t="b">
        <v>1</v>
      </c>
      <c r="G84" s="8" t="s">
        <v>354</v>
      </c>
      <c r="H84" s="8" t="s">
        <v>355</v>
      </c>
      <c r="I84" s="8" t="s">
        <v>355</v>
      </c>
      <c r="J84" s="8" t="s">
        <v>356</v>
      </c>
      <c r="K84" s="8" t="s">
        <v>357</v>
      </c>
      <c r="L84" s="8" t="s">
        <v>358</v>
      </c>
      <c r="M84" s="8" t="s">
        <v>359</v>
      </c>
      <c r="N84" s="8" t="s">
        <v>355</v>
      </c>
      <c r="O84" s="8" t="s">
        <v>360</v>
      </c>
      <c r="P84" s="8" t="s">
        <v>361</v>
      </c>
      <c r="Q84" s="8" t="s">
        <v>362</v>
      </c>
      <c r="R84" s="8" t="s">
        <v>363</v>
      </c>
      <c r="S84" s="8" t="s">
        <v>364</v>
      </c>
      <c r="T84" s="8"/>
      <c r="U84" s="8" t="s">
        <v>111</v>
      </c>
      <c r="V84" s="8" t="s">
        <v>111</v>
      </c>
      <c r="W84" s="8" t="s">
        <v>112</v>
      </c>
      <c r="X84" s="8"/>
      <c r="Y84" s="8" t="s">
        <v>365</v>
      </c>
    </row>
    <row r="85" spans="1:25" ht="36" x14ac:dyDescent="0.3">
      <c r="A85" s="8" t="s">
        <v>518</v>
      </c>
      <c r="B85" s="10">
        <v>305167</v>
      </c>
      <c r="C85" s="8" t="s">
        <v>519</v>
      </c>
      <c r="D85" s="8" t="s">
        <v>352</v>
      </c>
      <c r="E85" s="8" t="s">
        <v>353</v>
      </c>
      <c r="F85" s="8" t="b">
        <v>1</v>
      </c>
      <c r="G85" s="8" t="s">
        <v>354</v>
      </c>
      <c r="H85" s="8" t="s">
        <v>355</v>
      </c>
      <c r="I85" s="8" t="s">
        <v>355</v>
      </c>
      <c r="J85" s="8" t="s">
        <v>356</v>
      </c>
      <c r="K85" s="8" t="s">
        <v>357</v>
      </c>
      <c r="L85" s="8" t="s">
        <v>520</v>
      </c>
      <c r="M85" s="8" t="s">
        <v>359</v>
      </c>
      <c r="N85" s="8" t="s">
        <v>355</v>
      </c>
      <c r="O85" s="8" t="s">
        <v>360</v>
      </c>
      <c r="P85" s="8" t="s">
        <v>361</v>
      </c>
      <c r="Q85" s="8" t="s">
        <v>362</v>
      </c>
      <c r="R85" s="8" t="s">
        <v>363</v>
      </c>
      <c r="S85" s="8" t="s">
        <v>521</v>
      </c>
      <c r="T85" s="8"/>
      <c r="U85" s="8" t="s">
        <v>111</v>
      </c>
      <c r="V85" s="8" t="s">
        <v>111</v>
      </c>
      <c r="W85" s="8" t="s">
        <v>112</v>
      </c>
      <c r="X85" s="8"/>
      <c r="Y85" s="8" t="s">
        <v>365</v>
      </c>
    </row>
    <row r="86" spans="1:25" ht="36" x14ac:dyDescent="0.3">
      <c r="A86" s="8" t="s">
        <v>522</v>
      </c>
      <c r="B86" s="10">
        <v>305921</v>
      </c>
      <c r="C86" s="8" t="s">
        <v>523</v>
      </c>
      <c r="D86" s="8" t="s">
        <v>352</v>
      </c>
      <c r="E86" s="8" t="s">
        <v>353</v>
      </c>
      <c r="F86" s="8" t="b">
        <v>1</v>
      </c>
      <c r="G86" s="8" t="s">
        <v>354</v>
      </c>
      <c r="H86" s="8" t="s">
        <v>355</v>
      </c>
      <c r="I86" s="8" t="s">
        <v>355</v>
      </c>
      <c r="J86" s="8" t="s">
        <v>356</v>
      </c>
      <c r="K86" s="8" t="s">
        <v>357</v>
      </c>
      <c r="L86" s="8" t="s">
        <v>358</v>
      </c>
      <c r="M86" s="8" t="s">
        <v>359</v>
      </c>
      <c r="N86" s="8" t="s">
        <v>355</v>
      </c>
      <c r="O86" s="8" t="s">
        <v>360</v>
      </c>
      <c r="P86" s="8" t="s">
        <v>361</v>
      </c>
      <c r="Q86" s="8" t="s">
        <v>362</v>
      </c>
      <c r="R86" s="8" t="s">
        <v>363</v>
      </c>
      <c r="S86" s="8" t="s">
        <v>364</v>
      </c>
      <c r="T86" s="8"/>
      <c r="U86" s="8" t="s">
        <v>111</v>
      </c>
      <c r="V86" s="8" t="s">
        <v>111</v>
      </c>
      <c r="W86" s="8" t="s">
        <v>112</v>
      </c>
      <c r="X86" s="8"/>
      <c r="Y86" s="8" t="s">
        <v>365</v>
      </c>
    </row>
    <row r="87" spans="1:25" ht="36" x14ac:dyDescent="0.3">
      <c r="A87" s="8" t="s">
        <v>524</v>
      </c>
      <c r="B87" s="10">
        <v>319320</v>
      </c>
      <c r="C87" s="8" t="s">
        <v>525</v>
      </c>
      <c r="D87" s="8" t="s">
        <v>352</v>
      </c>
      <c r="E87" s="8" t="s">
        <v>353</v>
      </c>
      <c r="F87" s="8" t="b">
        <v>1</v>
      </c>
      <c r="G87" s="8" t="s">
        <v>354</v>
      </c>
      <c r="H87" s="8" t="s">
        <v>355</v>
      </c>
      <c r="I87" s="8" t="s">
        <v>355</v>
      </c>
      <c r="J87" s="8" t="s">
        <v>356</v>
      </c>
      <c r="K87" s="8" t="s">
        <v>357</v>
      </c>
      <c r="L87" s="8" t="s">
        <v>358</v>
      </c>
      <c r="M87" s="8" t="s">
        <v>359</v>
      </c>
      <c r="N87" s="8" t="s">
        <v>355</v>
      </c>
      <c r="O87" s="8" t="s">
        <v>360</v>
      </c>
      <c r="P87" s="8" t="s">
        <v>361</v>
      </c>
      <c r="Q87" s="8" t="s">
        <v>362</v>
      </c>
      <c r="R87" s="8" t="s">
        <v>363</v>
      </c>
      <c r="S87" s="8" t="s">
        <v>364</v>
      </c>
      <c r="T87" s="8"/>
      <c r="U87" s="8" t="s">
        <v>111</v>
      </c>
      <c r="V87" s="8" t="s">
        <v>111</v>
      </c>
      <c r="W87" s="8" t="s">
        <v>112</v>
      </c>
      <c r="X87" s="8"/>
      <c r="Y87" s="8" t="s">
        <v>365</v>
      </c>
    </row>
    <row r="88" spans="1:25" ht="36" x14ac:dyDescent="0.3">
      <c r="A88" s="8" t="s">
        <v>526</v>
      </c>
      <c r="B88" s="10">
        <v>320316</v>
      </c>
      <c r="C88" s="8" t="s">
        <v>527</v>
      </c>
      <c r="D88" s="8" t="s">
        <v>352</v>
      </c>
      <c r="E88" s="8" t="s">
        <v>353</v>
      </c>
      <c r="F88" s="8" t="b">
        <v>1</v>
      </c>
      <c r="G88" s="8" t="s">
        <v>354</v>
      </c>
      <c r="H88" s="8" t="s">
        <v>355</v>
      </c>
      <c r="I88" s="8" t="s">
        <v>355</v>
      </c>
      <c r="J88" s="8" t="s">
        <v>356</v>
      </c>
      <c r="K88" s="8" t="s">
        <v>357</v>
      </c>
      <c r="L88" s="8" t="s">
        <v>358</v>
      </c>
      <c r="M88" s="8" t="s">
        <v>359</v>
      </c>
      <c r="N88" s="8" t="s">
        <v>355</v>
      </c>
      <c r="O88" s="8" t="s">
        <v>360</v>
      </c>
      <c r="P88" s="8" t="s">
        <v>361</v>
      </c>
      <c r="Q88" s="8" t="s">
        <v>362</v>
      </c>
      <c r="R88" s="8" t="s">
        <v>363</v>
      </c>
      <c r="S88" s="8" t="s">
        <v>364</v>
      </c>
      <c r="T88" s="8"/>
      <c r="U88" s="8" t="s">
        <v>111</v>
      </c>
      <c r="V88" s="8" t="s">
        <v>111</v>
      </c>
      <c r="W88" s="8" t="s">
        <v>112</v>
      </c>
      <c r="X88" s="8"/>
      <c r="Y88" s="8" t="s">
        <v>365</v>
      </c>
    </row>
    <row r="89" spans="1:25" ht="36" x14ac:dyDescent="0.3">
      <c r="A89" s="8" t="s">
        <v>528</v>
      </c>
      <c r="B89" s="10">
        <v>320512</v>
      </c>
      <c r="C89" s="8" t="s">
        <v>529</v>
      </c>
      <c r="D89" s="8" t="s">
        <v>352</v>
      </c>
      <c r="E89" s="8" t="s">
        <v>353</v>
      </c>
      <c r="F89" s="8" t="b">
        <v>1</v>
      </c>
      <c r="G89" s="8" t="s">
        <v>354</v>
      </c>
      <c r="H89" s="8" t="s">
        <v>355</v>
      </c>
      <c r="I89" s="8" t="s">
        <v>355</v>
      </c>
      <c r="J89" s="8" t="s">
        <v>356</v>
      </c>
      <c r="K89" s="8" t="s">
        <v>357</v>
      </c>
      <c r="L89" s="8" t="s">
        <v>358</v>
      </c>
      <c r="M89" s="8" t="s">
        <v>359</v>
      </c>
      <c r="N89" s="8" t="s">
        <v>355</v>
      </c>
      <c r="O89" s="8" t="s">
        <v>360</v>
      </c>
      <c r="P89" s="8" t="s">
        <v>361</v>
      </c>
      <c r="Q89" s="8" t="s">
        <v>362</v>
      </c>
      <c r="R89" s="8" t="s">
        <v>363</v>
      </c>
      <c r="S89" s="8" t="s">
        <v>364</v>
      </c>
      <c r="T89" s="8"/>
      <c r="U89" s="8" t="s">
        <v>111</v>
      </c>
      <c r="V89" s="8" t="s">
        <v>111</v>
      </c>
      <c r="W89" s="8" t="s">
        <v>112</v>
      </c>
      <c r="X89" s="8"/>
      <c r="Y89" s="8" t="s">
        <v>365</v>
      </c>
    </row>
    <row r="90" spans="1:25" ht="36" x14ac:dyDescent="0.3">
      <c r="A90" s="8" t="s">
        <v>530</v>
      </c>
      <c r="B90" s="10">
        <v>320683</v>
      </c>
      <c r="C90" s="8" t="s">
        <v>531</v>
      </c>
      <c r="D90" s="8" t="s">
        <v>352</v>
      </c>
      <c r="E90" s="8" t="s">
        <v>353</v>
      </c>
      <c r="F90" s="8" t="b">
        <v>1</v>
      </c>
      <c r="G90" s="8" t="s">
        <v>354</v>
      </c>
      <c r="H90" s="8" t="s">
        <v>355</v>
      </c>
      <c r="I90" s="8" t="s">
        <v>355</v>
      </c>
      <c r="J90" s="8" t="s">
        <v>356</v>
      </c>
      <c r="K90" s="8" t="s">
        <v>357</v>
      </c>
      <c r="L90" s="8" t="s">
        <v>358</v>
      </c>
      <c r="M90" s="8" t="s">
        <v>359</v>
      </c>
      <c r="N90" s="8" t="s">
        <v>355</v>
      </c>
      <c r="O90" s="8" t="s">
        <v>360</v>
      </c>
      <c r="P90" s="8" t="s">
        <v>361</v>
      </c>
      <c r="Q90" s="8" t="s">
        <v>362</v>
      </c>
      <c r="R90" s="8" t="s">
        <v>363</v>
      </c>
      <c r="S90" s="8" t="s">
        <v>364</v>
      </c>
      <c r="T90" s="8"/>
      <c r="U90" s="8" t="s">
        <v>111</v>
      </c>
      <c r="V90" s="8" t="s">
        <v>111</v>
      </c>
      <c r="W90" s="8" t="s">
        <v>112</v>
      </c>
      <c r="X90" s="8"/>
      <c r="Y90" s="8" t="s">
        <v>365</v>
      </c>
    </row>
    <row r="91" spans="1:25" ht="36" x14ac:dyDescent="0.3">
      <c r="A91" s="8" t="s">
        <v>532</v>
      </c>
      <c r="B91" s="10">
        <v>326323</v>
      </c>
      <c r="C91" s="8" t="s">
        <v>533</v>
      </c>
      <c r="D91" s="8" t="s">
        <v>352</v>
      </c>
      <c r="E91" s="8" t="s">
        <v>355</v>
      </c>
      <c r="F91" s="8" t="s">
        <v>355</v>
      </c>
      <c r="G91" s="8" t="s">
        <v>355</v>
      </c>
      <c r="H91" s="8" t="s">
        <v>355</v>
      </c>
      <c r="I91" s="8" t="s">
        <v>355</v>
      </c>
      <c r="J91" s="8" t="s">
        <v>356</v>
      </c>
      <c r="K91" s="8" t="s">
        <v>355</v>
      </c>
      <c r="L91" s="8" t="s">
        <v>355</v>
      </c>
      <c r="M91" s="8" t="s">
        <v>355</v>
      </c>
      <c r="N91" s="8" t="s">
        <v>355</v>
      </c>
      <c r="O91" s="8" t="s">
        <v>360</v>
      </c>
      <c r="P91" s="8" t="s">
        <v>361</v>
      </c>
      <c r="Q91" s="8" t="s">
        <v>362</v>
      </c>
      <c r="R91" s="8" t="s">
        <v>363</v>
      </c>
      <c r="S91" s="8" t="s">
        <v>378</v>
      </c>
      <c r="T91" s="8"/>
      <c r="U91" s="8" t="s">
        <v>111</v>
      </c>
      <c r="V91" s="8" t="s">
        <v>111</v>
      </c>
      <c r="W91" s="8" t="s">
        <v>112</v>
      </c>
      <c r="X91" s="8"/>
      <c r="Y91" s="8" t="s">
        <v>365</v>
      </c>
    </row>
    <row r="92" spans="1:25" ht="36" x14ac:dyDescent="0.3">
      <c r="A92" s="8" t="s">
        <v>534</v>
      </c>
      <c r="B92" s="10">
        <v>327828</v>
      </c>
      <c r="C92" s="8" t="s">
        <v>535</v>
      </c>
      <c r="D92" s="8" t="s">
        <v>352</v>
      </c>
      <c r="E92" s="8" t="s">
        <v>355</v>
      </c>
      <c r="F92" s="8" t="s">
        <v>355</v>
      </c>
      <c r="G92" s="8" t="s">
        <v>355</v>
      </c>
      <c r="H92" s="8" t="s">
        <v>355</v>
      </c>
      <c r="I92" s="8" t="s">
        <v>355</v>
      </c>
      <c r="J92" s="8" t="s">
        <v>356</v>
      </c>
      <c r="K92" s="8" t="s">
        <v>355</v>
      </c>
      <c r="L92" s="8" t="s">
        <v>355</v>
      </c>
      <c r="M92" s="8" t="s">
        <v>355</v>
      </c>
      <c r="N92" s="8" t="s">
        <v>355</v>
      </c>
      <c r="O92" s="8" t="s">
        <v>360</v>
      </c>
      <c r="P92" s="8" t="s">
        <v>361</v>
      </c>
      <c r="Q92" s="8" t="s">
        <v>362</v>
      </c>
      <c r="R92" s="8" t="s">
        <v>363</v>
      </c>
      <c r="S92" s="8" t="s">
        <v>378</v>
      </c>
      <c r="T92" s="8"/>
      <c r="U92" s="8" t="s">
        <v>111</v>
      </c>
      <c r="V92" s="8" t="s">
        <v>111</v>
      </c>
      <c r="W92" s="8" t="s">
        <v>112</v>
      </c>
      <c r="X92" s="8"/>
      <c r="Y92" s="8" t="s">
        <v>365</v>
      </c>
    </row>
    <row r="93" spans="1:25" ht="36" x14ac:dyDescent="0.3">
      <c r="A93" s="8" t="s">
        <v>536</v>
      </c>
      <c r="B93" s="10">
        <v>328889</v>
      </c>
      <c r="C93" s="8" t="s">
        <v>537</v>
      </c>
      <c r="D93" s="8" t="s">
        <v>352</v>
      </c>
      <c r="E93" s="8" t="s">
        <v>353</v>
      </c>
      <c r="F93" s="8" t="b">
        <v>1</v>
      </c>
      <c r="G93" s="8" t="s">
        <v>354</v>
      </c>
      <c r="H93" s="8" t="s">
        <v>355</v>
      </c>
      <c r="I93" s="8" t="s">
        <v>355</v>
      </c>
      <c r="J93" s="8" t="s">
        <v>356</v>
      </c>
      <c r="K93" s="8" t="s">
        <v>357</v>
      </c>
      <c r="L93" s="8" t="s">
        <v>358</v>
      </c>
      <c r="M93" s="8" t="s">
        <v>359</v>
      </c>
      <c r="N93" s="8" t="s">
        <v>355</v>
      </c>
      <c r="O93" s="8" t="s">
        <v>360</v>
      </c>
      <c r="P93" s="8" t="s">
        <v>361</v>
      </c>
      <c r="Q93" s="8" t="s">
        <v>362</v>
      </c>
      <c r="R93" s="8" t="s">
        <v>363</v>
      </c>
      <c r="S93" s="8" t="s">
        <v>364</v>
      </c>
      <c r="T93" s="8"/>
      <c r="U93" s="8" t="s">
        <v>111</v>
      </c>
      <c r="V93" s="8" t="s">
        <v>111</v>
      </c>
      <c r="W93" s="8" t="s">
        <v>112</v>
      </c>
      <c r="X93" s="8"/>
      <c r="Y93" s="8" t="s">
        <v>365</v>
      </c>
    </row>
    <row r="94" spans="1:25" ht="36" x14ac:dyDescent="0.3">
      <c r="A94" s="8" t="s">
        <v>538</v>
      </c>
      <c r="B94" s="10">
        <v>330918</v>
      </c>
      <c r="C94" s="8" t="s">
        <v>539</v>
      </c>
      <c r="D94" s="8" t="s">
        <v>352</v>
      </c>
      <c r="E94" s="8" t="s">
        <v>353</v>
      </c>
      <c r="F94" s="8" t="b">
        <v>1</v>
      </c>
      <c r="G94" s="8" t="s">
        <v>354</v>
      </c>
      <c r="H94" s="8" t="s">
        <v>355</v>
      </c>
      <c r="I94" s="8" t="s">
        <v>355</v>
      </c>
      <c r="J94" s="8" t="s">
        <v>356</v>
      </c>
      <c r="K94" s="8" t="s">
        <v>384</v>
      </c>
      <c r="L94" s="8" t="s">
        <v>540</v>
      </c>
      <c r="M94" s="8" t="s">
        <v>386</v>
      </c>
      <c r="N94" s="8" t="s">
        <v>540</v>
      </c>
      <c r="O94" s="8" t="s">
        <v>360</v>
      </c>
      <c r="P94" s="8" t="s">
        <v>361</v>
      </c>
      <c r="Q94" s="8" t="s">
        <v>362</v>
      </c>
      <c r="R94" s="8" t="s">
        <v>363</v>
      </c>
      <c r="S94" s="8" t="s">
        <v>541</v>
      </c>
      <c r="T94" s="8"/>
      <c r="U94" s="8" t="s">
        <v>111</v>
      </c>
      <c r="V94" s="8" t="s">
        <v>111</v>
      </c>
      <c r="W94" s="8" t="s">
        <v>112</v>
      </c>
      <c r="X94" s="8"/>
      <c r="Y94" s="8" t="s">
        <v>365</v>
      </c>
    </row>
    <row r="95" spans="1:25" ht="36" x14ac:dyDescent="0.3">
      <c r="A95" s="8" t="s">
        <v>542</v>
      </c>
      <c r="B95" s="10">
        <v>332625</v>
      </c>
      <c r="C95" s="8" t="s">
        <v>543</v>
      </c>
      <c r="D95" s="8" t="s">
        <v>352</v>
      </c>
      <c r="E95" s="8" t="s">
        <v>355</v>
      </c>
      <c r="F95" s="8" t="s">
        <v>355</v>
      </c>
      <c r="G95" s="8" t="s">
        <v>355</v>
      </c>
      <c r="H95" s="8" t="s">
        <v>355</v>
      </c>
      <c r="I95" s="8" t="s">
        <v>355</v>
      </c>
      <c r="J95" s="8" t="s">
        <v>356</v>
      </c>
      <c r="K95" s="8" t="s">
        <v>355</v>
      </c>
      <c r="L95" s="8" t="s">
        <v>355</v>
      </c>
      <c r="M95" s="8" t="s">
        <v>355</v>
      </c>
      <c r="N95" s="8" t="s">
        <v>355</v>
      </c>
      <c r="O95" s="8" t="s">
        <v>360</v>
      </c>
      <c r="P95" s="8" t="s">
        <v>361</v>
      </c>
      <c r="Q95" s="8" t="s">
        <v>362</v>
      </c>
      <c r="R95" s="8" t="s">
        <v>363</v>
      </c>
      <c r="S95" s="8" t="s">
        <v>378</v>
      </c>
      <c r="T95" s="8"/>
      <c r="U95" s="8" t="s">
        <v>111</v>
      </c>
      <c r="V95" s="8" t="s">
        <v>111</v>
      </c>
      <c r="W95" s="8" t="s">
        <v>112</v>
      </c>
      <c r="X95" s="8"/>
      <c r="Y95" s="8" t="s">
        <v>365</v>
      </c>
    </row>
    <row r="96" spans="1:25" ht="36" x14ac:dyDescent="0.3">
      <c r="A96" s="8" t="s">
        <v>544</v>
      </c>
      <c r="B96" s="10">
        <v>332626</v>
      </c>
      <c r="C96" s="8" t="s">
        <v>187</v>
      </c>
      <c r="D96" s="8" t="s">
        <v>352</v>
      </c>
      <c r="E96" s="8" t="s">
        <v>353</v>
      </c>
      <c r="F96" s="8" t="b">
        <v>1</v>
      </c>
      <c r="G96" s="8" t="s">
        <v>354</v>
      </c>
      <c r="H96" s="8" t="s">
        <v>355</v>
      </c>
      <c r="I96" s="8" t="s">
        <v>355</v>
      </c>
      <c r="J96" s="8" t="s">
        <v>356</v>
      </c>
      <c r="K96" s="8" t="s">
        <v>357</v>
      </c>
      <c r="L96" s="8" t="s">
        <v>358</v>
      </c>
      <c r="M96" s="8" t="s">
        <v>359</v>
      </c>
      <c r="N96" s="8" t="s">
        <v>355</v>
      </c>
      <c r="O96" s="8" t="s">
        <v>360</v>
      </c>
      <c r="P96" s="8" t="s">
        <v>361</v>
      </c>
      <c r="Q96" s="8" t="s">
        <v>362</v>
      </c>
      <c r="R96" s="8" t="s">
        <v>363</v>
      </c>
      <c r="S96" s="8" t="s">
        <v>364</v>
      </c>
      <c r="T96" s="8"/>
      <c r="U96" s="8" t="s">
        <v>111</v>
      </c>
      <c r="V96" s="8" t="s">
        <v>111</v>
      </c>
      <c r="W96" s="8" t="s">
        <v>112</v>
      </c>
      <c r="X96" s="8"/>
      <c r="Y96" s="8" t="s">
        <v>365</v>
      </c>
    </row>
    <row r="97" spans="1:25" ht="36" x14ac:dyDescent="0.3">
      <c r="A97" s="8" t="s">
        <v>545</v>
      </c>
      <c r="B97" s="10">
        <v>312955</v>
      </c>
      <c r="C97" s="8" t="s">
        <v>546</v>
      </c>
      <c r="D97" s="8" t="s">
        <v>352</v>
      </c>
      <c r="E97" s="8" t="s">
        <v>353</v>
      </c>
      <c r="F97" s="8" t="b">
        <v>1</v>
      </c>
      <c r="G97" s="8" t="s">
        <v>354</v>
      </c>
      <c r="H97" s="8" t="s">
        <v>355</v>
      </c>
      <c r="I97" s="8" t="s">
        <v>355</v>
      </c>
      <c r="J97" s="8" t="s">
        <v>356</v>
      </c>
      <c r="K97" s="8" t="s">
        <v>357</v>
      </c>
      <c r="L97" s="8" t="s">
        <v>358</v>
      </c>
      <c r="M97" s="8" t="s">
        <v>359</v>
      </c>
      <c r="N97" s="8" t="s">
        <v>355</v>
      </c>
      <c r="O97" s="8" t="s">
        <v>360</v>
      </c>
      <c r="P97" s="8" t="s">
        <v>361</v>
      </c>
      <c r="Q97" s="8" t="s">
        <v>362</v>
      </c>
      <c r="R97" s="8" t="s">
        <v>363</v>
      </c>
      <c r="S97" s="8" t="s">
        <v>364</v>
      </c>
      <c r="T97" s="8"/>
      <c r="U97" s="8" t="s">
        <v>111</v>
      </c>
      <c r="V97" s="8" t="s">
        <v>111</v>
      </c>
      <c r="W97" s="8" t="s">
        <v>112</v>
      </c>
      <c r="X97" s="8"/>
      <c r="Y97" s="8" t="s">
        <v>365</v>
      </c>
    </row>
    <row r="98" spans="1:25" ht="36" x14ac:dyDescent="0.3">
      <c r="A98" s="8" t="s">
        <v>547</v>
      </c>
      <c r="B98" s="10">
        <v>290127</v>
      </c>
      <c r="C98" s="8" t="s">
        <v>189</v>
      </c>
      <c r="D98" s="8" t="s">
        <v>352</v>
      </c>
      <c r="E98" s="8" t="s">
        <v>353</v>
      </c>
      <c r="F98" s="8" t="b">
        <v>1</v>
      </c>
      <c r="G98" s="8" t="s">
        <v>354</v>
      </c>
      <c r="H98" s="8" t="s">
        <v>355</v>
      </c>
      <c r="I98" s="8" t="s">
        <v>355</v>
      </c>
      <c r="J98" s="8" t="s">
        <v>356</v>
      </c>
      <c r="K98" s="8" t="s">
        <v>357</v>
      </c>
      <c r="L98" s="8" t="s">
        <v>358</v>
      </c>
      <c r="M98" s="8" t="s">
        <v>359</v>
      </c>
      <c r="N98" s="8" t="s">
        <v>355</v>
      </c>
      <c r="O98" s="8" t="s">
        <v>360</v>
      </c>
      <c r="P98" s="8" t="s">
        <v>361</v>
      </c>
      <c r="Q98" s="8" t="s">
        <v>362</v>
      </c>
      <c r="R98" s="8" t="s">
        <v>363</v>
      </c>
      <c r="S98" s="8" t="s">
        <v>364</v>
      </c>
      <c r="T98" s="8"/>
      <c r="U98" s="8" t="s">
        <v>111</v>
      </c>
      <c r="V98" s="8" t="s">
        <v>111</v>
      </c>
      <c r="W98" s="8" t="s">
        <v>112</v>
      </c>
      <c r="X98" s="8"/>
      <c r="Y98" s="8" t="s">
        <v>365</v>
      </c>
    </row>
    <row r="99" spans="1:25" ht="36" x14ac:dyDescent="0.3">
      <c r="A99" s="8" t="s">
        <v>548</v>
      </c>
      <c r="B99" s="10">
        <v>294299</v>
      </c>
      <c r="C99" s="8" t="s">
        <v>549</v>
      </c>
      <c r="D99" s="8" t="s">
        <v>352</v>
      </c>
      <c r="E99" s="8" t="s">
        <v>353</v>
      </c>
      <c r="F99" s="8" t="b">
        <v>1</v>
      </c>
      <c r="G99" s="8" t="s">
        <v>354</v>
      </c>
      <c r="H99" s="8" t="s">
        <v>355</v>
      </c>
      <c r="I99" s="8" t="s">
        <v>355</v>
      </c>
      <c r="J99" s="8" t="s">
        <v>356</v>
      </c>
      <c r="K99" s="8" t="s">
        <v>357</v>
      </c>
      <c r="L99" s="8" t="s">
        <v>358</v>
      </c>
      <c r="M99" s="8" t="s">
        <v>359</v>
      </c>
      <c r="N99" s="8" t="s">
        <v>355</v>
      </c>
      <c r="O99" s="8" t="s">
        <v>360</v>
      </c>
      <c r="P99" s="8" t="s">
        <v>361</v>
      </c>
      <c r="Q99" s="8" t="s">
        <v>362</v>
      </c>
      <c r="R99" s="8" t="s">
        <v>363</v>
      </c>
      <c r="S99" s="8" t="s">
        <v>364</v>
      </c>
      <c r="T99" s="8"/>
      <c r="U99" s="8" t="s">
        <v>111</v>
      </c>
      <c r="V99" s="8" t="s">
        <v>111</v>
      </c>
      <c r="W99" s="8" t="s">
        <v>112</v>
      </c>
      <c r="X99" s="8"/>
      <c r="Y99" s="8" t="s">
        <v>365</v>
      </c>
    </row>
    <row r="100" spans="1:25" ht="36" x14ac:dyDescent="0.3">
      <c r="A100" s="8" t="s">
        <v>550</v>
      </c>
      <c r="B100" s="10">
        <v>292517</v>
      </c>
      <c r="C100" s="8" t="s">
        <v>551</v>
      </c>
      <c r="D100" s="8" t="s">
        <v>352</v>
      </c>
      <c r="E100" s="8" t="s">
        <v>353</v>
      </c>
      <c r="F100" s="8" t="b">
        <v>1</v>
      </c>
      <c r="G100" s="8" t="s">
        <v>354</v>
      </c>
      <c r="H100" s="8" t="s">
        <v>355</v>
      </c>
      <c r="I100" s="8" t="s">
        <v>355</v>
      </c>
      <c r="J100" s="8" t="s">
        <v>356</v>
      </c>
      <c r="K100" s="8" t="s">
        <v>357</v>
      </c>
      <c r="L100" s="8" t="s">
        <v>358</v>
      </c>
      <c r="M100" s="8" t="s">
        <v>359</v>
      </c>
      <c r="N100" s="8" t="s">
        <v>355</v>
      </c>
      <c r="O100" s="8" t="s">
        <v>360</v>
      </c>
      <c r="P100" s="8" t="s">
        <v>361</v>
      </c>
      <c r="Q100" s="8" t="s">
        <v>362</v>
      </c>
      <c r="R100" s="8" t="s">
        <v>363</v>
      </c>
      <c r="S100" s="8" t="s">
        <v>364</v>
      </c>
      <c r="T100" s="8"/>
      <c r="U100" s="8" t="s">
        <v>111</v>
      </c>
      <c r="V100" s="8" t="s">
        <v>111</v>
      </c>
      <c r="W100" s="8" t="s">
        <v>112</v>
      </c>
      <c r="X100" s="8"/>
      <c r="Y100" s="8" t="s">
        <v>365</v>
      </c>
    </row>
    <row r="101" spans="1:25" ht="36" x14ac:dyDescent="0.3">
      <c r="A101" s="8" t="s">
        <v>552</v>
      </c>
      <c r="B101" s="10">
        <v>292722</v>
      </c>
      <c r="C101" s="8" t="s">
        <v>191</v>
      </c>
      <c r="D101" s="8" t="s">
        <v>352</v>
      </c>
      <c r="E101" s="8" t="s">
        <v>353</v>
      </c>
      <c r="F101" s="8" t="b">
        <v>1</v>
      </c>
      <c r="G101" s="8" t="s">
        <v>354</v>
      </c>
      <c r="H101" s="8" t="s">
        <v>355</v>
      </c>
      <c r="I101" s="8" t="s">
        <v>355</v>
      </c>
      <c r="J101" s="8" t="s">
        <v>356</v>
      </c>
      <c r="K101" s="8" t="s">
        <v>357</v>
      </c>
      <c r="L101" s="8" t="s">
        <v>358</v>
      </c>
      <c r="M101" s="8" t="s">
        <v>359</v>
      </c>
      <c r="N101" s="8" t="s">
        <v>355</v>
      </c>
      <c r="O101" s="8" t="s">
        <v>360</v>
      </c>
      <c r="P101" s="8" t="s">
        <v>361</v>
      </c>
      <c r="Q101" s="8" t="s">
        <v>362</v>
      </c>
      <c r="R101" s="8" t="s">
        <v>363</v>
      </c>
      <c r="S101" s="8" t="s">
        <v>364</v>
      </c>
      <c r="T101" s="8"/>
      <c r="U101" s="8" t="s">
        <v>111</v>
      </c>
      <c r="V101" s="8" t="s">
        <v>111</v>
      </c>
      <c r="W101" s="8" t="s">
        <v>112</v>
      </c>
      <c r="X101" s="8"/>
      <c r="Y101" s="8" t="s">
        <v>365</v>
      </c>
    </row>
    <row r="102" spans="1:25" ht="36" x14ac:dyDescent="0.3">
      <c r="A102" s="8" t="s">
        <v>553</v>
      </c>
      <c r="B102" s="10">
        <v>296136</v>
      </c>
      <c r="C102" s="8" t="s">
        <v>554</v>
      </c>
      <c r="D102" s="8" t="s">
        <v>352</v>
      </c>
      <c r="E102" s="8" t="s">
        <v>353</v>
      </c>
      <c r="F102" s="8" t="b">
        <v>1</v>
      </c>
      <c r="G102" s="8" t="s">
        <v>354</v>
      </c>
      <c r="H102" s="8" t="s">
        <v>355</v>
      </c>
      <c r="I102" s="8" t="s">
        <v>355</v>
      </c>
      <c r="J102" s="8" t="s">
        <v>356</v>
      </c>
      <c r="K102" s="8" t="s">
        <v>357</v>
      </c>
      <c r="L102" s="8" t="s">
        <v>358</v>
      </c>
      <c r="M102" s="8" t="s">
        <v>359</v>
      </c>
      <c r="N102" s="8" t="s">
        <v>355</v>
      </c>
      <c r="O102" s="8" t="s">
        <v>360</v>
      </c>
      <c r="P102" s="8" t="s">
        <v>361</v>
      </c>
      <c r="Q102" s="8" t="s">
        <v>362</v>
      </c>
      <c r="R102" s="8" t="s">
        <v>363</v>
      </c>
      <c r="S102" s="8" t="s">
        <v>364</v>
      </c>
      <c r="T102" s="8"/>
      <c r="U102" s="8" t="s">
        <v>111</v>
      </c>
      <c r="V102" s="8" t="s">
        <v>111</v>
      </c>
      <c r="W102" s="8" t="s">
        <v>112</v>
      </c>
      <c r="X102" s="8"/>
      <c r="Y102" s="8" t="s">
        <v>365</v>
      </c>
    </row>
    <row r="103" spans="1:25" ht="36" x14ac:dyDescent="0.3">
      <c r="A103" s="8" t="s">
        <v>555</v>
      </c>
      <c r="B103" s="10">
        <v>303242</v>
      </c>
      <c r="C103" s="8" t="s">
        <v>556</v>
      </c>
      <c r="D103" s="8" t="s">
        <v>352</v>
      </c>
      <c r="E103" s="8" t="s">
        <v>353</v>
      </c>
      <c r="F103" s="8" t="b">
        <v>1</v>
      </c>
      <c r="G103" s="8" t="s">
        <v>354</v>
      </c>
      <c r="H103" s="8" t="s">
        <v>355</v>
      </c>
      <c r="I103" s="8" t="s">
        <v>355</v>
      </c>
      <c r="J103" s="8" t="s">
        <v>356</v>
      </c>
      <c r="K103" s="8" t="s">
        <v>357</v>
      </c>
      <c r="L103" s="8" t="s">
        <v>557</v>
      </c>
      <c r="M103" s="8" t="s">
        <v>359</v>
      </c>
      <c r="N103" s="8" t="s">
        <v>355</v>
      </c>
      <c r="O103" s="8" t="s">
        <v>360</v>
      </c>
      <c r="P103" s="8" t="s">
        <v>361</v>
      </c>
      <c r="Q103" s="8" t="s">
        <v>362</v>
      </c>
      <c r="R103" s="8" t="s">
        <v>363</v>
      </c>
      <c r="S103" s="8" t="s">
        <v>558</v>
      </c>
      <c r="T103" s="8"/>
      <c r="U103" s="8" t="s">
        <v>111</v>
      </c>
      <c r="V103" s="8" t="s">
        <v>111</v>
      </c>
      <c r="W103" s="8" t="s">
        <v>112</v>
      </c>
      <c r="X103" s="8"/>
      <c r="Y103" s="8" t="s">
        <v>365</v>
      </c>
    </row>
    <row r="104" spans="1:25" ht="36" x14ac:dyDescent="0.3">
      <c r="A104" s="8" t="s">
        <v>559</v>
      </c>
      <c r="B104" s="10">
        <v>303264</v>
      </c>
      <c r="C104" s="8" t="s">
        <v>193</v>
      </c>
      <c r="D104" s="8" t="s">
        <v>352</v>
      </c>
      <c r="E104" s="8" t="s">
        <v>353</v>
      </c>
      <c r="F104" s="8" t="b">
        <v>1</v>
      </c>
      <c r="G104" s="8" t="s">
        <v>354</v>
      </c>
      <c r="H104" s="8" t="s">
        <v>355</v>
      </c>
      <c r="I104" s="8" t="s">
        <v>355</v>
      </c>
      <c r="J104" s="8" t="s">
        <v>356</v>
      </c>
      <c r="K104" s="8" t="s">
        <v>357</v>
      </c>
      <c r="L104" s="8" t="s">
        <v>557</v>
      </c>
      <c r="M104" s="8" t="s">
        <v>359</v>
      </c>
      <c r="N104" s="8" t="s">
        <v>355</v>
      </c>
      <c r="O104" s="8" t="s">
        <v>360</v>
      </c>
      <c r="P104" s="8" t="s">
        <v>361</v>
      </c>
      <c r="Q104" s="8" t="s">
        <v>362</v>
      </c>
      <c r="R104" s="8" t="s">
        <v>363</v>
      </c>
      <c r="S104" s="8" t="s">
        <v>558</v>
      </c>
      <c r="T104" s="8"/>
      <c r="U104" s="8" t="s">
        <v>111</v>
      </c>
      <c r="V104" s="8" t="s">
        <v>111</v>
      </c>
      <c r="W104" s="8" t="s">
        <v>112</v>
      </c>
      <c r="X104" s="8"/>
      <c r="Y104" s="8" t="s">
        <v>365</v>
      </c>
    </row>
    <row r="105" spans="1:25" ht="36" x14ac:dyDescent="0.3">
      <c r="A105" s="8" t="s">
        <v>560</v>
      </c>
      <c r="B105" s="10">
        <v>303718</v>
      </c>
      <c r="C105" s="8" t="s">
        <v>561</v>
      </c>
      <c r="D105" s="8" t="s">
        <v>352</v>
      </c>
      <c r="E105" s="8" t="s">
        <v>353</v>
      </c>
      <c r="F105" s="8" t="b">
        <v>1</v>
      </c>
      <c r="G105" s="8" t="s">
        <v>354</v>
      </c>
      <c r="H105" s="8" t="s">
        <v>355</v>
      </c>
      <c r="I105" s="8" t="s">
        <v>355</v>
      </c>
      <c r="J105" s="8" t="s">
        <v>356</v>
      </c>
      <c r="K105" s="8" t="s">
        <v>357</v>
      </c>
      <c r="L105" s="8" t="s">
        <v>562</v>
      </c>
      <c r="M105" s="8" t="s">
        <v>359</v>
      </c>
      <c r="N105" s="8" t="s">
        <v>355</v>
      </c>
      <c r="O105" s="8" t="s">
        <v>360</v>
      </c>
      <c r="P105" s="8" t="s">
        <v>361</v>
      </c>
      <c r="Q105" s="8" t="s">
        <v>362</v>
      </c>
      <c r="R105" s="8" t="s">
        <v>363</v>
      </c>
      <c r="S105" s="8" t="s">
        <v>563</v>
      </c>
      <c r="T105" s="8"/>
      <c r="U105" s="8" t="s">
        <v>111</v>
      </c>
      <c r="V105" s="8" t="s">
        <v>111</v>
      </c>
      <c r="W105" s="8" t="s">
        <v>112</v>
      </c>
      <c r="X105" s="8"/>
      <c r="Y105" s="8" t="s">
        <v>365</v>
      </c>
    </row>
    <row r="106" spans="1:25" ht="36" x14ac:dyDescent="0.3">
      <c r="A106" s="8" t="s">
        <v>564</v>
      </c>
      <c r="B106" s="10">
        <v>305162</v>
      </c>
      <c r="C106" s="8" t="s">
        <v>195</v>
      </c>
      <c r="D106" s="8" t="s">
        <v>352</v>
      </c>
      <c r="E106" s="8" t="s">
        <v>353</v>
      </c>
      <c r="F106" s="8" t="b">
        <v>1</v>
      </c>
      <c r="G106" s="8" t="s">
        <v>354</v>
      </c>
      <c r="H106" s="8" t="s">
        <v>355</v>
      </c>
      <c r="I106" s="8" t="s">
        <v>355</v>
      </c>
      <c r="J106" s="8" t="s">
        <v>356</v>
      </c>
      <c r="K106" s="8" t="s">
        <v>357</v>
      </c>
      <c r="L106" s="8" t="s">
        <v>557</v>
      </c>
      <c r="M106" s="8" t="s">
        <v>359</v>
      </c>
      <c r="N106" s="8" t="s">
        <v>355</v>
      </c>
      <c r="O106" s="8" t="s">
        <v>360</v>
      </c>
      <c r="P106" s="8" t="s">
        <v>361</v>
      </c>
      <c r="Q106" s="8" t="s">
        <v>362</v>
      </c>
      <c r="R106" s="8" t="s">
        <v>363</v>
      </c>
      <c r="S106" s="8" t="s">
        <v>558</v>
      </c>
      <c r="T106" s="8"/>
      <c r="U106" s="8" t="s">
        <v>111</v>
      </c>
      <c r="V106" s="8" t="s">
        <v>111</v>
      </c>
      <c r="W106" s="8" t="s">
        <v>112</v>
      </c>
      <c r="X106" s="8"/>
      <c r="Y106" s="8" t="s">
        <v>365</v>
      </c>
    </row>
    <row r="107" spans="1:25" ht="36" x14ac:dyDescent="0.3">
      <c r="A107" s="8" t="s">
        <v>565</v>
      </c>
      <c r="B107" s="10">
        <v>289610</v>
      </c>
      <c r="C107" s="8" t="s">
        <v>566</v>
      </c>
      <c r="D107" s="8" t="s">
        <v>352</v>
      </c>
      <c r="E107" s="8" t="s">
        <v>353</v>
      </c>
      <c r="F107" s="8" t="b">
        <v>1</v>
      </c>
      <c r="G107" s="8" t="s">
        <v>354</v>
      </c>
      <c r="H107" s="8" t="s">
        <v>355</v>
      </c>
      <c r="I107" s="8" t="s">
        <v>355</v>
      </c>
      <c r="J107" s="8" t="s">
        <v>356</v>
      </c>
      <c r="K107" s="8" t="s">
        <v>357</v>
      </c>
      <c r="L107" s="8" t="s">
        <v>358</v>
      </c>
      <c r="M107" s="8" t="s">
        <v>359</v>
      </c>
      <c r="N107" s="8" t="s">
        <v>355</v>
      </c>
      <c r="O107" s="8" t="s">
        <v>360</v>
      </c>
      <c r="P107" s="8" t="s">
        <v>361</v>
      </c>
      <c r="Q107" s="8" t="s">
        <v>362</v>
      </c>
      <c r="R107" s="8" t="s">
        <v>363</v>
      </c>
      <c r="S107" s="8" t="s">
        <v>364</v>
      </c>
      <c r="T107" s="8"/>
      <c r="U107" s="8" t="s">
        <v>111</v>
      </c>
      <c r="V107" s="8" t="s">
        <v>111</v>
      </c>
      <c r="W107" s="8" t="s">
        <v>112</v>
      </c>
      <c r="X107" s="8"/>
      <c r="Y107" s="8" t="s">
        <v>365</v>
      </c>
    </row>
    <row r="108" spans="1:25" ht="36" x14ac:dyDescent="0.3">
      <c r="A108" s="8" t="s">
        <v>567</v>
      </c>
      <c r="B108" s="10">
        <v>289953</v>
      </c>
      <c r="C108" s="8" t="s">
        <v>197</v>
      </c>
      <c r="D108" s="8" t="s">
        <v>352</v>
      </c>
      <c r="E108" s="8" t="s">
        <v>353</v>
      </c>
      <c r="F108" s="8" t="b">
        <v>1</v>
      </c>
      <c r="G108" s="8" t="s">
        <v>354</v>
      </c>
      <c r="H108" s="8" t="s">
        <v>355</v>
      </c>
      <c r="I108" s="8" t="s">
        <v>355</v>
      </c>
      <c r="J108" s="8" t="s">
        <v>356</v>
      </c>
      <c r="K108" s="8" t="s">
        <v>357</v>
      </c>
      <c r="L108" s="8" t="s">
        <v>358</v>
      </c>
      <c r="M108" s="8" t="s">
        <v>359</v>
      </c>
      <c r="N108" s="8" t="s">
        <v>355</v>
      </c>
      <c r="O108" s="8" t="s">
        <v>360</v>
      </c>
      <c r="P108" s="8" t="s">
        <v>361</v>
      </c>
      <c r="Q108" s="8" t="s">
        <v>362</v>
      </c>
      <c r="R108" s="8" t="s">
        <v>363</v>
      </c>
      <c r="S108" s="8" t="s">
        <v>364</v>
      </c>
      <c r="T108" s="8"/>
      <c r="U108" s="8" t="s">
        <v>111</v>
      </c>
      <c r="V108" s="8" t="s">
        <v>111</v>
      </c>
      <c r="W108" s="8" t="s">
        <v>112</v>
      </c>
      <c r="X108" s="8"/>
      <c r="Y108" s="8" t="s">
        <v>365</v>
      </c>
    </row>
    <row r="109" spans="1:25" ht="36" x14ac:dyDescent="0.3">
      <c r="A109" s="8" t="s">
        <v>568</v>
      </c>
      <c r="B109" s="10">
        <v>319331</v>
      </c>
      <c r="C109" s="8" t="s">
        <v>199</v>
      </c>
      <c r="D109" s="8" t="s">
        <v>352</v>
      </c>
      <c r="E109" s="8" t="s">
        <v>353</v>
      </c>
      <c r="F109" s="8" t="b">
        <v>1</v>
      </c>
      <c r="G109" s="8" t="s">
        <v>354</v>
      </c>
      <c r="H109" s="8" t="s">
        <v>355</v>
      </c>
      <c r="I109" s="8" t="s">
        <v>355</v>
      </c>
      <c r="J109" s="8" t="s">
        <v>356</v>
      </c>
      <c r="K109" s="8" t="s">
        <v>357</v>
      </c>
      <c r="L109" s="8" t="s">
        <v>358</v>
      </c>
      <c r="M109" s="8" t="s">
        <v>359</v>
      </c>
      <c r="N109" s="8" t="s">
        <v>355</v>
      </c>
      <c r="O109" s="8" t="s">
        <v>360</v>
      </c>
      <c r="P109" s="8" t="s">
        <v>361</v>
      </c>
      <c r="Q109" s="8" t="s">
        <v>362</v>
      </c>
      <c r="R109" s="8" t="s">
        <v>363</v>
      </c>
      <c r="S109" s="8" t="s">
        <v>364</v>
      </c>
      <c r="T109" s="8"/>
      <c r="U109" s="8" t="s">
        <v>111</v>
      </c>
      <c r="V109" s="8" t="s">
        <v>111</v>
      </c>
      <c r="W109" s="8" t="s">
        <v>112</v>
      </c>
      <c r="X109" s="8"/>
      <c r="Y109" s="8" t="s">
        <v>365</v>
      </c>
    </row>
    <row r="110" spans="1:25" ht="36" x14ac:dyDescent="0.3">
      <c r="A110" s="8" t="s">
        <v>569</v>
      </c>
      <c r="B110" s="10">
        <v>282267</v>
      </c>
      <c r="C110" s="8" t="s">
        <v>570</v>
      </c>
      <c r="D110" s="8" t="s">
        <v>352</v>
      </c>
      <c r="E110" s="8" t="s">
        <v>353</v>
      </c>
      <c r="F110" s="8" t="b">
        <v>1</v>
      </c>
      <c r="G110" s="8" t="s">
        <v>354</v>
      </c>
      <c r="H110" s="8" t="s">
        <v>355</v>
      </c>
      <c r="I110" s="8" t="s">
        <v>355</v>
      </c>
      <c r="J110" s="8" t="s">
        <v>356</v>
      </c>
      <c r="K110" s="8" t="s">
        <v>357</v>
      </c>
      <c r="L110" s="8" t="s">
        <v>358</v>
      </c>
      <c r="M110" s="8" t="s">
        <v>359</v>
      </c>
      <c r="N110" s="8" t="s">
        <v>355</v>
      </c>
      <c r="O110" s="8" t="s">
        <v>360</v>
      </c>
      <c r="P110" s="8" t="s">
        <v>361</v>
      </c>
      <c r="Q110" s="8" t="s">
        <v>362</v>
      </c>
      <c r="R110" s="8" t="s">
        <v>363</v>
      </c>
      <c r="S110" s="8" t="s">
        <v>364</v>
      </c>
      <c r="T110" s="8"/>
      <c r="U110" s="8" t="s">
        <v>111</v>
      </c>
      <c r="V110" s="8" t="s">
        <v>111</v>
      </c>
      <c r="W110" s="8" t="s">
        <v>112</v>
      </c>
      <c r="X110" s="8"/>
      <c r="Y110" s="8" t="s">
        <v>365</v>
      </c>
    </row>
  </sheetData>
  <mergeCells count="2">
    <mergeCell ref="A1:Y1"/>
    <mergeCell ref="A2:Y2"/>
  </mergeCells>
  <conditionalFormatting sqref="W5:W210">
    <cfRule type="cellIs" dxfId="194" priority="1" stopIfTrue="1" operator="equal">
      <formula>"Pass"</formula>
    </cfRule>
    <cfRule type="cellIs" dxfId="193" priority="2" stopIfTrue="1" operator="equal">
      <formula>"Fail"</formula>
    </cfRule>
    <cfRule type="cellIs" dxfId="192" priority="3" stopIfTrue="1" operator="equal">
      <formula>"Blocked"</formula>
    </cfRule>
    <cfRule type="cellIs" dxfId="191" priority="4" stopIfTrue="1" operator="equal">
      <formula>"In Progress"</formula>
    </cfRule>
    <cfRule type="cellIs" dxfId="190" priority="5" stopIfTrue="1" operator="equal">
      <formula>"Not Started"</formula>
    </cfRule>
    <cfRule type="cellIs" dxfId="189" priority="6" stopIfTrue="1" operator="equal">
      <formula>"N/A"</formula>
    </cfRule>
    <cfRule type="cellIs" dxfId="188" priority="7" stopIfTrue="1" operator="equal">
      <formula>"Ready"</formula>
    </cfRule>
    <cfRule type="cellIs" dxfId="187" priority="8" stopIfTrue="1" operator="equal">
      <formula>"Not Ready"</formula>
    </cfRule>
  </conditionalFormatting>
  <dataValidations count="1">
    <dataValidation type="list" allowBlank="1" showInputMessage="1" showErrorMessage="1" errorTitle="Invalid selection" error="Select a value from the dropdown list." sqref="W5:W210" xr:uid="{B04E4AEC-AB00-4396-A9E7-DB065EDC38F0}">
      <formula1>"Not Started,In Progress,Pass,Fail,Blocked,N/A"</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91EA3-CD97-4652-B7C4-D4D7E55AAF83}">
  <dimension ref="A1:O15"/>
  <sheetViews>
    <sheetView showGridLines="0" zoomScale="75" zoomScaleNormal="75" workbookViewId="0">
      <pane xSplit="2" ySplit="4" topLeftCell="C5" activePane="bottomRight" state="frozenSplit"/>
      <selection pane="bottomLeft" activeCell="A5" sqref="A5"/>
      <selection pane="topRight" activeCell="C1" sqref="C1"/>
      <selection pane="bottomRight"/>
    </sheetView>
  </sheetViews>
  <sheetFormatPr defaultRowHeight="14.4" x14ac:dyDescent="0.3"/>
  <cols>
    <col min="1" max="1" width="16.77734375" customWidth="1"/>
    <col min="2" max="2" width="34.77734375" customWidth="1"/>
    <col min="3" max="3" width="22.77734375" customWidth="1"/>
    <col min="4" max="4" width="24.77734375" customWidth="1"/>
    <col min="5" max="5" width="18.77734375" customWidth="1"/>
    <col min="6" max="6" width="16.77734375" customWidth="1"/>
    <col min="7" max="8" width="18.77734375" customWidth="1"/>
    <col min="9" max="12" width="42.77734375" customWidth="1"/>
    <col min="13" max="13" width="16.77734375" customWidth="1"/>
    <col min="14" max="14" width="30.77734375" customWidth="1"/>
    <col min="15" max="15" width="42.77734375" customWidth="1"/>
  </cols>
  <sheetData>
    <row r="1" spans="1:15" ht="30" customHeight="1" x14ac:dyDescent="0.3">
      <c r="A1" s="1" t="s">
        <v>251</v>
      </c>
      <c r="B1" s="1"/>
      <c r="C1" s="1"/>
      <c r="D1" s="1"/>
      <c r="E1" s="1"/>
      <c r="F1" s="1"/>
      <c r="G1" s="1"/>
      <c r="H1" s="1"/>
      <c r="I1" s="1"/>
      <c r="J1" s="1"/>
      <c r="K1" s="1"/>
      <c r="L1" s="1"/>
      <c r="M1" s="1"/>
      <c r="N1" s="1"/>
      <c r="O1" s="1"/>
    </row>
    <row r="2" spans="1:15" ht="28.05" customHeight="1" x14ac:dyDescent="0.3">
      <c r="A2" s="2" t="s">
        <v>252</v>
      </c>
      <c r="B2" s="2"/>
      <c r="C2" s="2"/>
      <c r="D2" s="2"/>
      <c r="E2" s="2"/>
      <c r="F2" s="2"/>
      <c r="G2" s="2"/>
      <c r="H2" s="2"/>
      <c r="I2" s="2"/>
      <c r="J2" s="2"/>
      <c r="K2" s="2"/>
      <c r="L2" s="2"/>
      <c r="M2" s="2"/>
      <c r="N2" s="2"/>
      <c r="O2" s="2"/>
    </row>
    <row r="4" spans="1:15" ht="42" customHeight="1" x14ac:dyDescent="0.3">
      <c r="A4" s="7" t="s">
        <v>219</v>
      </c>
      <c r="B4" s="7" t="s">
        <v>220</v>
      </c>
      <c r="C4" s="7" t="s">
        <v>253</v>
      </c>
      <c r="D4" s="7" t="s">
        <v>254</v>
      </c>
      <c r="E4" s="7" t="s">
        <v>255</v>
      </c>
      <c r="F4" s="7" t="s">
        <v>256</v>
      </c>
      <c r="G4" s="7" t="s">
        <v>257</v>
      </c>
      <c r="H4" s="7" t="s">
        <v>258</v>
      </c>
      <c r="I4" s="7" t="s">
        <v>259</v>
      </c>
      <c r="J4" s="7" t="s">
        <v>260</v>
      </c>
      <c r="K4" s="7" t="s">
        <v>261</v>
      </c>
      <c r="L4" s="7" t="s">
        <v>262</v>
      </c>
      <c r="M4" s="7" t="s">
        <v>25</v>
      </c>
      <c r="N4" s="7" t="s">
        <v>107</v>
      </c>
      <c r="O4" s="7" t="s">
        <v>7</v>
      </c>
    </row>
    <row r="5" spans="1:15" ht="24" x14ac:dyDescent="0.3">
      <c r="A5" s="8" t="s">
        <v>263</v>
      </c>
      <c r="B5" s="8" t="s">
        <v>264</v>
      </c>
      <c r="C5" s="8" t="s">
        <v>264</v>
      </c>
      <c r="D5" s="8" t="s">
        <v>9</v>
      </c>
      <c r="E5" s="8" t="s">
        <v>265</v>
      </c>
      <c r="F5" s="8" t="s">
        <v>266</v>
      </c>
      <c r="G5" s="8" t="s">
        <v>9</v>
      </c>
      <c r="H5" s="8" t="s">
        <v>9</v>
      </c>
      <c r="I5" s="8" t="s">
        <v>267</v>
      </c>
      <c r="J5" s="8" t="s">
        <v>268</v>
      </c>
      <c r="K5" s="8" t="s">
        <v>269</v>
      </c>
      <c r="L5" s="8"/>
      <c r="M5" s="8" t="s">
        <v>112</v>
      </c>
      <c r="N5" s="8"/>
      <c r="O5" s="8"/>
    </row>
    <row r="6" spans="1:15" ht="24" x14ac:dyDescent="0.3">
      <c r="A6" s="8" t="s">
        <v>270</v>
      </c>
      <c r="B6" s="8" t="s">
        <v>271</v>
      </c>
      <c r="C6" s="8" t="s">
        <v>271</v>
      </c>
      <c r="D6" s="8" t="s">
        <v>9</v>
      </c>
      <c r="E6" s="8" t="s">
        <v>265</v>
      </c>
      <c r="F6" s="8" t="s">
        <v>266</v>
      </c>
      <c r="G6" s="8" t="s">
        <v>9</v>
      </c>
      <c r="H6" s="8" t="s">
        <v>9</v>
      </c>
      <c r="I6" s="8" t="s">
        <v>272</v>
      </c>
      <c r="J6" s="8" t="s">
        <v>273</v>
      </c>
      <c r="K6" s="8" t="s">
        <v>274</v>
      </c>
      <c r="L6" s="8"/>
      <c r="M6" s="8" t="s">
        <v>112</v>
      </c>
      <c r="N6" s="8"/>
      <c r="O6" s="8"/>
    </row>
    <row r="7" spans="1:15" ht="24" x14ac:dyDescent="0.3">
      <c r="A7" s="8" t="s">
        <v>275</v>
      </c>
      <c r="B7" s="8" t="s">
        <v>276</v>
      </c>
      <c r="C7" s="8" t="s">
        <v>276</v>
      </c>
      <c r="D7" s="8" t="s">
        <v>9</v>
      </c>
      <c r="E7" s="8" t="s">
        <v>265</v>
      </c>
      <c r="F7" s="8" t="s">
        <v>9</v>
      </c>
      <c r="G7" s="8" t="s">
        <v>9</v>
      </c>
      <c r="H7" s="8" t="s">
        <v>9</v>
      </c>
      <c r="I7" s="8" t="s">
        <v>277</v>
      </c>
      <c r="J7" s="8" t="s">
        <v>278</v>
      </c>
      <c r="K7" s="8" t="s">
        <v>279</v>
      </c>
      <c r="L7" s="8"/>
      <c r="M7" s="8" t="s">
        <v>112</v>
      </c>
      <c r="N7" s="8"/>
      <c r="O7" s="8"/>
    </row>
    <row r="8" spans="1:15" ht="24" x14ac:dyDescent="0.3">
      <c r="A8" s="8" t="s">
        <v>280</v>
      </c>
      <c r="B8" s="8" t="s">
        <v>281</v>
      </c>
      <c r="C8" s="8" t="s">
        <v>282</v>
      </c>
      <c r="D8" s="8" t="s">
        <v>9</v>
      </c>
      <c r="E8" s="8" t="s">
        <v>265</v>
      </c>
      <c r="F8" s="8" t="s">
        <v>9</v>
      </c>
      <c r="G8" s="8" t="s">
        <v>283</v>
      </c>
      <c r="H8" s="8" t="s">
        <v>283</v>
      </c>
      <c r="I8" s="8" t="s">
        <v>284</v>
      </c>
      <c r="J8" s="8" t="s">
        <v>285</v>
      </c>
      <c r="K8" s="8" t="s">
        <v>286</v>
      </c>
      <c r="L8" s="8"/>
      <c r="M8" s="8" t="s">
        <v>112</v>
      </c>
      <c r="N8" s="8"/>
      <c r="O8" s="8"/>
    </row>
    <row r="9" spans="1:15" ht="24" x14ac:dyDescent="0.3">
      <c r="A9" s="8" t="s">
        <v>287</v>
      </c>
      <c r="B9" s="8" t="s">
        <v>288</v>
      </c>
      <c r="C9" s="8" t="s">
        <v>289</v>
      </c>
      <c r="D9" s="8" t="s">
        <v>9</v>
      </c>
      <c r="E9" s="8" t="s">
        <v>265</v>
      </c>
      <c r="F9" s="8" t="s">
        <v>9</v>
      </c>
      <c r="G9" s="8" t="s">
        <v>9</v>
      </c>
      <c r="H9" s="8" t="s">
        <v>9</v>
      </c>
      <c r="I9" s="8" t="s">
        <v>290</v>
      </c>
      <c r="J9" s="8" t="s">
        <v>291</v>
      </c>
      <c r="K9" s="8" t="s">
        <v>292</v>
      </c>
      <c r="L9" s="8"/>
      <c r="M9" s="8" t="s">
        <v>112</v>
      </c>
      <c r="N9" s="8"/>
      <c r="O9" s="8"/>
    </row>
    <row r="10" spans="1:15" ht="19.95" customHeight="1" x14ac:dyDescent="0.3">
      <c r="A10" s="8" t="s">
        <v>293</v>
      </c>
      <c r="B10" s="8" t="s">
        <v>294</v>
      </c>
      <c r="C10" s="8" t="s">
        <v>289</v>
      </c>
      <c r="D10" s="8" t="s">
        <v>9</v>
      </c>
      <c r="E10" s="8" t="s">
        <v>265</v>
      </c>
      <c r="F10" s="8" t="s">
        <v>9</v>
      </c>
      <c r="G10" s="8" t="s">
        <v>9</v>
      </c>
      <c r="H10" s="8" t="s">
        <v>9</v>
      </c>
      <c r="I10" s="8" t="s">
        <v>295</v>
      </c>
      <c r="J10" s="8" t="s">
        <v>296</v>
      </c>
      <c r="K10" s="8" t="s">
        <v>297</v>
      </c>
      <c r="L10" s="8"/>
      <c r="M10" s="8" t="s">
        <v>112</v>
      </c>
      <c r="N10" s="8"/>
      <c r="O10" s="8"/>
    </row>
    <row r="11" spans="1:15" ht="24" x14ac:dyDescent="0.3">
      <c r="A11" s="8" t="s">
        <v>298</v>
      </c>
      <c r="B11" s="8" t="s">
        <v>299</v>
      </c>
      <c r="C11" s="8" t="s">
        <v>300</v>
      </c>
      <c r="D11" s="8" t="s">
        <v>9</v>
      </c>
      <c r="E11" s="8" t="s">
        <v>301</v>
      </c>
      <c r="F11" s="8" t="s">
        <v>9</v>
      </c>
      <c r="G11" s="8" t="s">
        <v>9</v>
      </c>
      <c r="H11" s="8" t="s">
        <v>9</v>
      </c>
      <c r="I11" s="8" t="s">
        <v>302</v>
      </c>
      <c r="J11" s="8" t="s">
        <v>303</v>
      </c>
      <c r="K11" s="8" t="s">
        <v>304</v>
      </c>
      <c r="L11" s="8"/>
      <c r="M11" s="8" t="s">
        <v>112</v>
      </c>
      <c r="N11" s="8"/>
      <c r="O11" s="8"/>
    </row>
    <row r="12" spans="1:15" ht="24" x14ac:dyDescent="0.3">
      <c r="A12" s="8" t="s">
        <v>305</v>
      </c>
      <c r="B12" s="8" t="s">
        <v>306</v>
      </c>
      <c r="C12" s="8" t="s">
        <v>264</v>
      </c>
      <c r="D12" s="8" t="s">
        <v>9</v>
      </c>
      <c r="E12" s="8" t="s">
        <v>307</v>
      </c>
      <c r="F12" s="8" t="s">
        <v>266</v>
      </c>
      <c r="G12" s="8" t="s">
        <v>283</v>
      </c>
      <c r="H12" s="8" t="s">
        <v>283</v>
      </c>
      <c r="I12" s="8" t="s">
        <v>308</v>
      </c>
      <c r="J12" s="8" t="s">
        <v>309</v>
      </c>
      <c r="K12" s="8" t="s">
        <v>310</v>
      </c>
      <c r="L12" s="8"/>
      <c r="M12" s="8" t="s">
        <v>112</v>
      </c>
      <c r="N12" s="8"/>
      <c r="O12" s="8"/>
    </row>
    <row r="13" spans="1:15" ht="24" x14ac:dyDescent="0.3">
      <c r="A13" s="8" t="s">
        <v>311</v>
      </c>
      <c r="B13" s="8" t="s">
        <v>312</v>
      </c>
      <c r="C13" s="8" t="s">
        <v>264</v>
      </c>
      <c r="D13" s="8" t="s">
        <v>9</v>
      </c>
      <c r="E13" s="8" t="s">
        <v>313</v>
      </c>
      <c r="F13" s="8" t="s">
        <v>266</v>
      </c>
      <c r="G13" s="8" t="s">
        <v>266</v>
      </c>
      <c r="H13" s="8" t="s">
        <v>314</v>
      </c>
      <c r="I13" s="8" t="s">
        <v>315</v>
      </c>
      <c r="J13" s="8" t="s">
        <v>316</v>
      </c>
      <c r="K13" s="8" t="s">
        <v>317</v>
      </c>
      <c r="L13" s="8"/>
      <c r="M13" s="8" t="s">
        <v>112</v>
      </c>
      <c r="N13" s="8"/>
      <c r="O13" s="8"/>
    </row>
    <row r="14" spans="1:15" ht="24" x14ac:dyDescent="0.3">
      <c r="A14" s="8" t="s">
        <v>318</v>
      </c>
      <c r="B14" s="8" t="s">
        <v>319</v>
      </c>
      <c r="C14" s="8" t="s">
        <v>264</v>
      </c>
      <c r="D14" s="8" t="s">
        <v>9</v>
      </c>
      <c r="E14" s="8" t="s">
        <v>320</v>
      </c>
      <c r="F14" s="8" t="s">
        <v>266</v>
      </c>
      <c r="G14" s="8" t="s">
        <v>9</v>
      </c>
      <c r="H14" s="8" t="s">
        <v>9</v>
      </c>
      <c r="I14" s="8" t="s">
        <v>321</v>
      </c>
      <c r="J14" s="8" t="s">
        <v>322</v>
      </c>
      <c r="K14" s="8" t="s">
        <v>323</v>
      </c>
      <c r="L14" s="8"/>
      <c r="M14" s="8" t="s">
        <v>112</v>
      </c>
      <c r="N14" s="8"/>
      <c r="O14" s="8"/>
    </row>
    <row r="15" spans="1:15" ht="24" x14ac:dyDescent="0.3">
      <c r="A15" s="8" t="s">
        <v>324</v>
      </c>
      <c r="B15" s="8" t="s">
        <v>325</v>
      </c>
      <c r="C15" s="8" t="s">
        <v>264</v>
      </c>
      <c r="D15" s="8" t="s">
        <v>9</v>
      </c>
      <c r="E15" s="8" t="s">
        <v>326</v>
      </c>
      <c r="F15" s="8" t="s">
        <v>266</v>
      </c>
      <c r="G15" s="8" t="s">
        <v>9</v>
      </c>
      <c r="H15" s="8" t="s">
        <v>9</v>
      </c>
      <c r="I15" s="8" t="s">
        <v>327</v>
      </c>
      <c r="J15" s="8" t="s">
        <v>328</v>
      </c>
      <c r="K15" s="8" t="s">
        <v>329</v>
      </c>
      <c r="L15" s="8"/>
      <c r="M15" s="8" t="s">
        <v>112</v>
      </c>
      <c r="N15" s="8"/>
      <c r="O15" s="8"/>
    </row>
  </sheetData>
  <mergeCells count="2">
    <mergeCell ref="A1:O1"/>
    <mergeCell ref="A2:O2"/>
  </mergeCells>
  <conditionalFormatting sqref="M5:M115">
    <cfRule type="cellIs" dxfId="226" priority="1" stopIfTrue="1" operator="equal">
      <formula>"Pass"</formula>
    </cfRule>
    <cfRule type="cellIs" dxfId="225" priority="2" stopIfTrue="1" operator="equal">
      <formula>"Fail"</formula>
    </cfRule>
    <cfRule type="cellIs" dxfId="224" priority="3" stopIfTrue="1" operator="equal">
      <formula>"Blocked"</formula>
    </cfRule>
    <cfRule type="cellIs" dxfId="223" priority="4" stopIfTrue="1" operator="equal">
      <formula>"In Progress"</formula>
    </cfRule>
    <cfRule type="cellIs" dxfId="222" priority="5" stopIfTrue="1" operator="equal">
      <formula>"Not Started"</formula>
    </cfRule>
    <cfRule type="cellIs" dxfId="221" priority="6" stopIfTrue="1" operator="equal">
      <formula>"N/A"</formula>
    </cfRule>
    <cfRule type="cellIs" dxfId="220" priority="7" stopIfTrue="1" operator="equal">
      <formula>"Ready"</formula>
    </cfRule>
    <cfRule type="cellIs" dxfId="219" priority="8" stopIfTrue="1" operator="equal">
      <formula>"Not Ready"</formula>
    </cfRule>
  </conditionalFormatting>
  <dataValidations count="1">
    <dataValidation type="list" allowBlank="1" showInputMessage="1" showErrorMessage="1" errorTitle="Invalid selection" error="Select a value from the dropdown list." sqref="M5:M115" xr:uid="{38C00AB6-AC9C-4871-AD1D-A3DAD9D8448D}">
      <formula1>"Not Started,In Progress,Pass,Fail,Blocked,N/A"</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B69F0-F136-45BF-B8F9-B140ADB137F6}">
  <dimension ref="A1:P16"/>
  <sheetViews>
    <sheetView showGridLines="0" zoomScale="75" zoomScaleNormal="75" workbookViewId="0">
      <pane xSplit="3" ySplit="4" topLeftCell="D5" activePane="bottomRight" state="frozenSplit"/>
      <selection pane="bottomLeft" activeCell="A5" sqref="A5"/>
      <selection pane="topRight" activeCell="D1" sqref="D1"/>
      <selection pane="bottomRight"/>
    </sheetView>
  </sheetViews>
  <sheetFormatPr defaultRowHeight="14.4" x14ac:dyDescent="0.3"/>
  <cols>
    <col min="1" max="1" width="16.77734375" customWidth="1"/>
    <col min="2" max="2" width="14.77734375" style="11" customWidth="1"/>
    <col min="3" max="3" width="38.77734375" customWidth="1"/>
    <col min="4" max="6" width="16.77734375" customWidth="1"/>
    <col min="7" max="7" width="20.77734375" customWidth="1"/>
    <col min="8" max="14" width="18.77734375" customWidth="1"/>
    <col min="15" max="15" width="30.77734375" customWidth="1"/>
    <col min="16" max="16" width="42.77734375" customWidth="1"/>
  </cols>
  <sheetData>
    <row r="1" spans="1:16" ht="30" customHeight="1" x14ac:dyDescent="0.3">
      <c r="A1" s="1" t="s">
        <v>217</v>
      </c>
      <c r="B1" s="1"/>
      <c r="C1" s="1"/>
      <c r="D1" s="1"/>
      <c r="E1" s="1"/>
      <c r="F1" s="1"/>
      <c r="G1" s="1"/>
      <c r="H1" s="1"/>
      <c r="I1" s="1"/>
      <c r="J1" s="1"/>
      <c r="K1" s="1"/>
      <c r="L1" s="1"/>
      <c r="M1" s="1"/>
      <c r="N1" s="1"/>
      <c r="O1" s="1"/>
      <c r="P1" s="1"/>
    </row>
    <row r="2" spans="1:16" ht="28.05" customHeight="1" x14ac:dyDescent="0.3">
      <c r="A2" s="2" t="s">
        <v>218</v>
      </c>
      <c r="B2" s="2"/>
      <c r="C2" s="2"/>
      <c r="D2" s="2"/>
      <c r="E2" s="2"/>
      <c r="F2" s="2"/>
      <c r="G2" s="2"/>
      <c r="H2" s="2"/>
      <c r="I2" s="2"/>
      <c r="J2" s="2"/>
      <c r="K2" s="2"/>
      <c r="L2" s="2"/>
      <c r="M2" s="2"/>
      <c r="N2" s="2"/>
      <c r="O2" s="2"/>
      <c r="P2" s="2"/>
    </row>
    <row r="4" spans="1:16" ht="42" customHeight="1" x14ac:dyDescent="0.3">
      <c r="A4" s="7" t="s">
        <v>219</v>
      </c>
      <c r="B4" s="9" t="s">
        <v>92</v>
      </c>
      <c r="C4" s="7" t="s">
        <v>220</v>
      </c>
      <c r="D4" s="7" t="s">
        <v>211</v>
      </c>
      <c r="E4" s="7" t="s">
        <v>221</v>
      </c>
      <c r="F4" s="7" t="s">
        <v>222</v>
      </c>
      <c r="G4" s="7" t="s">
        <v>223</v>
      </c>
      <c r="H4" s="7" t="s">
        <v>224</v>
      </c>
      <c r="I4" s="7" t="s">
        <v>210</v>
      </c>
      <c r="J4" s="7" t="s">
        <v>225</v>
      </c>
      <c r="K4" s="7" t="s">
        <v>226</v>
      </c>
      <c r="L4" s="7" t="s">
        <v>227</v>
      </c>
      <c r="M4" s="7" t="s">
        <v>228</v>
      </c>
      <c r="N4" s="7" t="s">
        <v>229</v>
      </c>
      <c r="O4" s="7" t="s">
        <v>107</v>
      </c>
      <c r="P4" s="7" t="s">
        <v>7</v>
      </c>
    </row>
    <row r="5" spans="1:16" ht="36" x14ac:dyDescent="0.3">
      <c r="A5" s="8" t="s">
        <v>230</v>
      </c>
      <c r="B5" s="10" t="s">
        <v>9</v>
      </c>
      <c r="C5" s="8" t="s">
        <v>231</v>
      </c>
      <c r="D5" s="8" t="s">
        <v>232</v>
      </c>
      <c r="E5" s="8" t="s">
        <v>9</v>
      </c>
      <c r="F5" s="8" t="s">
        <v>233</v>
      </c>
      <c r="G5" s="8" t="s">
        <v>9</v>
      </c>
      <c r="H5" s="8" t="s">
        <v>9</v>
      </c>
      <c r="I5" s="8" t="s">
        <v>9</v>
      </c>
      <c r="J5" s="8" t="s">
        <v>112</v>
      </c>
      <c r="K5" s="8" t="s">
        <v>112</v>
      </c>
      <c r="L5" s="8" t="s">
        <v>112</v>
      </c>
      <c r="M5" s="8" t="s">
        <v>112</v>
      </c>
      <c r="N5" s="8" t="s">
        <v>112</v>
      </c>
      <c r="O5" s="8"/>
      <c r="P5" s="8" t="s">
        <v>234</v>
      </c>
    </row>
    <row r="6" spans="1:16" ht="36" x14ac:dyDescent="0.3">
      <c r="A6" s="8" t="s">
        <v>235</v>
      </c>
      <c r="B6" s="10" t="s">
        <v>9</v>
      </c>
      <c r="C6" s="8" t="s">
        <v>231</v>
      </c>
      <c r="D6" s="8" t="s">
        <v>232</v>
      </c>
      <c r="E6" s="8" t="s">
        <v>9</v>
      </c>
      <c r="F6" s="8" t="s">
        <v>236</v>
      </c>
      <c r="G6" s="8" t="s">
        <v>9</v>
      </c>
      <c r="H6" s="8" t="s">
        <v>9</v>
      </c>
      <c r="I6" s="8" t="s">
        <v>9</v>
      </c>
      <c r="J6" s="8" t="s">
        <v>112</v>
      </c>
      <c r="K6" s="8" t="s">
        <v>112</v>
      </c>
      <c r="L6" s="8" t="s">
        <v>112</v>
      </c>
      <c r="M6" s="8" t="s">
        <v>112</v>
      </c>
      <c r="N6" s="8" t="s">
        <v>112</v>
      </c>
      <c r="O6" s="8"/>
      <c r="P6" s="8" t="s">
        <v>234</v>
      </c>
    </row>
    <row r="7" spans="1:16" ht="36" x14ac:dyDescent="0.3">
      <c r="A7" s="8" t="s">
        <v>237</v>
      </c>
      <c r="B7" s="10" t="s">
        <v>9</v>
      </c>
      <c r="C7" s="8" t="s">
        <v>231</v>
      </c>
      <c r="D7" s="8" t="s">
        <v>232</v>
      </c>
      <c r="E7" s="8" t="s">
        <v>9</v>
      </c>
      <c r="F7" s="8" t="s">
        <v>238</v>
      </c>
      <c r="G7" s="8" t="s">
        <v>9</v>
      </c>
      <c r="H7" s="8" t="s">
        <v>9</v>
      </c>
      <c r="I7" s="8" t="s">
        <v>9</v>
      </c>
      <c r="J7" s="8" t="s">
        <v>112</v>
      </c>
      <c r="K7" s="8" t="s">
        <v>112</v>
      </c>
      <c r="L7" s="8" t="s">
        <v>112</v>
      </c>
      <c r="M7" s="8" t="s">
        <v>112</v>
      </c>
      <c r="N7" s="8" t="s">
        <v>112</v>
      </c>
      <c r="O7" s="8"/>
      <c r="P7" s="8" t="s">
        <v>234</v>
      </c>
    </row>
    <row r="8" spans="1:16" ht="36" x14ac:dyDescent="0.3">
      <c r="A8" s="8" t="s">
        <v>239</v>
      </c>
      <c r="B8" s="10" t="s">
        <v>9</v>
      </c>
      <c r="C8" s="8" t="s">
        <v>231</v>
      </c>
      <c r="D8" s="8" t="s">
        <v>240</v>
      </c>
      <c r="E8" s="8" t="s">
        <v>9</v>
      </c>
      <c r="F8" s="8" t="s">
        <v>233</v>
      </c>
      <c r="G8" s="8" t="s">
        <v>9</v>
      </c>
      <c r="H8" s="8" t="s">
        <v>9</v>
      </c>
      <c r="I8" s="8" t="s">
        <v>9</v>
      </c>
      <c r="J8" s="8" t="s">
        <v>112</v>
      </c>
      <c r="K8" s="8" t="s">
        <v>112</v>
      </c>
      <c r="L8" s="8" t="s">
        <v>112</v>
      </c>
      <c r="M8" s="8" t="s">
        <v>112</v>
      </c>
      <c r="N8" s="8" t="s">
        <v>112</v>
      </c>
      <c r="O8" s="8"/>
      <c r="P8" s="8" t="s">
        <v>234</v>
      </c>
    </row>
    <row r="9" spans="1:16" ht="36" x14ac:dyDescent="0.3">
      <c r="A9" s="8" t="s">
        <v>241</v>
      </c>
      <c r="B9" s="10" t="s">
        <v>9</v>
      </c>
      <c r="C9" s="8" t="s">
        <v>231</v>
      </c>
      <c r="D9" s="8" t="s">
        <v>240</v>
      </c>
      <c r="E9" s="8" t="s">
        <v>9</v>
      </c>
      <c r="F9" s="8" t="s">
        <v>236</v>
      </c>
      <c r="G9" s="8" t="s">
        <v>9</v>
      </c>
      <c r="H9" s="8" t="s">
        <v>9</v>
      </c>
      <c r="I9" s="8" t="s">
        <v>9</v>
      </c>
      <c r="J9" s="8" t="s">
        <v>112</v>
      </c>
      <c r="K9" s="8" t="s">
        <v>112</v>
      </c>
      <c r="L9" s="8" t="s">
        <v>112</v>
      </c>
      <c r="M9" s="8" t="s">
        <v>112</v>
      </c>
      <c r="N9" s="8" t="s">
        <v>112</v>
      </c>
      <c r="O9" s="8"/>
      <c r="P9" s="8" t="s">
        <v>234</v>
      </c>
    </row>
    <row r="10" spans="1:16" ht="36" x14ac:dyDescent="0.3">
      <c r="A10" s="8" t="s">
        <v>242</v>
      </c>
      <c r="B10" s="10" t="s">
        <v>9</v>
      </c>
      <c r="C10" s="8" t="s">
        <v>231</v>
      </c>
      <c r="D10" s="8" t="s">
        <v>240</v>
      </c>
      <c r="E10" s="8" t="s">
        <v>9</v>
      </c>
      <c r="F10" s="8" t="s">
        <v>238</v>
      </c>
      <c r="G10" s="8" t="s">
        <v>9</v>
      </c>
      <c r="H10" s="8" t="s">
        <v>9</v>
      </c>
      <c r="I10" s="8" t="s">
        <v>9</v>
      </c>
      <c r="J10" s="8" t="s">
        <v>112</v>
      </c>
      <c r="K10" s="8" t="s">
        <v>112</v>
      </c>
      <c r="L10" s="8" t="s">
        <v>112</v>
      </c>
      <c r="M10" s="8" t="s">
        <v>112</v>
      </c>
      <c r="N10" s="8" t="s">
        <v>112</v>
      </c>
      <c r="O10" s="8"/>
      <c r="P10" s="8" t="s">
        <v>234</v>
      </c>
    </row>
    <row r="11" spans="1:16" ht="36" x14ac:dyDescent="0.3">
      <c r="A11" s="8" t="s">
        <v>243</v>
      </c>
      <c r="B11" s="10" t="s">
        <v>9</v>
      </c>
      <c r="C11" s="8" t="s">
        <v>231</v>
      </c>
      <c r="D11" s="8" t="s">
        <v>244</v>
      </c>
      <c r="E11" s="8" t="s">
        <v>9</v>
      </c>
      <c r="F11" s="8" t="s">
        <v>233</v>
      </c>
      <c r="G11" s="8" t="s">
        <v>9</v>
      </c>
      <c r="H11" s="8" t="s">
        <v>9</v>
      </c>
      <c r="I11" s="8" t="s">
        <v>9</v>
      </c>
      <c r="J11" s="8" t="s">
        <v>112</v>
      </c>
      <c r="K11" s="8" t="s">
        <v>112</v>
      </c>
      <c r="L11" s="8" t="s">
        <v>112</v>
      </c>
      <c r="M11" s="8" t="s">
        <v>112</v>
      </c>
      <c r="N11" s="8" t="s">
        <v>112</v>
      </c>
      <c r="O11" s="8"/>
      <c r="P11" s="8" t="s">
        <v>234</v>
      </c>
    </row>
    <row r="12" spans="1:16" ht="36" x14ac:dyDescent="0.3">
      <c r="A12" s="8" t="s">
        <v>245</v>
      </c>
      <c r="B12" s="10" t="s">
        <v>9</v>
      </c>
      <c r="C12" s="8" t="s">
        <v>231</v>
      </c>
      <c r="D12" s="8" t="s">
        <v>244</v>
      </c>
      <c r="E12" s="8" t="s">
        <v>9</v>
      </c>
      <c r="F12" s="8" t="s">
        <v>236</v>
      </c>
      <c r="G12" s="8" t="s">
        <v>9</v>
      </c>
      <c r="H12" s="8" t="s">
        <v>9</v>
      </c>
      <c r="I12" s="8" t="s">
        <v>9</v>
      </c>
      <c r="J12" s="8" t="s">
        <v>112</v>
      </c>
      <c r="K12" s="8" t="s">
        <v>112</v>
      </c>
      <c r="L12" s="8" t="s">
        <v>112</v>
      </c>
      <c r="M12" s="8" t="s">
        <v>112</v>
      </c>
      <c r="N12" s="8" t="s">
        <v>112</v>
      </c>
      <c r="O12" s="8"/>
      <c r="P12" s="8" t="s">
        <v>234</v>
      </c>
    </row>
    <row r="13" spans="1:16" ht="36" x14ac:dyDescent="0.3">
      <c r="A13" s="8" t="s">
        <v>246</v>
      </c>
      <c r="B13" s="10" t="s">
        <v>9</v>
      </c>
      <c r="C13" s="8" t="s">
        <v>231</v>
      </c>
      <c r="D13" s="8" t="s">
        <v>244</v>
      </c>
      <c r="E13" s="8" t="s">
        <v>9</v>
      </c>
      <c r="F13" s="8" t="s">
        <v>238</v>
      </c>
      <c r="G13" s="8" t="s">
        <v>9</v>
      </c>
      <c r="H13" s="8" t="s">
        <v>9</v>
      </c>
      <c r="I13" s="8" t="s">
        <v>9</v>
      </c>
      <c r="J13" s="8" t="s">
        <v>112</v>
      </c>
      <c r="K13" s="8" t="s">
        <v>112</v>
      </c>
      <c r="L13" s="8" t="s">
        <v>112</v>
      </c>
      <c r="M13" s="8" t="s">
        <v>112</v>
      </c>
      <c r="N13" s="8" t="s">
        <v>112</v>
      </c>
      <c r="O13" s="8"/>
      <c r="P13" s="8" t="s">
        <v>234</v>
      </c>
    </row>
    <row r="14" spans="1:16" ht="36" x14ac:dyDescent="0.3">
      <c r="A14" s="8" t="s">
        <v>247</v>
      </c>
      <c r="B14" s="10" t="s">
        <v>9</v>
      </c>
      <c r="C14" s="8" t="s">
        <v>231</v>
      </c>
      <c r="D14" s="8" t="s">
        <v>248</v>
      </c>
      <c r="E14" s="8" t="s">
        <v>9</v>
      </c>
      <c r="F14" s="8" t="s">
        <v>233</v>
      </c>
      <c r="G14" s="8" t="s">
        <v>9</v>
      </c>
      <c r="H14" s="8" t="s">
        <v>9</v>
      </c>
      <c r="I14" s="8" t="s">
        <v>9</v>
      </c>
      <c r="J14" s="8" t="s">
        <v>112</v>
      </c>
      <c r="K14" s="8" t="s">
        <v>112</v>
      </c>
      <c r="L14" s="8" t="s">
        <v>112</v>
      </c>
      <c r="M14" s="8" t="s">
        <v>112</v>
      </c>
      <c r="N14" s="8" t="s">
        <v>112</v>
      </c>
      <c r="O14" s="8"/>
      <c r="P14" s="8" t="s">
        <v>234</v>
      </c>
    </row>
    <row r="15" spans="1:16" ht="36" x14ac:dyDescent="0.3">
      <c r="A15" s="8" t="s">
        <v>249</v>
      </c>
      <c r="B15" s="10" t="s">
        <v>9</v>
      </c>
      <c r="C15" s="8" t="s">
        <v>231</v>
      </c>
      <c r="D15" s="8" t="s">
        <v>248</v>
      </c>
      <c r="E15" s="8" t="s">
        <v>9</v>
      </c>
      <c r="F15" s="8" t="s">
        <v>236</v>
      </c>
      <c r="G15" s="8" t="s">
        <v>9</v>
      </c>
      <c r="H15" s="8" t="s">
        <v>9</v>
      </c>
      <c r="I15" s="8" t="s">
        <v>9</v>
      </c>
      <c r="J15" s="8" t="s">
        <v>112</v>
      </c>
      <c r="K15" s="8" t="s">
        <v>112</v>
      </c>
      <c r="L15" s="8" t="s">
        <v>112</v>
      </c>
      <c r="M15" s="8" t="s">
        <v>112</v>
      </c>
      <c r="N15" s="8" t="s">
        <v>112</v>
      </c>
      <c r="O15" s="8"/>
      <c r="P15" s="8" t="s">
        <v>234</v>
      </c>
    </row>
    <row r="16" spans="1:16" ht="36" x14ac:dyDescent="0.3">
      <c r="A16" s="8" t="s">
        <v>250</v>
      </c>
      <c r="B16" s="10" t="s">
        <v>9</v>
      </c>
      <c r="C16" s="8" t="s">
        <v>231</v>
      </c>
      <c r="D16" s="8" t="s">
        <v>248</v>
      </c>
      <c r="E16" s="8" t="s">
        <v>9</v>
      </c>
      <c r="F16" s="8" t="s">
        <v>238</v>
      </c>
      <c r="G16" s="8" t="s">
        <v>9</v>
      </c>
      <c r="H16" s="8" t="s">
        <v>9</v>
      </c>
      <c r="I16" s="8" t="s">
        <v>9</v>
      </c>
      <c r="J16" s="8" t="s">
        <v>112</v>
      </c>
      <c r="K16" s="8" t="s">
        <v>112</v>
      </c>
      <c r="L16" s="8" t="s">
        <v>112</v>
      </c>
      <c r="M16" s="8" t="s">
        <v>112</v>
      </c>
      <c r="N16" s="8" t="s">
        <v>112</v>
      </c>
      <c r="O16" s="8"/>
      <c r="P16" s="8" t="s">
        <v>234</v>
      </c>
    </row>
  </sheetData>
  <mergeCells count="2">
    <mergeCell ref="A1:P1"/>
    <mergeCell ref="A2:P2"/>
  </mergeCells>
  <conditionalFormatting sqref="J5:J116">
    <cfRule type="cellIs" dxfId="286" priority="1" stopIfTrue="1" operator="equal">
      <formula>"Pass"</formula>
    </cfRule>
    <cfRule type="cellIs" dxfId="285" priority="2" stopIfTrue="1" operator="equal">
      <formula>"Fail"</formula>
    </cfRule>
    <cfRule type="cellIs" dxfId="284" priority="3" stopIfTrue="1" operator="equal">
      <formula>"Blocked"</formula>
    </cfRule>
    <cfRule type="cellIs" dxfId="283" priority="4" stopIfTrue="1" operator="equal">
      <formula>"In Progress"</formula>
    </cfRule>
    <cfRule type="cellIs" dxfId="282" priority="5" stopIfTrue="1" operator="equal">
      <formula>"Not Started"</formula>
    </cfRule>
    <cfRule type="cellIs" dxfId="281" priority="6" stopIfTrue="1" operator="equal">
      <formula>"N/A"</formula>
    </cfRule>
    <cfRule type="cellIs" dxfId="280" priority="7" stopIfTrue="1" operator="equal">
      <formula>"Ready"</formula>
    </cfRule>
    <cfRule type="cellIs" dxfId="279" priority="8" stopIfTrue="1" operator="equal">
      <formula>"Not Ready"</formula>
    </cfRule>
  </conditionalFormatting>
  <conditionalFormatting sqref="K5:K116">
    <cfRule type="cellIs" dxfId="278" priority="9" stopIfTrue="1" operator="equal">
      <formula>"Pass"</formula>
    </cfRule>
    <cfRule type="cellIs" dxfId="277" priority="10" stopIfTrue="1" operator="equal">
      <formula>"Fail"</formula>
    </cfRule>
    <cfRule type="cellIs" dxfId="276" priority="11" stopIfTrue="1" operator="equal">
      <formula>"Blocked"</formula>
    </cfRule>
    <cfRule type="cellIs" dxfId="275" priority="12" stopIfTrue="1" operator="equal">
      <formula>"In Progress"</formula>
    </cfRule>
    <cfRule type="cellIs" dxfId="274" priority="13" stopIfTrue="1" operator="equal">
      <formula>"Not Started"</formula>
    </cfRule>
    <cfRule type="cellIs" dxfId="273" priority="14" stopIfTrue="1" operator="equal">
      <formula>"N/A"</formula>
    </cfRule>
    <cfRule type="cellIs" dxfId="272" priority="15" stopIfTrue="1" operator="equal">
      <formula>"Ready"</formula>
    </cfRule>
    <cfRule type="cellIs" dxfId="271" priority="16" stopIfTrue="1" operator="equal">
      <formula>"Not Ready"</formula>
    </cfRule>
  </conditionalFormatting>
  <conditionalFormatting sqref="L5:L116">
    <cfRule type="cellIs" dxfId="270" priority="17" stopIfTrue="1" operator="equal">
      <formula>"Pass"</formula>
    </cfRule>
    <cfRule type="cellIs" dxfId="269" priority="18" stopIfTrue="1" operator="equal">
      <formula>"Fail"</formula>
    </cfRule>
    <cfRule type="cellIs" dxfId="268" priority="19" stopIfTrue="1" operator="equal">
      <formula>"Blocked"</formula>
    </cfRule>
    <cfRule type="cellIs" dxfId="267" priority="20" stopIfTrue="1" operator="equal">
      <formula>"In Progress"</formula>
    </cfRule>
    <cfRule type="cellIs" dxfId="266" priority="21" stopIfTrue="1" operator="equal">
      <formula>"Not Started"</formula>
    </cfRule>
    <cfRule type="cellIs" dxfId="265" priority="22" stopIfTrue="1" operator="equal">
      <formula>"N/A"</formula>
    </cfRule>
    <cfRule type="cellIs" dxfId="264" priority="23" stopIfTrue="1" operator="equal">
      <formula>"Ready"</formula>
    </cfRule>
    <cfRule type="cellIs" dxfId="263" priority="24" stopIfTrue="1" operator="equal">
      <formula>"Not Ready"</formula>
    </cfRule>
  </conditionalFormatting>
  <conditionalFormatting sqref="M5:M116">
    <cfRule type="cellIs" dxfId="262" priority="25" stopIfTrue="1" operator="equal">
      <formula>"Pass"</formula>
    </cfRule>
    <cfRule type="cellIs" dxfId="261" priority="26" stopIfTrue="1" operator="equal">
      <formula>"Fail"</formula>
    </cfRule>
    <cfRule type="cellIs" dxfId="260" priority="27" stopIfTrue="1" operator="equal">
      <formula>"Blocked"</formula>
    </cfRule>
    <cfRule type="cellIs" dxfId="259" priority="28" stopIfTrue="1" operator="equal">
      <formula>"In Progress"</formula>
    </cfRule>
    <cfRule type="cellIs" dxfId="258" priority="29" stopIfTrue="1" operator="equal">
      <formula>"Not Started"</formula>
    </cfRule>
    <cfRule type="cellIs" dxfId="257" priority="30" stopIfTrue="1" operator="equal">
      <formula>"N/A"</formula>
    </cfRule>
    <cfRule type="cellIs" dxfId="256" priority="31" stopIfTrue="1" operator="equal">
      <formula>"Ready"</formula>
    </cfRule>
    <cfRule type="cellIs" dxfId="255" priority="32" stopIfTrue="1" operator="equal">
      <formula>"Not Ready"</formula>
    </cfRule>
  </conditionalFormatting>
  <conditionalFormatting sqref="N5:N116">
    <cfRule type="cellIs" dxfId="254" priority="33" stopIfTrue="1" operator="equal">
      <formula>"Pass"</formula>
    </cfRule>
    <cfRule type="cellIs" dxfId="253" priority="34" stopIfTrue="1" operator="equal">
      <formula>"Fail"</formula>
    </cfRule>
    <cfRule type="cellIs" dxfId="252" priority="35" stopIfTrue="1" operator="equal">
      <formula>"Blocked"</formula>
    </cfRule>
    <cfRule type="cellIs" dxfId="251" priority="36" stopIfTrue="1" operator="equal">
      <formula>"In Progress"</formula>
    </cfRule>
    <cfRule type="cellIs" dxfId="250" priority="37" stopIfTrue="1" operator="equal">
      <formula>"Not Started"</formula>
    </cfRule>
    <cfRule type="cellIs" dxfId="249" priority="38" stopIfTrue="1" operator="equal">
      <formula>"N/A"</formula>
    </cfRule>
    <cfRule type="cellIs" dxfId="248" priority="39" stopIfTrue="1" operator="equal">
      <formula>"Ready"</formula>
    </cfRule>
    <cfRule type="cellIs" dxfId="247" priority="40" stopIfTrue="1" operator="equal">
      <formula>"Not Ready"</formula>
    </cfRule>
  </conditionalFormatting>
  <dataValidations count="5">
    <dataValidation type="list" allowBlank="1" showInputMessage="1" showErrorMessage="1" errorTitle="Invalid selection" error="Select a value from the dropdown list." sqref="J5:J116" xr:uid="{25C60596-16D1-4BAC-AE9D-33F2C31DC1F1}">
      <formula1>"Not Started,In Progress,Pass,Fail,Blocked,N/A"</formula1>
    </dataValidation>
    <dataValidation type="list" allowBlank="1" showInputMessage="1" showErrorMessage="1" errorTitle="Invalid selection" error="Select a value from the dropdown list." sqref="K5:K116" xr:uid="{D00F563E-5269-43F2-9001-1F183A69B28B}">
      <formula1>"Not Started,In Progress,Pass,Fail,Blocked,N/A"</formula1>
    </dataValidation>
    <dataValidation type="list" allowBlank="1" showInputMessage="1" showErrorMessage="1" errorTitle="Invalid selection" error="Select a value from the dropdown list." sqref="L5:L116" xr:uid="{A941584E-A7C0-40C2-AEB9-AEFC4CB70104}">
      <formula1>"Not Started,In Progress,Pass,Fail,Blocked,N/A"</formula1>
    </dataValidation>
    <dataValidation type="list" allowBlank="1" showInputMessage="1" showErrorMessage="1" errorTitle="Invalid selection" error="Select a value from the dropdown list." sqref="M5:M116" xr:uid="{E33D5819-3CE6-467D-BB2F-8D835B03FA9F}">
      <formula1>"Not Started,In Progress,Pass,Fail,Blocked,N/A"</formula1>
    </dataValidation>
    <dataValidation type="list" allowBlank="1" showInputMessage="1" showErrorMessage="1" errorTitle="Invalid selection" error="Select a value from the dropdown list." sqref="N5:N116" xr:uid="{15FF1936-2423-4E05-8B27-A4A9D77EC132}">
      <formula1>"Not Started,In Progress,Pass,Fail,Blocked,N/A"</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A3CEF-1AD3-4840-B35A-4606E48E1FF4}">
  <dimension ref="A1:S5"/>
  <sheetViews>
    <sheetView showGridLines="0" zoomScale="75" zoomScaleNormal="75" workbookViewId="0">
      <pane xSplit="4" ySplit="4" topLeftCell="E5" activePane="bottomRight" state="frozenSplit"/>
      <selection pane="bottomLeft" activeCell="A5" sqref="A5"/>
      <selection pane="topRight" activeCell="E1" sqref="E1"/>
      <selection pane="bottomRight"/>
    </sheetView>
  </sheetViews>
  <sheetFormatPr defaultRowHeight="14.4" x14ac:dyDescent="0.3"/>
  <cols>
    <col min="1" max="1" width="15.77734375" style="11" customWidth="1"/>
    <col min="2" max="2" width="16.77734375" style="11" customWidth="1"/>
    <col min="3" max="3" width="14.77734375" style="11" customWidth="1"/>
    <col min="4" max="4" width="15.77734375" style="11" customWidth="1"/>
    <col min="5" max="5" width="36.77734375" customWidth="1"/>
    <col min="6" max="7" width="38.77734375" customWidth="1"/>
    <col min="8" max="9" width="14.77734375" customWidth="1"/>
    <col min="10" max="11" width="18.77734375" customWidth="1"/>
    <col min="12" max="12" width="30.77734375" customWidth="1"/>
    <col min="13" max="13" width="20.77734375" customWidth="1"/>
    <col min="14" max="14" width="16.77734375" customWidth="1"/>
    <col min="15" max="16" width="14.77734375" style="17" customWidth="1"/>
    <col min="17" max="17" width="16.77734375" customWidth="1"/>
    <col min="18" max="18" width="14.77734375" style="17" customWidth="1"/>
    <col min="19" max="19" width="38.77734375" customWidth="1"/>
  </cols>
  <sheetData>
    <row r="1" spans="1:19" ht="30" customHeight="1" x14ac:dyDescent="0.3">
      <c r="A1" s="1" t="s">
        <v>200</v>
      </c>
      <c r="B1" s="1"/>
      <c r="C1" s="1"/>
      <c r="D1" s="1"/>
      <c r="E1" s="1"/>
      <c r="F1" s="1"/>
      <c r="G1" s="1"/>
      <c r="H1" s="1"/>
      <c r="I1" s="1"/>
      <c r="J1" s="1"/>
      <c r="K1" s="1"/>
      <c r="L1" s="1"/>
      <c r="M1" s="1"/>
      <c r="N1" s="1"/>
      <c r="O1" s="1"/>
      <c r="P1" s="1"/>
      <c r="Q1" s="1"/>
      <c r="R1" s="1"/>
      <c r="S1" s="1"/>
    </row>
    <row r="2" spans="1:19" ht="28.05" customHeight="1" x14ac:dyDescent="0.3">
      <c r="A2" s="2" t="s">
        <v>201</v>
      </c>
      <c r="B2" s="2"/>
      <c r="C2" s="2"/>
      <c r="D2" s="2"/>
      <c r="E2" s="2"/>
      <c r="F2" s="2"/>
      <c r="G2" s="2"/>
      <c r="H2" s="2"/>
      <c r="I2" s="2"/>
      <c r="J2" s="2"/>
      <c r="K2" s="2"/>
      <c r="L2" s="2"/>
      <c r="M2" s="2"/>
      <c r="N2" s="2"/>
      <c r="O2" s="2"/>
      <c r="P2" s="2"/>
      <c r="Q2" s="2"/>
      <c r="R2" s="2"/>
      <c r="S2" s="2"/>
    </row>
    <row r="4" spans="1:19" ht="42" customHeight="1" x14ac:dyDescent="0.3">
      <c r="A4" s="9" t="s">
        <v>202</v>
      </c>
      <c r="B4" s="9" t="s">
        <v>203</v>
      </c>
      <c r="C4" s="9" t="s">
        <v>92</v>
      </c>
      <c r="D4" s="9" t="s">
        <v>204</v>
      </c>
      <c r="E4" s="7" t="s">
        <v>205</v>
      </c>
      <c r="F4" s="7" t="s">
        <v>206</v>
      </c>
      <c r="G4" s="7" t="s">
        <v>207</v>
      </c>
      <c r="H4" s="7" t="s">
        <v>208</v>
      </c>
      <c r="I4" s="7" t="s">
        <v>209</v>
      </c>
      <c r="J4" s="7" t="s">
        <v>210</v>
      </c>
      <c r="K4" s="7" t="s">
        <v>211</v>
      </c>
      <c r="L4" s="7" t="s">
        <v>212</v>
      </c>
      <c r="M4" s="7" t="s">
        <v>23</v>
      </c>
      <c r="N4" s="7" t="s">
        <v>25</v>
      </c>
      <c r="O4" s="15" t="s">
        <v>213</v>
      </c>
      <c r="P4" s="15" t="s">
        <v>214</v>
      </c>
      <c r="Q4" s="7" t="s">
        <v>215</v>
      </c>
      <c r="R4" s="15" t="s">
        <v>216</v>
      </c>
      <c r="S4" s="7" t="s">
        <v>7</v>
      </c>
    </row>
    <row r="5" spans="1:19" ht="19.95" customHeight="1" x14ac:dyDescent="0.3">
      <c r="A5" s="10"/>
      <c r="B5" s="10"/>
      <c r="C5" s="10"/>
      <c r="D5" s="10"/>
      <c r="E5" s="8"/>
      <c r="F5" s="8"/>
      <c r="G5" s="8"/>
      <c r="H5" s="8"/>
      <c r="I5" s="8"/>
      <c r="J5" s="8"/>
      <c r="K5" s="8"/>
      <c r="L5" s="8"/>
      <c r="M5" s="8"/>
      <c r="N5" s="8"/>
      <c r="O5" s="16"/>
      <c r="P5" s="16"/>
      <c r="Q5" s="8"/>
      <c r="R5" s="16"/>
      <c r="S5" s="8"/>
    </row>
  </sheetData>
  <mergeCells count="2">
    <mergeCell ref="A1:S1"/>
    <mergeCell ref="A2:S2"/>
  </mergeCells>
  <conditionalFormatting sqref="N5:N205">
    <cfRule type="cellIs" dxfId="328" priority="1" stopIfTrue="1" operator="equal">
      <formula>"Pass"</formula>
    </cfRule>
    <cfRule type="cellIs" dxfId="327" priority="2" stopIfTrue="1" operator="equal">
      <formula>"Fail"</formula>
    </cfRule>
    <cfRule type="cellIs" dxfId="326" priority="3" stopIfTrue="1" operator="equal">
      <formula>"Blocked"</formula>
    </cfRule>
    <cfRule type="cellIs" dxfId="325" priority="4" stopIfTrue="1" operator="equal">
      <formula>"In Progress"</formula>
    </cfRule>
    <cfRule type="cellIs" dxfId="324" priority="5" stopIfTrue="1" operator="equal">
      <formula>"Not Started"</formula>
    </cfRule>
    <cfRule type="cellIs" dxfId="323" priority="6" stopIfTrue="1" operator="equal">
      <formula>"N/A"</formula>
    </cfRule>
    <cfRule type="cellIs" dxfId="322" priority="7" stopIfTrue="1" operator="equal">
      <formula>"Ready"</formula>
    </cfRule>
    <cfRule type="cellIs" dxfId="321" priority="8" stopIfTrue="1" operator="equal">
      <formula>"Not Ready"</formula>
    </cfRule>
  </conditionalFormatting>
  <conditionalFormatting sqref="Q5:Q205">
    <cfRule type="cellIs" dxfId="320" priority="9" stopIfTrue="1" operator="equal">
      <formula>"Pass"</formula>
    </cfRule>
    <cfRule type="cellIs" dxfId="319" priority="10" stopIfTrue="1" operator="equal">
      <formula>"Fail"</formula>
    </cfRule>
    <cfRule type="cellIs" dxfId="318" priority="11" stopIfTrue="1" operator="equal">
      <formula>"Blocked"</formula>
    </cfRule>
    <cfRule type="cellIs" dxfId="317" priority="12" stopIfTrue="1" operator="equal">
      <formula>"In Progress"</formula>
    </cfRule>
    <cfRule type="cellIs" dxfId="316" priority="13" stopIfTrue="1" operator="equal">
      <formula>"Not Started"</formula>
    </cfRule>
    <cfRule type="cellIs" dxfId="315" priority="14" stopIfTrue="1" operator="equal">
      <formula>"N/A"</formula>
    </cfRule>
    <cfRule type="cellIs" dxfId="314" priority="15" stopIfTrue="1" operator="equal">
      <formula>"Ready"</formula>
    </cfRule>
    <cfRule type="cellIs" dxfId="313" priority="16" stopIfTrue="1" operator="equal">
      <formula>"Not Ready"</formula>
    </cfRule>
  </conditionalFormatting>
  <dataValidations count="4">
    <dataValidation type="list" allowBlank="1" showInputMessage="1" showErrorMessage="1" errorTitle="Invalid selection" error="Select a value from the dropdown list." sqref="H5:H205" xr:uid="{1EAC25EF-8701-4AB3-B423-AAC3D2DC96F2}">
      <formula1>"Critical,High,Medium,Low"</formula1>
    </dataValidation>
    <dataValidation type="list" allowBlank="1" showInputMessage="1" showErrorMessage="1" errorTitle="Invalid selection" error="Select a value from the dropdown list." sqref="I5:I205" xr:uid="{5FF1F913-AE22-402F-BC10-635C25F16523}">
      <formula1>"Critical,High,Medium,Low"</formula1>
    </dataValidation>
    <dataValidation type="list" allowBlank="1" showInputMessage="1" showErrorMessage="1" errorTitle="Invalid selection" error="Select a value from the dropdown list." sqref="N5:N205" xr:uid="{1F89D386-ABAD-48BA-B807-75B971E978B2}">
      <formula1>"Open,In Progress,Resolved,Closed,Blocked"</formula1>
    </dataValidation>
    <dataValidation type="list" allowBlank="1" showInputMessage="1" showErrorMessage="1" errorTitle="Invalid selection" error="Select a value from the dropdown list." sqref="Q5:Q205" xr:uid="{BDFC2311-5331-4985-81F7-70E3E159F82C}">
      <formula1>"Not Started,Pass,Fail,Blocked,N/A"</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7A8EC-5074-44B8-808A-A451FA6828B1}">
  <dimension ref="A1:T47"/>
  <sheetViews>
    <sheetView showGridLines="0" zoomScale="70" zoomScaleNormal="70" workbookViewId="0">
      <pane xSplit="4" ySplit="4" topLeftCell="E5" activePane="bottomRight" state="frozenSplit"/>
      <selection pane="bottomLeft" activeCell="A5" sqref="A5"/>
      <selection pane="topRight" activeCell="E1" sqref="E1"/>
      <selection pane="bottomRight"/>
    </sheetView>
  </sheetViews>
  <sheetFormatPr defaultRowHeight="14.4" x14ac:dyDescent="0.3"/>
  <cols>
    <col min="1" max="1" width="16.77734375" customWidth="1"/>
    <col min="2" max="2" width="14.77734375" style="11" customWidth="1"/>
    <col min="3" max="3" width="34.77734375" customWidth="1"/>
    <col min="4" max="4" width="18.77734375" customWidth="1"/>
    <col min="5" max="5" width="30.77734375" customWidth="1"/>
    <col min="6" max="6" width="20.77734375" style="14" customWidth="1"/>
    <col min="7" max="16" width="18.77734375" customWidth="1"/>
    <col min="17" max="17" width="16.77734375" customWidth="1"/>
    <col min="18" max="18" width="30.77734375" customWidth="1"/>
    <col min="19" max="19" width="22.77734375" customWidth="1"/>
    <col min="20" max="20" width="42.77734375" customWidth="1"/>
  </cols>
  <sheetData>
    <row r="1" spans="1:20" ht="30" customHeight="1" x14ac:dyDescent="0.3">
      <c r="A1" s="1" t="s">
        <v>89</v>
      </c>
      <c r="B1" s="1"/>
      <c r="C1" s="1"/>
      <c r="D1" s="1"/>
      <c r="E1" s="1"/>
      <c r="F1" s="1"/>
      <c r="G1" s="1"/>
      <c r="H1" s="1"/>
      <c r="I1" s="1"/>
      <c r="J1" s="1"/>
      <c r="K1" s="1"/>
      <c r="L1" s="1"/>
      <c r="M1" s="1"/>
      <c r="N1" s="1"/>
      <c r="O1" s="1"/>
      <c r="P1" s="1"/>
      <c r="Q1" s="1"/>
      <c r="R1" s="1"/>
      <c r="S1" s="1"/>
      <c r="T1" s="1"/>
    </row>
    <row r="2" spans="1:20" ht="28.05" customHeight="1" x14ac:dyDescent="0.3">
      <c r="A2" s="2" t="s">
        <v>90</v>
      </c>
      <c r="B2" s="2"/>
      <c r="C2" s="2"/>
      <c r="D2" s="2"/>
      <c r="E2" s="2"/>
      <c r="F2" s="2"/>
      <c r="G2" s="2"/>
      <c r="H2" s="2"/>
      <c r="I2" s="2"/>
      <c r="J2" s="2"/>
      <c r="K2" s="2"/>
      <c r="L2" s="2"/>
      <c r="M2" s="2"/>
      <c r="N2" s="2"/>
      <c r="O2" s="2"/>
      <c r="P2" s="2"/>
      <c r="Q2" s="2"/>
      <c r="R2" s="2"/>
      <c r="S2" s="2"/>
      <c r="T2" s="2"/>
    </row>
    <row r="4" spans="1:20" ht="42" customHeight="1" x14ac:dyDescent="0.3">
      <c r="A4" s="7" t="s">
        <v>91</v>
      </c>
      <c r="B4" s="9" t="s">
        <v>92</v>
      </c>
      <c r="C4" s="7" t="s">
        <v>93</v>
      </c>
      <c r="D4" s="7" t="s">
        <v>94</v>
      </c>
      <c r="E4" s="7" t="s">
        <v>95</v>
      </c>
      <c r="F4" s="12" t="s">
        <v>96</v>
      </c>
      <c r="G4" s="7" t="s">
        <v>97</v>
      </c>
      <c r="H4" s="7" t="s">
        <v>98</v>
      </c>
      <c r="I4" s="7" t="s">
        <v>99</v>
      </c>
      <c r="J4" s="7" t="s">
        <v>100</v>
      </c>
      <c r="K4" s="7" t="s">
        <v>101</v>
      </c>
      <c r="L4" s="7" t="s">
        <v>102</v>
      </c>
      <c r="M4" s="7" t="s">
        <v>103</v>
      </c>
      <c r="N4" s="7" t="s">
        <v>104</v>
      </c>
      <c r="O4" s="7" t="s">
        <v>105</v>
      </c>
      <c r="P4" s="7" t="s">
        <v>106</v>
      </c>
      <c r="Q4" s="7" t="s">
        <v>25</v>
      </c>
      <c r="R4" s="7" t="s">
        <v>107</v>
      </c>
      <c r="S4" s="7" t="s">
        <v>108</v>
      </c>
      <c r="T4" s="7" t="s">
        <v>7</v>
      </c>
    </row>
    <row r="5" spans="1:20" ht="19.95" customHeight="1" x14ac:dyDescent="0.3">
      <c r="A5" s="8" t="s">
        <v>109</v>
      </c>
      <c r="B5" s="10">
        <v>238801</v>
      </c>
      <c r="C5" s="8" t="s">
        <v>110</v>
      </c>
      <c r="D5" s="8" t="s">
        <v>9</v>
      </c>
      <c r="E5" s="8" t="s">
        <v>9</v>
      </c>
      <c r="F5" s="13"/>
      <c r="G5" s="8" t="s">
        <v>111</v>
      </c>
      <c r="H5" s="8" t="s">
        <v>111</v>
      </c>
      <c r="I5" s="8" t="s">
        <v>111</v>
      </c>
      <c r="J5" s="8" t="s">
        <v>111</v>
      </c>
      <c r="K5" s="8" t="s">
        <v>111</v>
      </c>
      <c r="L5" s="8" t="s">
        <v>111</v>
      </c>
      <c r="M5" s="8" t="s">
        <v>111</v>
      </c>
      <c r="N5" s="8" t="s">
        <v>111</v>
      </c>
      <c r="O5" s="8" t="s">
        <v>111</v>
      </c>
      <c r="P5" s="8" t="s">
        <v>111</v>
      </c>
      <c r="Q5" s="8" t="s">
        <v>112</v>
      </c>
      <c r="R5" s="8"/>
      <c r="S5" s="8" t="s">
        <v>113</v>
      </c>
      <c r="T5" s="8" t="s">
        <v>114</v>
      </c>
    </row>
    <row r="6" spans="1:20" ht="19.95" customHeight="1" x14ac:dyDescent="0.3">
      <c r="A6" s="8" t="s">
        <v>115</v>
      </c>
      <c r="B6" s="10">
        <v>319925</v>
      </c>
      <c r="C6" s="8" t="s">
        <v>116</v>
      </c>
      <c r="D6" s="8" t="s">
        <v>9</v>
      </c>
      <c r="E6" s="8" t="s">
        <v>9</v>
      </c>
      <c r="F6" s="13"/>
      <c r="G6" s="8" t="s">
        <v>111</v>
      </c>
      <c r="H6" s="8" t="s">
        <v>111</v>
      </c>
      <c r="I6" s="8" t="s">
        <v>111</v>
      </c>
      <c r="J6" s="8" t="s">
        <v>111</v>
      </c>
      <c r="K6" s="8" t="s">
        <v>111</v>
      </c>
      <c r="L6" s="8" t="s">
        <v>111</v>
      </c>
      <c r="M6" s="8" t="s">
        <v>111</v>
      </c>
      <c r="N6" s="8" t="s">
        <v>111</v>
      </c>
      <c r="O6" s="8" t="s">
        <v>111</v>
      </c>
      <c r="P6" s="8" t="s">
        <v>111</v>
      </c>
      <c r="Q6" s="8" t="s">
        <v>112</v>
      </c>
      <c r="R6" s="8"/>
      <c r="S6" s="8" t="s">
        <v>113</v>
      </c>
      <c r="T6" s="8" t="s">
        <v>114</v>
      </c>
    </row>
    <row r="7" spans="1:20" ht="19.95" customHeight="1" x14ac:dyDescent="0.3">
      <c r="A7" s="8" t="s">
        <v>117</v>
      </c>
      <c r="B7" s="10">
        <v>215656</v>
      </c>
      <c r="C7" s="8" t="s">
        <v>118</v>
      </c>
      <c r="D7" s="8" t="s">
        <v>9</v>
      </c>
      <c r="E7" s="8" t="s">
        <v>9</v>
      </c>
      <c r="F7" s="13"/>
      <c r="G7" s="8" t="s">
        <v>111</v>
      </c>
      <c r="H7" s="8" t="s">
        <v>111</v>
      </c>
      <c r="I7" s="8" t="s">
        <v>111</v>
      </c>
      <c r="J7" s="8" t="s">
        <v>111</v>
      </c>
      <c r="K7" s="8" t="s">
        <v>111</v>
      </c>
      <c r="L7" s="8" t="s">
        <v>111</v>
      </c>
      <c r="M7" s="8" t="s">
        <v>111</v>
      </c>
      <c r="N7" s="8" t="s">
        <v>111</v>
      </c>
      <c r="O7" s="8" t="s">
        <v>111</v>
      </c>
      <c r="P7" s="8" t="s">
        <v>111</v>
      </c>
      <c r="Q7" s="8" t="s">
        <v>112</v>
      </c>
      <c r="R7" s="8"/>
      <c r="S7" s="8" t="s">
        <v>113</v>
      </c>
      <c r="T7" s="8" t="s">
        <v>114</v>
      </c>
    </row>
    <row r="8" spans="1:20" ht="19.95" customHeight="1" x14ac:dyDescent="0.3">
      <c r="A8" s="8" t="s">
        <v>119</v>
      </c>
      <c r="B8" s="10">
        <v>319918</v>
      </c>
      <c r="C8" s="8" t="s">
        <v>120</v>
      </c>
      <c r="D8" s="8" t="s">
        <v>9</v>
      </c>
      <c r="E8" s="8" t="s">
        <v>9</v>
      </c>
      <c r="F8" s="13"/>
      <c r="G8" s="8" t="s">
        <v>111</v>
      </c>
      <c r="H8" s="8" t="s">
        <v>111</v>
      </c>
      <c r="I8" s="8" t="s">
        <v>111</v>
      </c>
      <c r="J8" s="8" t="s">
        <v>111</v>
      </c>
      <c r="K8" s="8" t="s">
        <v>111</v>
      </c>
      <c r="L8" s="8" t="s">
        <v>111</v>
      </c>
      <c r="M8" s="8" t="s">
        <v>111</v>
      </c>
      <c r="N8" s="8" t="s">
        <v>111</v>
      </c>
      <c r="O8" s="8" t="s">
        <v>111</v>
      </c>
      <c r="P8" s="8" t="s">
        <v>111</v>
      </c>
      <c r="Q8" s="8" t="s">
        <v>112</v>
      </c>
      <c r="R8" s="8"/>
      <c r="S8" s="8" t="s">
        <v>113</v>
      </c>
      <c r="T8" s="8" t="s">
        <v>121</v>
      </c>
    </row>
    <row r="9" spans="1:20" ht="19.95" customHeight="1" x14ac:dyDescent="0.3">
      <c r="A9" s="8" t="s">
        <v>122</v>
      </c>
      <c r="B9" s="10">
        <v>276577</v>
      </c>
      <c r="C9" s="8" t="s">
        <v>123</v>
      </c>
      <c r="D9" s="8" t="s">
        <v>9</v>
      </c>
      <c r="E9" s="8" t="s">
        <v>9</v>
      </c>
      <c r="F9" s="13"/>
      <c r="G9" s="8" t="s">
        <v>111</v>
      </c>
      <c r="H9" s="8" t="s">
        <v>111</v>
      </c>
      <c r="I9" s="8" t="s">
        <v>111</v>
      </c>
      <c r="J9" s="8" t="s">
        <v>111</v>
      </c>
      <c r="K9" s="8" t="s">
        <v>111</v>
      </c>
      <c r="L9" s="8" t="s">
        <v>111</v>
      </c>
      <c r="M9" s="8" t="s">
        <v>111</v>
      </c>
      <c r="N9" s="8" t="s">
        <v>111</v>
      </c>
      <c r="O9" s="8" t="s">
        <v>111</v>
      </c>
      <c r="P9" s="8" t="s">
        <v>111</v>
      </c>
      <c r="Q9" s="8" t="s">
        <v>112</v>
      </c>
      <c r="R9" s="8"/>
      <c r="S9" s="8" t="s">
        <v>113</v>
      </c>
      <c r="T9" s="8" t="s">
        <v>114</v>
      </c>
    </row>
    <row r="10" spans="1:20" ht="19.95" customHeight="1" x14ac:dyDescent="0.3">
      <c r="A10" s="8" t="s">
        <v>124</v>
      </c>
      <c r="B10" s="10">
        <v>320308</v>
      </c>
      <c r="C10" s="8" t="s">
        <v>125</v>
      </c>
      <c r="D10" s="8" t="s">
        <v>9</v>
      </c>
      <c r="E10" s="8" t="s">
        <v>9</v>
      </c>
      <c r="F10" s="13"/>
      <c r="G10" s="8" t="s">
        <v>111</v>
      </c>
      <c r="H10" s="8" t="s">
        <v>111</v>
      </c>
      <c r="I10" s="8" t="s">
        <v>111</v>
      </c>
      <c r="J10" s="8" t="s">
        <v>111</v>
      </c>
      <c r="K10" s="8" t="s">
        <v>111</v>
      </c>
      <c r="L10" s="8" t="s">
        <v>111</v>
      </c>
      <c r="M10" s="8" t="s">
        <v>111</v>
      </c>
      <c r="N10" s="8" t="s">
        <v>111</v>
      </c>
      <c r="O10" s="8" t="s">
        <v>111</v>
      </c>
      <c r="P10" s="8" t="s">
        <v>111</v>
      </c>
      <c r="Q10" s="8" t="s">
        <v>112</v>
      </c>
      <c r="R10" s="8"/>
      <c r="S10" s="8" t="s">
        <v>113</v>
      </c>
      <c r="T10" s="8" t="s">
        <v>114</v>
      </c>
    </row>
    <row r="11" spans="1:20" ht="19.95" customHeight="1" x14ac:dyDescent="0.3">
      <c r="A11" s="8" t="s">
        <v>126</v>
      </c>
      <c r="B11" s="10">
        <v>315721</v>
      </c>
      <c r="C11" s="8" t="s">
        <v>127</v>
      </c>
      <c r="D11" s="8" t="s">
        <v>9</v>
      </c>
      <c r="E11" s="8" t="s">
        <v>9</v>
      </c>
      <c r="F11" s="13"/>
      <c r="G11" s="8" t="s">
        <v>111</v>
      </c>
      <c r="H11" s="8" t="s">
        <v>111</v>
      </c>
      <c r="I11" s="8" t="s">
        <v>111</v>
      </c>
      <c r="J11" s="8" t="s">
        <v>111</v>
      </c>
      <c r="K11" s="8" t="s">
        <v>111</v>
      </c>
      <c r="L11" s="8" t="s">
        <v>111</v>
      </c>
      <c r="M11" s="8" t="s">
        <v>111</v>
      </c>
      <c r="N11" s="8" t="s">
        <v>111</v>
      </c>
      <c r="O11" s="8" t="s">
        <v>111</v>
      </c>
      <c r="P11" s="8" t="s">
        <v>111</v>
      </c>
      <c r="Q11" s="8" t="s">
        <v>112</v>
      </c>
      <c r="R11" s="8"/>
      <c r="S11" s="8" t="s">
        <v>113</v>
      </c>
      <c r="T11" s="8" t="s">
        <v>114</v>
      </c>
    </row>
    <row r="12" spans="1:20" ht="19.95" customHeight="1" x14ac:dyDescent="0.3">
      <c r="A12" s="8" t="s">
        <v>128</v>
      </c>
      <c r="B12" s="10">
        <v>273952</v>
      </c>
      <c r="C12" s="8" t="s">
        <v>129</v>
      </c>
      <c r="D12" s="8" t="s">
        <v>9</v>
      </c>
      <c r="E12" s="8" t="s">
        <v>9</v>
      </c>
      <c r="F12" s="13"/>
      <c r="G12" s="8" t="s">
        <v>111</v>
      </c>
      <c r="H12" s="8" t="s">
        <v>111</v>
      </c>
      <c r="I12" s="8" t="s">
        <v>111</v>
      </c>
      <c r="J12" s="8" t="s">
        <v>111</v>
      </c>
      <c r="K12" s="8" t="s">
        <v>111</v>
      </c>
      <c r="L12" s="8" t="s">
        <v>111</v>
      </c>
      <c r="M12" s="8" t="s">
        <v>111</v>
      </c>
      <c r="N12" s="8" t="s">
        <v>111</v>
      </c>
      <c r="O12" s="8" t="s">
        <v>111</v>
      </c>
      <c r="P12" s="8" t="s">
        <v>111</v>
      </c>
      <c r="Q12" s="8" t="s">
        <v>112</v>
      </c>
      <c r="R12" s="8"/>
      <c r="S12" s="8" t="s">
        <v>113</v>
      </c>
      <c r="T12" s="8" t="s">
        <v>114</v>
      </c>
    </row>
    <row r="13" spans="1:20" ht="19.95" customHeight="1" x14ac:dyDescent="0.3">
      <c r="A13" s="8" t="s">
        <v>130</v>
      </c>
      <c r="B13" s="10">
        <v>297212</v>
      </c>
      <c r="C13" s="8" t="s">
        <v>131</v>
      </c>
      <c r="D13" s="8" t="s">
        <v>9</v>
      </c>
      <c r="E13" s="8" t="s">
        <v>9</v>
      </c>
      <c r="F13" s="13"/>
      <c r="G13" s="8" t="s">
        <v>111</v>
      </c>
      <c r="H13" s="8" t="s">
        <v>111</v>
      </c>
      <c r="I13" s="8" t="s">
        <v>111</v>
      </c>
      <c r="J13" s="8" t="s">
        <v>111</v>
      </c>
      <c r="K13" s="8" t="s">
        <v>111</v>
      </c>
      <c r="L13" s="8" t="s">
        <v>111</v>
      </c>
      <c r="M13" s="8" t="s">
        <v>111</v>
      </c>
      <c r="N13" s="8" t="s">
        <v>111</v>
      </c>
      <c r="O13" s="8" t="s">
        <v>111</v>
      </c>
      <c r="P13" s="8" t="s">
        <v>111</v>
      </c>
      <c r="Q13" s="8" t="s">
        <v>112</v>
      </c>
      <c r="R13" s="8"/>
      <c r="S13" s="8" t="s">
        <v>113</v>
      </c>
      <c r="T13" s="8" t="s">
        <v>114</v>
      </c>
    </row>
    <row r="14" spans="1:20" ht="19.95" customHeight="1" x14ac:dyDescent="0.3">
      <c r="A14" s="8" t="s">
        <v>132</v>
      </c>
      <c r="B14" s="10">
        <v>300954</v>
      </c>
      <c r="C14" s="8" t="s">
        <v>133</v>
      </c>
      <c r="D14" s="8" t="s">
        <v>9</v>
      </c>
      <c r="E14" s="8" t="s">
        <v>9</v>
      </c>
      <c r="F14" s="13"/>
      <c r="G14" s="8" t="s">
        <v>111</v>
      </c>
      <c r="H14" s="8" t="s">
        <v>111</v>
      </c>
      <c r="I14" s="8" t="s">
        <v>111</v>
      </c>
      <c r="J14" s="8" t="s">
        <v>111</v>
      </c>
      <c r="K14" s="8" t="s">
        <v>111</v>
      </c>
      <c r="L14" s="8" t="s">
        <v>111</v>
      </c>
      <c r="M14" s="8" t="s">
        <v>111</v>
      </c>
      <c r="N14" s="8" t="s">
        <v>111</v>
      </c>
      <c r="O14" s="8" t="s">
        <v>111</v>
      </c>
      <c r="P14" s="8" t="s">
        <v>111</v>
      </c>
      <c r="Q14" s="8" t="s">
        <v>112</v>
      </c>
      <c r="R14" s="8"/>
      <c r="S14" s="8" t="s">
        <v>113</v>
      </c>
      <c r="T14" s="8" t="s">
        <v>114</v>
      </c>
    </row>
    <row r="15" spans="1:20" ht="19.95" customHeight="1" x14ac:dyDescent="0.3">
      <c r="A15" s="8" t="s">
        <v>134</v>
      </c>
      <c r="B15" s="10">
        <v>234366</v>
      </c>
      <c r="C15" s="8" t="s">
        <v>135</v>
      </c>
      <c r="D15" s="8" t="s">
        <v>9</v>
      </c>
      <c r="E15" s="8" t="s">
        <v>9</v>
      </c>
      <c r="F15" s="13"/>
      <c r="G15" s="8" t="s">
        <v>111</v>
      </c>
      <c r="H15" s="8" t="s">
        <v>111</v>
      </c>
      <c r="I15" s="8" t="s">
        <v>111</v>
      </c>
      <c r="J15" s="8" t="s">
        <v>111</v>
      </c>
      <c r="K15" s="8" t="s">
        <v>111</v>
      </c>
      <c r="L15" s="8" t="s">
        <v>111</v>
      </c>
      <c r="M15" s="8" t="s">
        <v>111</v>
      </c>
      <c r="N15" s="8" t="s">
        <v>111</v>
      </c>
      <c r="O15" s="8" t="s">
        <v>111</v>
      </c>
      <c r="P15" s="8" t="s">
        <v>111</v>
      </c>
      <c r="Q15" s="8" t="s">
        <v>112</v>
      </c>
      <c r="R15" s="8"/>
      <c r="S15" s="8" t="s">
        <v>113</v>
      </c>
      <c r="T15" s="8" t="s">
        <v>114</v>
      </c>
    </row>
    <row r="16" spans="1:20" ht="19.95" customHeight="1" x14ac:dyDescent="0.3">
      <c r="A16" s="8" t="s">
        <v>136</v>
      </c>
      <c r="B16" s="10">
        <v>293981</v>
      </c>
      <c r="C16" s="8" t="s">
        <v>137</v>
      </c>
      <c r="D16" s="8" t="s">
        <v>9</v>
      </c>
      <c r="E16" s="8" t="s">
        <v>9</v>
      </c>
      <c r="F16" s="13"/>
      <c r="G16" s="8" t="s">
        <v>111</v>
      </c>
      <c r="H16" s="8" t="s">
        <v>111</v>
      </c>
      <c r="I16" s="8" t="s">
        <v>111</v>
      </c>
      <c r="J16" s="8" t="s">
        <v>111</v>
      </c>
      <c r="K16" s="8" t="s">
        <v>111</v>
      </c>
      <c r="L16" s="8" t="s">
        <v>111</v>
      </c>
      <c r="M16" s="8" t="s">
        <v>111</v>
      </c>
      <c r="N16" s="8" t="s">
        <v>111</v>
      </c>
      <c r="O16" s="8" t="s">
        <v>111</v>
      </c>
      <c r="P16" s="8" t="s">
        <v>111</v>
      </c>
      <c r="Q16" s="8" t="s">
        <v>112</v>
      </c>
      <c r="R16" s="8"/>
      <c r="S16" s="8" t="s">
        <v>113</v>
      </c>
      <c r="T16" s="8" t="s">
        <v>114</v>
      </c>
    </row>
    <row r="17" spans="1:20" ht="19.95" customHeight="1" x14ac:dyDescent="0.3">
      <c r="A17" s="8" t="s">
        <v>138</v>
      </c>
      <c r="B17" s="10">
        <v>292990</v>
      </c>
      <c r="C17" s="8" t="s">
        <v>139</v>
      </c>
      <c r="D17" s="8" t="s">
        <v>9</v>
      </c>
      <c r="E17" s="8" t="s">
        <v>9</v>
      </c>
      <c r="F17" s="13"/>
      <c r="G17" s="8" t="s">
        <v>111</v>
      </c>
      <c r="H17" s="8" t="s">
        <v>111</v>
      </c>
      <c r="I17" s="8" t="s">
        <v>111</v>
      </c>
      <c r="J17" s="8" t="s">
        <v>111</v>
      </c>
      <c r="K17" s="8" t="s">
        <v>111</v>
      </c>
      <c r="L17" s="8" t="s">
        <v>111</v>
      </c>
      <c r="M17" s="8" t="s">
        <v>111</v>
      </c>
      <c r="N17" s="8" t="s">
        <v>111</v>
      </c>
      <c r="O17" s="8" t="s">
        <v>111</v>
      </c>
      <c r="P17" s="8" t="s">
        <v>111</v>
      </c>
      <c r="Q17" s="8" t="s">
        <v>112</v>
      </c>
      <c r="R17" s="8"/>
      <c r="S17" s="8" t="s">
        <v>113</v>
      </c>
      <c r="T17" s="8" t="s">
        <v>114</v>
      </c>
    </row>
    <row r="18" spans="1:20" ht="19.95" customHeight="1" x14ac:dyDescent="0.3">
      <c r="A18" s="8" t="s">
        <v>140</v>
      </c>
      <c r="B18" s="10">
        <v>293148</v>
      </c>
      <c r="C18" s="8" t="s">
        <v>141</v>
      </c>
      <c r="D18" s="8" t="s">
        <v>9</v>
      </c>
      <c r="E18" s="8" t="s">
        <v>9</v>
      </c>
      <c r="F18" s="13"/>
      <c r="G18" s="8" t="s">
        <v>111</v>
      </c>
      <c r="H18" s="8" t="s">
        <v>111</v>
      </c>
      <c r="I18" s="8" t="s">
        <v>111</v>
      </c>
      <c r="J18" s="8" t="s">
        <v>111</v>
      </c>
      <c r="K18" s="8" t="s">
        <v>111</v>
      </c>
      <c r="L18" s="8" t="s">
        <v>111</v>
      </c>
      <c r="M18" s="8" t="s">
        <v>111</v>
      </c>
      <c r="N18" s="8" t="s">
        <v>111</v>
      </c>
      <c r="O18" s="8" t="s">
        <v>111</v>
      </c>
      <c r="P18" s="8" t="s">
        <v>111</v>
      </c>
      <c r="Q18" s="8" t="s">
        <v>112</v>
      </c>
      <c r="R18" s="8"/>
      <c r="S18" s="8" t="s">
        <v>113</v>
      </c>
      <c r="T18" s="8" t="s">
        <v>114</v>
      </c>
    </row>
    <row r="19" spans="1:20" ht="19.95" customHeight="1" x14ac:dyDescent="0.3">
      <c r="A19" s="8" t="s">
        <v>142</v>
      </c>
      <c r="B19" s="10">
        <v>292739</v>
      </c>
      <c r="C19" s="8" t="s">
        <v>143</v>
      </c>
      <c r="D19" s="8" t="s">
        <v>9</v>
      </c>
      <c r="E19" s="8" t="s">
        <v>9</v>
      </c>
      <c r="F19" s="13"/>
      <c r="G19" s="8" t="s">
        <v>111</v>
      </c>
      <c r="H19" s="8" t="s">
        <v>111</v>
      </c>
      <c r="I19" s="8" t="s">
        <v>111</v>
      </c>
      <c r="J19" s="8" t="s">
        <v>111</v>
      </c>
      <c r="K19" s="8" t="s">
        <v>111</v>
      </c>
      <c r="L19" s="8" t="s">
        <v>111</v>
      </c>
      <c r="M19" s="8" t="s">
        <v>111</v>
      </c>
      <c r="N19" s="8" t="s">
        <v>111</v>
      </c>
      <c r="O19" s="8" t="s">
        <v>111</v>
      </c>
      <c r="P19" s="8" t="s">
        <v>111</v>
      </c>
      <c r="Q19" s="8" t="s">
        <v>112</v>
      </c>
      <c r="R19" s="8"/>
      <c r="S19" s="8" t="s">
        <v>113</v>
      </c>
      <c r="T19" s="8" t="s">
        <v>114</v>
      </c>
    </row>
    <row r="20" spans="1:20" ht="19.95" customHeight="1" x14ac:dyDescent="0.3">
      <c r="A20" s="8" t="s">
        <v>144</v>
      </c>
      <c r="B20" s="10">
        <v>292589</v>
      </c>
      <c r="C20" s="8" t="s">
        <v>145</v>
      </c>
      <c r="D20" s="8" t="s">
        <v>9</v>
      </c>
      <c r="E20" s="8" t="s">
        <v>9</v>
      </c>
      <c r="F20" s="13"/>
      <c r="G20" s="8" t="s">
        <v>111</v>
      </c>
      <c r="H20" s="8" t="s">
        <v>111</v>
      </c>
      <c r="I20" s="8" t="s">
        <v>111</v>
      </c>
      <c r="J20" s="8" t="s">
        <v>111</v>
      </c>
      <c r="K20" s="8" t="s">
        <v>111</v>
      </c>
      <c r="L20" s="8" t="s">
        <v>111</v>
      </c>
      <c r="M20" s="8" t="s">
        <v>111</v>
      </c>
      <c r="N20" s="8" t="s">
        <v>111</v>
      </c>
      <c r="O20" s="8" t="s">
        <v>111</v>
      </c>
      <c r="P20" s="8" t="s">
        <v>111</v>
      </c>
      <c r="Q20" s="8" t="s">
        <v>112</v>
      </c>
      <c r="R20" s="8"/>
      <c r="S20" s="8" t="s">
        <v>113</v>
      </c>
      <c r="T20" s="8" t="s">
        <v>114</v>
      </c>
    </row>
    <row r="21" spans="1:20" ht="19.95" customHeight="1" x14ac:dyDescent="0.3">
      <c r="A21" s="8" t="s">
        <v>146</v>
      </c>
      <c r="B21" s="10">
        <v>245616</v>
      </c>
      <c r="C21" s="8" t="s">
        <v>147</v>
      </c>
      <c r="D21" s="8" t="s">
        <v>9</v>
      </c>
      <c r="E21" s="8" t="s">
        <v>9</v>
      </c>
      <c r="F21" s="13"/>
      <c r="G21" s="8" t="s">
        <v>111</v>
      </c>
      <c r="H21" s="8" t="s">
        <v>111</v>
      </c>
      <c r="I21" s="8" t="s">
        <v>111</v>
      </c>
      <c r="J21" s="8" t="s">
        <v>111</v>
      </c>
      <c r="K21" s="8" t="s">
        <v>111</v>
      </c>
      <c r="L21" s="8" t="s">
        <v>111</v>
      </c>
      <c r="M21" s="8" t="s">
        <v>111</v>
      </c>
      <c r="N21" s="8" t="s">
        <v>111</v>
      </c>
      <c r="O21" s="8" t="s">
        <v>111</v>
      </c>
      <c r="P21" s="8" t="s">
        <v>111</v>
      </c>
      <c r="Q21" s="8" t="s">
        <v>112</v>
      </c>
      <c r="R21" s="8"/>
      <c r="S21" s="8" t="s">
        <v>113</v>
      </c>
      <c r="T21" s="8" t="s">
        <v>114</v>
      </c>
    </row>
    <row r="22" spans="1:20" ht="19.95" customHeight="1" x14ac:dyDescent="0.3">
      <c r="A22" s="8" t="s">
        <v>148</v>
      </c>
      <c r="B22" s="10">
        <v>258825</v>
      </c>
      <c r="C22" s="8" t="s">
        <v>149</v>
      </c>
      <c r="D22" s="8" t="s">
        <v>9</v>
      </c>
      <c r="E22" s="8" t="s">
        <v>9</v>
      </c>
      <c r="F22" s="13"/>
      <c r="G22" s="8" t="s">
        <v>111</v>
      </c>
      <c r="H22" s="8" t="s">
        <v>111</v>
      </c>
      <c r="I22" s="8" t="s">
        <v>111</v>
      </c>
      <c r="J22" s="8" t="s">
        <v>111</v>
      </c>
      <c r="K22" s="8" t="s">
        <v>111</v>
      </c>
      <c r="L22" s="8" t="s">
        <v>111</v>
      </c>
      <c r="M22" s="8" t="s">
        <v>111</v>
      </c>
      <c r="N22" s="8" t="s">
        <v>111</v>
      </c>
      <c r="O22" s="8" t="s">
        <v>111</v>
      </c>
      <c r="P22" s="8" t="s">
        <v>111</v>
      </c>
      <c r="Q22" s="8" t="s">
        <v>112</v>
      </c>
      <c r="R22" s="8"/>
      <c r="S22" s="8" t="s">
        <v>113</v>
      </c>
      <c r="T22" s="8" t="s">
        <v>114</v>
      </c>
    </row>
    <row r="23" spans="1:20" ht="19.95" customHeight="1" x14ac:dyDescent="0.3">
      <c r="A23" s="8" t="s">
        <v>150</v>
      </c>
      <c r="B23" s="10">
        <v>280257</v>
      </c>
      <c r="C23" s="8" t="s">
        <v>151</v>
      </c>
      <c r="D23" s="8" t="s">
        <v>9</v>
      </c>
      <c r="E23" s="8" t="s">
        <v>9</v>
      </c>
      <c r="F23" s="13"/>
      <c r="G23" s="8" t="s">
        <v>111</v>
      </c>
      <c r="H23" s="8" t="s">
        <v>111</v>
      </c>
      <c r="I23" s="8" t="s">
        <v>111</v>
      </c>
      <c r="J23" s="8" t="s">
        <v>111</v>
      </c>
      <c r="K23" s="8" t="s">
        <v>111</v>
      </c>
      <c r="L23" s="8" t="s">
        <v>111</v>
      </c>
      <c r="M23" s="8" t="s">
        <v>111</v>
      </c>
      <c r="N23" s="8" t="s">
        <v>111</v>
      </c>
      <c r="O23" s="8" t="s">
        <v>111</v>
      </c>
      <c r="P23" s="8" t="s">
        <v>111</v>
      </c>
      <c r="Q23" s="8" t="s">
        <v>112</v>
      </c>
      <c r="R23" s="8"/>
      <c r="S23" s="8" t="s">
        <v>113</v>
      </c>
      <c r="T23" s="8" t="s">
        <v>114</v>
      </c>
    </row>
    <row r="24" spans="1:20" ht="19.95" customHeight="1" x14ac:dyDescent="0.3">
      <c r="A24" s="8" t="s">
        <v>152</v>
      </c>
      <c r="B24" s="10">
        <v>290338</v>
      </c>
      <c r="C24" s="8" t="s">
        <v>153</v>
      </c>
      <c r="D24" s="8" t="s">
        <v>9</v>
      </c>
      <c r="E24" s="8" t="s">
        <v>9</v>
      </c>
      <c r="F24" s="13"/>
      <c r="G24" s="8" t="s">
        <v>111</v>
      </c>
      <c r="H24" s="8" t="s">
        <v>111</v>
      </c>
      <c r="I24" s="8" t="s">
        <v>111</v>
      </c>
      <c r="J24" s="8" t="s">
        <v>111</v>
      </c>
      <c r="K24" s="8" t="s">
        <v>111</v>
      </c>
      <c r="L24" s="8" t="s">
        <v>111</v>
      </c>
      <c r="M24" s="8" t="s">
        <v>111</v>
      </c>
      <c r="N24" s="8" t="s">
        <v>111</v>
      </c>
      <c r="O24" s="8" t="s">
        <v>111</v>
      </c>
      <c r="P24" s="8" t="s">
        <v>111</v>
      </c>
      <c r="Q24" s="8" t="s">
        <v>112</v>
      </c>
      <c r="R24" s="8"/>
      <c r="S24" s="8" t="s">
        <v>113</v>
      </c>
      <c r="T24" s="8" t="s">
        <v>121</v>
      </c>
    </row>
    <row r="25" spans="1:20" ht="19.95" customHeight="1" x14ac:dyDescent="0.3">
      <c r="A25" s="8" t="s">
        <v>154</v>
      </c>
      <c r="B25" s="10">
        <v>292626</v>
      </c>
      <c r="C25" s="8" t="s">
        <v>155</v>
      </c>
      <c r="D25" s="8" t="s">
        <v>9</v>
      </c>
      <c r="E25" s="8" t="s">
        <v>9</v>
      </c>
      <c r="F25" s="13"/>
      <c r="G25" s="8" t="s">
        <v>111</v>
      </c>
      <c r="H25" s="8" t="s">
        <v>111</v>
      </c>
      <c r="I25" s="8" t="s">
        <v>111</v>
      </c>
      <c r="J25" s="8" t="s">
        <v>111</v>
      </c>
      <c r="K25" s="8" t="s">
        <v>111</v>
      </c>
      <c r="L25" s="8" t="s">
        <v>111</v>
      </c>
      <c r="M25" s="8" t="s">
        <v>111</v>
      </c>
      <c r="N25" s="8" t="s">
        <v>111</v>
      </c>
      <c r="O25" s="8" t="s">
        <v>111</v>
      </c>
      <c r="P25" s="8" t="s">
        <v>111</v>
      </c>
      <c r="Q25" s="8" t="s">
        <v>112</v>
      </c>
      <c r="R25" s="8"/>
      <c r="S25" s="8" t="s">
        <v>113</v>
      </c>
      <c r="T25" s="8" t="s">
        <v>114</v>
      </c>
    </row>
    <row r="26" spans="1:20" ht="19.95" customHeight="1" x14ac:dyDescent="0.3">
      <c r="A26" s="8" t="s">
        <v>156</v>
      </c>
      <c r="B26" s="10">
        <v>275412</v>
      </c>
      <c r="C26" s="8" t="s">
        <v>157</v>
      </c>
      <c r="D26" s="8" t="s">
        <v>9</v>
      </c>
      <c r="E26" s="8" t="s">
        <v>9</v>
      </c>
      <c r="F26" s="13"/>
      <c r="G26" s="8" t="s">
        <v>111</v>
      </c>
      <c r="H26" s="8" t="s">
        <v>111</v>
      </c>
      <c r="I26" s="8" t="s">
        <v>111</v>
      </c>
      <c r="J26" s="8" t="s">
        <v>111</v>
      </c>
      <c r="K26" s="8" t="s">
        <v>111</v>
      </c>
      <c r="L26" s="8" t="s">
        <v>111</v>
      </c>
      <c r="M26" s="8" t="s">
        <v>111</v>
      </c>
      <c r="N26" s="8" t="s">
        <v>111</v>
      </c>
      <c r="O26" s="8" t="s">
        <v>111</v>
      </c>
      <c r="P26" s="8" t="s">
        <v>111</v>
      </c>
      <c r="Q26" s="8" t="s">
        <v>112</v>
      </c>
      <c r="R26" s="8"/>
      <c r="S26" s="8" t="s">
        <v>113</v>
      </c>
      <c r="T26" s="8" t="s">
        <v>121</v>
      </c>
    </row>
    <row r="27" spans="1:20" ht="19.95" customHeight="1" x14ac:dyDescent="0.3">
      <c r="A27" s="8" t="s">
        <v>158</v>
      </c>
      <c r="B27" s="10">
        <v>275457</v>
      </c>
      <c r="C27" s="8" t="s">
        <v>159</v>
      </c>
      <c r="D27" s="8" t="s">
        <v>9</v>
      </c>
      <c r="E27" s="8" t="s">
        <v>9</v>
      </c>
      <c r="F27" s="13"/>
      <c r="G27" s="8" t="s">
        <v>111</v>
      </c>
      <c r="H27" s="8" t="s">
        <v>111</v>
      </c>
      <c r="I27" s="8" t="s">
        <v>111</v>
      </c>
      <c r="J27" s="8" t="s">
        <v>111</v>
      </c>
      <c r="K27" s="8" t="s">
        <v>111</v>
      </c>
      <c r="L27" s="8" t="s">
        <v>111</v>
      </c>
      <c r="M27" s="8" t="s">
        <v>111</v>
      </c>
      <c r="N27" s="8" t="s">
        <v>111</v>
      </c>
      <c r="O27" s="8" t="s">
        <v>111</v>
      </c>
      <c r="P27" s="8" t="s">
        <v>111</v>
      </c>
      <c r="Q27" s="8" t="s">
        <v>112</v>
      </c>
      <c r="R27" s="8"/>
      <c r="S27" s="8" t="s">
        <v>113</v>
      </c>
      <c r="T27" s="8" t="s">
        <v>121</v>
      </c>
    </row>
    <row r="28" spans="1:20" ht="19.95" customHeight="1" x14ac:dyDescent="0.3">
      <c r="A28" s="8" t="s">
        <v>160</v>
      </c>
      <c r="B28" s="10">
        <v>319335</v>
      </c>
      <c r="C28" s="8" t="s">
        <v>161</v>
      </c>
      <c r="D28" s="8" t="s">
        <v>9</v>
      </c>
      <c r="E28" s="8" t="s">
        <v>9</v>
      </c>
      <c r="F28" s="13"/>
      <c r="G28" s="8" t="s">
        <v>111</v>
      </c>
      <c r="H28" s="8" t="s">
        <v>111</v>
      </c>
      <c r="I28" s="8" t="s">
        <v>111</v>
      </c>
      <c r="J28" s="8" t="s">
        <v>111</v>
      </c>
      <c r="K28" s="8" t="s">
        <v>111</v>
      </c>
      <c r="L28" s="8" t="s">
        <v>111</v>
      </c>
      <c r="M28" s="8" t="s">
        <v>111</v>
      </c>
      <c r="N28" s="8" t="s">
        <v>111</v>
      </c>
      <c r="O28" s="8" t="s">
        <v>111</v>
      </c>
      <c r="P28" s="8" t="s">
        <v>111</v>
      </c>
      <c r="Q28" s="8" t="s">
        <v>112</v>
      </c>
      <c r="R28" s="8"/>
      <c r="S28" s="8" t="s">
        <v>113</v>
      </c>
      <c r="T28" s="8" t="s">
        <v>114</v>
      </c>
    </row>
    <row r="29" spans="1:20" ht="19.95" customHeight="1" x14ac:dyDescent="0.3">
      <c r="A29" s="8" t="s">
        <v>162</v>
      </c>
      <c r="B29" s="10">
        <v>215655</v>
      </c>
      <c r="C29" s="8" t="s">
        <v>163</v>
      </c>
      <c r="D29" s="8" t="s">
        <v>9</v>
      </c>
      <c r="E29" s="8" t="s">
        <v>9</v>
      </c>
      <c r="F29" s="13"/>
      <c r="G29" s="8" t="s">
        <v>111</v>
      </c>
      <c r="H29" s="8" t="s">
        <v>111</v>
      </c>
      <c r="I29" s="8" t="s">
        <v>111</v>
      </c>
      <c r="J29" s="8" t="s">
        <v>111</v>
      </c>
      <c r="K29" s="8" t="s">
        <v>111</v>
      </c>
      <c r="L29" s="8" t="s">
        <v>111</v>
      </c>
      <c r="M29" s="8" t="s">
        <v>111</v>
      </c>
      <c r="N29" s="8" t="s">
        <v>111</v>
      </c>
      <c r="O29" s="8" t="s">
        <v>111</v>
      </c>
      <c r="P29" s="8" t="s">
        <v>111</v>
      </c>
      <c r="Q29" s="8" t="s">
        <v>112</v>
      </c>
      <c r="R29" s="8"/>
      <c r="S29" s="8" t="s">
        <v>113</v>
      </c>
      <c r="T29" s="8" t="s">
        <v>114</v>
      </c>
    </row>
    <row r="30" spans="1:20" ht="19.95" customHeight="1" x14ac:dyDescent="0.3">
      <c r="A30" s="8" t="s">
        <v>164</v>
      </c>
      <c r="B30" s="10">
        <v>319957</v>
      </c>
      <c r="C30" s="8" t="s">
        <v>165</v>
      </c>
      <c r="D30" s="8" t="s">
        <v>9</v>
      </c>
      <c r="E30" s="8" t="s">
        <v>9</v>
      </c>
      <c r="F30" s="13"/>
      <c r="G30" s="8" t="s">
        <v>111</v>
      </c>
      <c r="H30" s="8" t="s">
        <v>111</v>
      </c>
      <c r="I30" s="8" t="s">
        <v>111</v>
      </c>
      <c r="J30" s="8" t="s">
        <v>111</v>
      </c>
      <c r="K30" s="8" t="s">
        <v>111</v>
      </c>
      <c r="L30" s="8" t="s">
        <v>111</v>
      </c>
      <c r="M30" s="8" t="s">
        <v>111</v>
      </c>
      <c r="N30" s="8" t="s">
        <v>111</v>
      </c>
      <c r="O30" s="8" t="s">
        <v>111</v>
      </c>
      <c r="P30" s="8" t="s">
        <v>111</v>
      </c>
      <c r="Q30" s="8" t="s">
        <v>112</v>
      </c>
      <c r="R30" s="8"/>
      <c r="S30" s="8" t="s">
        <v>113</v>
      </c>
      <c r="T30" s="8" t="s">
        <v>114</v>
      </c>
    </row>
    <row r="31" spans="1:20" ht="19.95" customHeight="1" x14ac:dyDescent="0.3">
      <c r="A31" s="8" t="s">
        <v>166</v>
      </c>
      <c r="B31" s="10">
        <v>315940</v>
      </c>
      <c r="C31" s="8" t="s">
        <v>167</v>
      </c>
      <c r="D31" s="8" t="s">
        <v>9</v>
      </c>
      <c r="E31" s="8" t="s">
        <v>9</v>
      </c>
      <c r="F31" s="13"/>
      <c r="G31" s="8" t="s">
        <v>111</v>
      </c>
      <c r="H31" s="8" t="s">
        <v>111</v>
      </c>
      <c r="I31" s="8" t="s">
        <v>111</v>
      </c>
      <c r="J31" s="8" t="s">
        <v>111</v>
      </c>
      <c r="K31" s="8" t="s">
        <v>111</v>
      </c>
      <c r="L31" s="8" t="s">
        <v>111</v>
      </c>
      <c r="M31" s="8" t="s">
        <v>111</v>
      </c>
      <c r="N31" s="8" t="s">
        <v>111</v>
      </c>
      <c r="O31" s="8" t="s">
        <v>111</v>
      </c>
      <c r="P31" s="8" t="s">
        <v>111</v>
      </c>
      <c r="Q31" s="8" t="s">
        <v>112</v>
      </c>
      <c r="R31" s="8"/>
      <c r="S31" s="8" t="s">
        <v>113</v>
      </c>
      <c r="T31" s="8" t="s">
        <v>114</v>
      </c>
    </row>
    <row r="32" spans="1:20" ht="19.95" customHeight="1" x14ac:dyDescent="0.3">
      <c r="A32" s="8" t="s">
        <v>168</v>
      </c>
      <c r="B32" s="10">
        <v>282625</v>
      </c>
      <c r="C32" s="8" t="s">
        <v>169</v>
      </c>
      <c r="D32" s="8" t="s">
        <v>9</v>
      </c>
      <c r="E32" s="8" t="s">
        <v>9</v>
      </c>
      <c r="F32" s="13"/>
      <c r="G32" s="8" t="s">
        <v>111</v>
      </c>
      <c r="H32" s="8" t="s">
        <v>111</v>
      </c>
      <c r="I32" s="8" t="s">
        <v>111</v>
      </c>
      <c r="J32" s="8" t="s">
        <v>111</v>
      </c>
      <c r="K32" s="8" t="s">
        <v>111</v>
      </c>
      <c r="L32" s="8" t="s">
        <v>111</v>
      </c>
      <c r="M32" s="8" t="s">
        <v>111</v>
      </c>
      <c r="N32" s="8" t="s">
        <v>111</v>
      </c>
      <c r="O32" s="8" t="s">
        <v>111</v>
      </c>
      <c r="P32" s="8" t="s">
        <v>111</v>
      </c>
      <c r="Q32" s="8" t="s">
        <v>112</v>
      </c>
      <c r="R32" s="8"/>
      <c r="S32" s="8" t="s">
        <v>113</v>
      </c>
      <c r="T32" s="8" t="s">
        <v>114</v>
      </c>
    </row>
    <row r="33" spans="1:20" ht="19.95" customHeight="1" x14ac:dyDescent="0.3">
      <c r="A33" s="8" t="s">
        <v>170</v>
      </c>
      <c r="B33" s="10">
        <v>332726</v>
      </c>
      <c r="C33" s="8" t="s">
        <v>171</v>
      </c>
      <c r="D33" s="8" t="s">
        <v>9</v>
      </c>
      <c r="E33" s="8" t="s">
        <v>9</v>
      </c>
      <c r="F33" s="13"/>
      <c r="G33" s="8" t="s">
        <v>111</v>
      </c>
      <c r="H33" s="8" t="s">
        <v>111</v>
      </c>
      <c r="I33" s="8" t="s">
        <v>111</v>
      </c>
      <c r="J33" s="8" t="s">
        <v>111</v>
      </c>
      <c r="K33" s="8" t="s">
        <v>111</v>
      </c>
      <c r="L33" s="8" t="s">
        <v>111</v>
      </c>
      <c r="M33" s="8" t="s">
        <v>111</v>
      </c>
      <c r="N33" s="8" t="s">
        <v>111</v>
      </c>
      <c r="O33" s="8" t="s">
        <v>111</v>
      </c>
      <c r="P33" s="8" t="s">
        <v>111</v>
      </c>
      <c r="Q33" s="8" t="s">
        <v>112</v>
      </c>
      <c r="R33" s="8"/>
      <c r="S33" s="8" t="s">
        <v>113</v>
      </c>
      <c r="T33" s="8" t="s">
        <v>114</v>
      </c>
    </row>
    <row r="34" spans="1:20" ht="19.95" customHeight="1" x14ac:dyDescent="0.3">
      <c r="A34" s="8" t="s">
        <v>172</v>
      </c>
      <c r="B34" s="10">
        <v>319734</v>
      </c>
      <c r="C34" s="8" t="s">
        <v>173</v>
      </c>
      <c r="D34" s="8" t="s">
        <v>9</v>
      </c>
      <c r="E34" s="8" t="s">
        <v>9</v>
      </c>
      <c r="F34" s="13"/>
      <c r="G34" s="8" t="s">
        <v>111</v>
      </c>
      <c r="H34" s="8" t="s">
        <v>111</v>
      </c>
      <c r="I34" s="8" t="s">
        <v>111</v>
      </c>
      <c r="J34" s="8" t="s">
        <v>111</v>
      </c>
      <c r="K34" s="8" t="s">
        <v>111</v>
      </c>
      <c r="L34" s="8" t="s">
        <v>111</v>
      </c>
      <c r="M34" s="8" t="s">
        <v>111</v>
      </c>
      <c r="N34" s="8" t="s">
        <v>111</v>
      </c>
      <c r="O34" s="8" t="s">
        <v>111</v>
      </c>
      <c r="P34" s="8" t="s">
        <v>111</v>
      </c>
      <c r="Q34" s="8" t="s">
        <v>112</v>
      </c>
      <c r="R34" s="8"/>
      <c r="S34" s="8" t="s">
        <v>113</v>
      </c>
      <c r="T34" s="8" t="s">
        <v>114</v>
      </c>
    </row>
    <row r="35" spans="1:20" ht="19.95" customHeight="1" x14ac:dyDescent="0.3">
      <c r="A35" s="8" t="s">
        <v>174</v>
      </c>
      <c r="B35" s="10">
        <v>266572</v>
      </c>
      <c r="C35" s="8" t="s">
        <v>175</v>
      </c>
      <c r="D35" s="8" t="s">
        <v>9</v>
      </c>
      <c r="E35" s="8" t="s">
        <v>9</v>
      </c>
      <c r="F35" s="13"/>
      <c r="G35" s="8" t="s">
        <v>111</v>
      </c>
      <c r="H35" s="8" t="s">
        <v>111</v>
      </c>
      <c r="I35" s="8" t="s">
        <v>111</v>
      </c>
      <c r="J35" s="8" t="s">
        <v>111</v>
      </c>
      <c r="K35" s="8" t="s">
        <v>111</v>
      </c>
      <c r="L35" s="8" t="s">
        <v>111</v>
      </c>
      <c r="M35" s="8" t="s">
        <v>111</v>
      </c>
      <c r="N35" s="8" t="s">
        <v>111</v>
      </c>
      <c r="O35" s="8" t="s">
        <v>111</v>
      </c>
      <c r="P35" s="8" t="s">
        <v>111</v>
      </c>
      <c r="Q35" s="8" t="s">
        <v>112</v>
      </c>
      <c r="R35" s="8"/>
      <c r="S35" s="8" t="s">
        <v>113</v>
      </c>
      <c r="T35" s="8" t="s">
        <v>114</v>
      </c>
    </row>
    <row r="36" spans="1:20" ht="19.95" customHeight="1" x14ac:dyDescent="0.3">
      <c r="A36" s="8" t="s">
        <v>176</v>
      </c>
      <c r="B36" s="10">
        <v>264528</v>
      </c>
      <c r="C36" s="8" t="s">
        <v>177</v>
      </c>
      <c r="D36" s="8" t="s">
        <v>9</v>
      </c>
      <c r="E36" s="8" t="s">
        <v>9</v>
      </c>
      <c r="F36" s="13"/>
      <c r="G36" s="8" t="s">
        <v>111</v>
      </c>
      <c r="H36" s="8" t="s">
        <v>111</v>
      </c>
      <c r="I36" s="8" t="s">
        <v>111</v>
      </c>
      <c r="J36" s="8" t="s">
        <v>111</v>
      </c>
      <c r="K36" s="8" t="s">
        <v>111</v>
      </c>
      <c r="L36" s="8" t="s">
        <v>111</v>
      </c>
      <c r="M36" s="8" t="s">
        <v>111</v>
      </c>
      <c r="N36" s="8" t="s">
        <v>111</v>
      </c>
      <c r="O36" s="8" t="s">
        <v>111</v>
      </c>
      <c r="P36" s="8" t="s">
        <v>111</v>
      </c>
      <c r="Q36" s="8" t="s">
        <v>112</v>
      </c>
      <c r="R36" s="8"/>
      <c r="S36" s="8" t="s">
        <v>113</v>
      </c>
      <c r="T36" s="8" t="s">
        <v>114</v>
      </c>
    </row>
    <row r="37" spans="1:20" ht="19.95" customHeight="1" x14ac:dyDescent="0.3">
      <c r="A37" s="8" t="s">
        <v>178</v>
      </c>
      <c r="B37" s="10">
        <v>265784</v>
      </c>
      <c r="C37" s="8" t="s">
        <v>179</v>
      </c>
      <c r="D37" s="8" t="s">
        <v>9</v>
      </c>
      <c r="E37" s="8" t="s">
        <v>9</v>
      </c>
      <c r="F37" s="13"/>
      <c r="G37" s="8" t="s">
        <v>111</v>
      </c>
      <c r="H37" s="8" t="s">
        <v>111</v>
      </c>
      <c r="I37" s="8" t="s">
        <v>111</v>
      </c>
      <c r="J37" s="8" t="s">
        <v>111</v>
      </c>
      <c r="K37" s="8" t="s">
        <v>111</v>
      </c>
      <c r="L37" s="8" t="s">
        <v>111</v>
      </c>
      <c r="M37" s="8" t="s">
        <v>111</v>
      </c>
      <c r="N37" s="8" t="s">
        <v>111</v>
      </c>
      <c r="O37" s="8" t="s">
        <v>111</v>
      </c>
      <c r="P37" s="8" t="s">
        <v>111</v>
      </c>
      <c r="Q37" s="8" t="s">
        <v>112</v>
      </c>
      <c r="R37" s="8"/>
      <c r="S37" s="8" t="s">
        <v>113</v>
      </c>
      <c r="T37" s="8" t="s">
        <v>114</v>
      </c>
    </row>
    <row r="38" spans="1:20" ht="19.95" customHeight="1" x14ac:dyDescent="0.3">
      <c r="A38" s="8" t="s">
        <v>180</v>
      </c>
      <c r="B38" s="10">
        <v>264292</v>
      </c>
      <c r="C38" s="8" t="s">
        <v>181</v>
      </c>
      <c r="D38" s="8" t="s">
        <v>9</v>
      </c>
      <c r="E38" s="8" t="s">
        <v>9</v>
      </c>
      <c r="F38" s="13"/>
      <c r="G38" s="8" t="s">
        <v>111</v>
      </c>
      <c r="H38" s="8" t="s">
        <v>111</v>
      </c>
      <c r="I38" s="8" t="s">
        <v>111</v>
      </c>
      <c r="J38" s="8" t="s">
        <v>111</v>
      </c>
      <c r="K38" s="8" t="s">
        <v>111</v>
      </c>
      <c r="L38" s="8" t="s">
        <v>111</v>
      </c>
      <c r="M38" s="8" t="s">
        <v>111</v>
      </c>
      <c r="N38" s="8" t="s">
        <v>111</v>
      </c>
      <c r="O38" s="8" t="s">
        <v>111</v>
      </c>
      <c r="P38" s="8" t="s">
        <v>111</v>
      </c>
      <c r="Q38" s="8" t="s">
        <v>112</v>
      </c>
      <c r="R38" s="8"/>
      <c r="S38" s="8" t="s">
        <v>113</v>
      </c>
      <c r="T38" s="8" t="s">
        <v>114</v>
      </c>
    </row>
    <row r="39" spans="1:20" ht="19.95" customHeight="1" x14ac:dyDescent="0.3">
      <c r="A39" s="8" t="s">
        <v>182</v>
      </c>
      <c r="B39" s="10">
        <v>329797</v>
      </c>
      <c r="C39" s="8" t="s">
        <v>183</v>
      </c>
      <c r="D39" s="8" t="s">
        <v>9</v>
      </c>
      <c r="E39" s="8" t="s">
        <v>9</v>
      </c>
      <c r="F39" s="13"/>
      <c r="G39" s="8" t="s">
        <v>111</v>
      </c>
      <c r="H39" s="8" t="s">
        <v>111</v>
      </c>
      <c r="I39" s="8" t="s">
        <v>111</v>
      </c>
      <c r="J39" s="8" t="s">
        <v>111</v>
      </c>
      <c r="K39" s="8" t="s">
        <v>111</v>
      </c>
      <c r="L39" s="8" t="s">
        <v>111</v>
      </c>
      <c r="M39" s="8" t="s">
        <v>111</v>
      </c>
      <c r="N39" s="8" t="s">
        <v>111</v>
      </c>
      <c r="O39" s="8" t="s">
        <v>111</v>
      </c>
      <c r="P39" s="8" t="s">
        <v>111</v>
      </c>
      <c r="Q39" s="8" t="s">
        <v>112</v>
      </c>
      <c r="R39" s="8"/>
      <c r="S39" s="8" t="s">
        <v>113</v>
      </c>
      <c r="T39" s="8" t="s">
        <v>114</v>
      </c>
    </row>
    <row r="40" spans="1:20" ht="19.95" customHeight="1" x14ac:dyDescent="0.3">
      <c r="A40" s="8" t="s">
        <v>184</v>
      </c>
      <c r="B40" s="10">
        <v>320521</v>
      </c>
      <c r="C40" s="8" t="s">
        <v>185</v>
      </c>
      <c r="D40" s="8" t="s">
        <v>9</v>
      </c>
      <c r="E40" s="8" t="s">
        <v>9</v>
      </c>
      <c r="F40" s="13"/>
      <c r="G40" s="8" t="s">
        <v>111</v>
      </c>
      <c r="H40" s="8" t="s">
        <v>111</v>
      </c>
      <c r="I40" s="8" t="s">
        <v>111</v>
      </c>
      <c r="J40" s="8" t="s">
        <v>111</v>
      </c>
      <c r="K40" s="8" t="s">
        <v>111</v>
      </c>
      <c r="L40" s="8" t="s">
        <v>111</v>
      </c>
      <c r="M40" s="8" t="s">
        <v>111</v>
      </c>
      <c r="N40" s="8" t="s">
        <v>111</v>
      </c>
      <c r="O40" s="8" t="s">
        <v>111</v>
      </c>
      <c r="P40" s="8" t="s">
        <v>111</v>
      </c>
      <c r="Q40" s="8" t="s">
        <v>112</v>
      </c>
      <c r="R40" s="8"/>
      <c r="S40" s="8" t="s">
        <v>113</v>
      </c>
      <c r="T40" s="8" t="s">
        <v>114</v>
      </c>
    </row>
    <row r="41" spans="1:20" ht="19.95" customHeight="1" x14ac:dyDescent="0.3">
      <c r="A41" s="8" t="s">
        <v>186</v>
      </c>
      <c r="B41" s="10">
        <v>332626</v>
      </c>
      <c r="C41" s="8" t="s">
        <v>187</v>
      </c>
      <c r="D41" s="8" t="s">
        <v>9</v>
      </c>
      <c r="E41" s="8" t="s">
        <v>9</v>
      </c>
      <c r="F41" s="13"/>
      <c r="G41" s="8" t="s">
        <v>111</v>
      </c>
      <c r="H41" s="8" t="s">
        <v>111</v>
      </c>
      <c r="I41" s="8" t="s">
        <v>111</v>
      </c>
      <c r="J41" s="8" t="s">
        <v>111</v>
      </c>
      <c r="K41" s="8" t="s">
        <v>111</v>
      </c>
      <c r="L41" s="8" t="s">
        <v>111</v>
      </c>
      <c r="M41" s="8" t="s">
        <v>111</v>
      </c>
      <c r="N41" s="8" t="s">
        <v>111</v>
      </c>
      <c r="O41" s="8" t="s">
        <v>111</v>
      </c>
      <c r="P41" s="8" t="s">
        <v>111</v>
      </c>
      <c r="Q41" s="8" t="s">
        <v>112</v>
      </c>
      <c r="R41" s="8"/>
      <c r="S41" s="8" t="s">
        <v>113</v>
      </c>
      <c r="T41" s="8" t="s">
        <v>114</v>
      </c>
    </row>
    <row r="42" spans="1:20" ht="19.95" customHeight="1" x14ac:dyDescent="0.3">
      <c r="A42" s="8" t="s">
        <v>188</v>
      </c>
      <c r="B42" s="10">
        <v>290127</v>
      </c>
      <c r="C42" s="8" t="s">
        <v>189</v>
      </c>
      <c r="D42" s="8" t="s">
        <v>9</v>
      </c>
      <c r="E42" s="8" t="s">
        <v>9</v>
      </c>
      <c r="F42" s="13"/>
      <c r="G42" s="8" t="s">
        <v>111</v>
      </c>
      <c r="H42" s="8" t="s">
        <v>111</v>
      </c>
      <c r="I42" s="8" t="s">
        <v>111</v>
      </c>
      <c r="J42" s="8" t="s">
        <v>111</v>
      </c>
      <c r="K42" s="8" t="s">
        <v>111</v>
      </c>
      <c r="L42" s="8" t="s">
        <v>111</v>
      </c>
      <c r="M42" s="8" t="s">
        <v>111</v>
      </c>
      <c r="N42" s="8" t="s">
        <v>111</v>
      </c>
      <c r="O42" s="8" t="s">
        <v>111</v>
      </c>
      <c r="P42" s="8" t="s">
        <v>111</v>
      </c>
      <c r="Q42" s="8" t="s">
        <v>112</v>
      </c>
      <c r="R42" s="8"/>
      <c r="S42" s="8" t="s">
        <v>113</v>
      </c>
      <c r="T42" s="8" t="s">
        <v>114</v>
      </c>
    </row>
    <row r="43" spans="1:20" ht="19.95" customHeight="1" x14ac:dyDescent="0.3">
      <c r="A43" s="8" t="s">
        <v>190</v>
      </c>
      <c r="B43" s="10">
        <v>292722</v>
      </c>
      <c r="C43" s="8" t="s">
        <v>191</v>
      </c>
      <c r="D43" s="8" t="s">
        <v>9</v>
      </c>
      <c r="E43" s="8" t="s">
        <v>9</v>
      </c>
      <c r="F43" s="13"/>
      <c r="G43" s="8" t="s">
        <v>111</v>
      </c>
      <c r="H43" s="8" t="s">
        <v>111</v>
      </c>
      <c r="I43" s="8" t="s">
        <v>111</v>
      </c>
      <c r="J43" s="8" t="s">
        <v>111</v>
      </c>
      <c r="K43" s="8" t="s">
        <v>111</v>
      </c>
      <c r="L43" s="8" t="s">
        <v>111</v>
      </c>
      <c r="M43" s="8" t="s">
        <v>111</v>
      </c>
      <c r="N43" s="8" t="s">
        <v>111</v>
      </c>
      <c r="O43" s="8" t="s">
        <v>111</v>
      </c>
      <c r="P43" s="8" t="s">
        <v>111</v>
      </c>
      <c r="Q43" s="8" t="s">
        <v>112</v>
      </c>
      <c r="R43" s="8"/>
      <c r="S43" s="8" t="s">
        <v>113</v>
      </c>
      <c r="T43" s="8" t="s">
        <v>114</v>
      </c>
    </row>
    <row r="44" spans="1:20" ht="19.95" customHeight="1" x14ac:dyDescent="0.3">
      <c r="A44" s="8" t="s">
        <v>192</v>
      </c>
      <c r="B44" s="10">
        <v>303264</v>
      </c>
      <c r="C44" s="8" t="s">
        <v>193</v>
      </c>
      <c r="D44" s="8" t="s">
        <v>9</v>
      </c>
      <c r="E44" s="8" t="s">
        <v>9</v>
      </c>
      <c r="F44" s="13"/>
      <c r="G44" s="8" t="s">
        <v>111</v>
      </c>
      <c r="H44" s="8" t="s">
        <v>111</v>
      </c>
      <c r="I44" s="8" t="s">
        <v>111</v>
      </c>
      <c r="J44" s="8" t="s">
        <v>111</v>
      </c>
      <c r="K44" s="8" t="s">
        <v>111</v>
      </c>
      <c r="L44" s="8" t="s">
        <v>111</v>
      </c>
      <c r="M44" s="8" t="s">
        <v>111</v>
      </c>
      <c r="N44" s="8" t="s">
        <v>111</v>
      </c>
      <c r="O44" s="8" t="s">
        <v>111</v>
      </c>
      <c r="P44" s="8" t="s">
        <v>111</v>
      </c>
      <c r="Q44" s="8" t="s">
        <v>112</v>
      </c>
      <c r="R44" s="8"/>
      <c r="S44" s="8" t="s">
        <v>113</v>
      </c>
      <c r="T44" s="8" t="s">
        <v>114</v>
      </c>
    </row>
    <row r="45" spans="1:20" ht="19.95" customHeight="1" x14ac:dyDescent="0.3">
      <c r="A45" s="8" t="s">
        <v>194</v>
      </c>
      <c r="B45" s="10">
        <v>305162</v>
      </c>
      <c r="C45" s="8" t="s">
        <v>195</v>
      </c>
      <c r="D45" s="8" t="s">
        <v>9</v>
      </c>
      <c r="E45" s="8" t="s">
        <v>9</v>
      </c>
      <c r="F45" s="13"/>
      <c r="G45" s="8" t="s">
        <v>111</v>
      </c>
      <c r="H45" s="8" t="s">
        <v>111</v>
      </c>
      <c r="I45" s="8" t="s">
        <v>111</v>
      </c>
      <c r="J45" s="8" t="s">
        <v>111</v>
      </c>
      <c r="K45" s="8" t="s">
        <v>111</v>
      </c>
      <c r="L45" s="8" t="s">
        <v>111</v>
      </c>
      <c r="M45" s="8" t="s">
        <v>111</v>
      </c>
      <c r="N45" s="8" t="s">
        <v>111</v>
      </c>
      <c r="O45" s="8" t="s">
        <v>111</v>
      </c>
      <c r="P45" s="8" t="s">
        <v>111</v>
      </c>
      <c r="Q45" s="8" t="s">
        <v>112</v>
      </c>
      <c r="R45" s="8"/>
      <c r="S45" s="8" t="s">
        <v>113</v>
      </c>
      <c r="T45" s="8" t="s">
        <v>114</v>
      </c>
    </row>
    <row r="46" spans="1:20" ht="19.95" customHeight="1" x14ac:dyDescent="0.3">
      <c r="A46" s="8" t="s">
        <v>196</v>
      </c>
      <c r="B46" s="10">
        <v>289953</v>
      </c>
      <c r="C46" s="8" t="s">
        <v>197</v>
      </c>
      <c r="D46" s="8" t="s">
        <v>9</v>
      </c>
      <c r="E46" s="8" t="s">
        <v>9</v>
      </c>
      <c r="F46" s="13"/>
      <c r="G46" s="8" t="s">
        <v>111</v>
      </c>
      <c r="H46" s="8" t="s">
        <v>111</v>
      </c>
      <c r="I46" s="8" t="s">
        <v>111</v>
      </c>
      <c r="J46" s="8" t="s">
        <v>111</v>
      </c>
      <c r="K46" s="8" t="s">
        <v>111</v>
      </c>
      <c r="L46" s="8" t="s">
        <v>111</v>
      </c>
      <c r="M46" s="8" t="s">
        <v>111</v>
      </c>
      <c r="N46" s="8" t="s">
        <v>111</v>
      </c>
      <c r="O46" s="8" t="s">
        <v>111</v>
      </c>
      <c r="P46" s="8" t="s">
        <v>111</v>
      </c>
      <c r="Q46" s="8" t="s">
        <v>112</v>
      </c>
      <c r="R46" s="8"/>
      <c r="S46" s="8" t="s">
        <v>113</v>
      </c>
      <c r="T46" s="8" t="s">
        <v>114</v>
      </c>
    </row>
    <row r="47" spans="1:20" ht="19.95" customHeight="1" x14ac:dyDescent="0.3">
      <c r="A47" s="8" t="s">
        <v>198</v>
      </c>
      <c r="B47" s="10">
        <v>319331</v>
      </c>
      <c r="C47" s="8" t="s">
        <v>199</v>
      </c>
      <c r="D47" s="8" t="s">
        <v>9</v>
      </c>
      <c r="E47" s="8" t="s">
        <v>9</v>
      </c>
      <c r="F47" s="13"/>
      <c r="G47" s="8" t="s">
        <v>111</v>
      </c>
      <c r="H47" s="8" t="s">
        <v>111</v>
      </c>
      <c r="I47" s="8" t="s">
        <v>111</v>
      </c>
      <c r="J47" s="8" t="s">
        <v>111</v>
      </c>
      <c r="K47" s="8" t="s">
        <v>111</v>
      </c>
      <c r="L47" s="8" t="s">
        <v>111</v>
      </c>
      <c r="M47" s="8" t="s">
        <v>111</v>
      </c>
      <c r="N47" s="8" t="s">
        <v>111</v>
      </c>
      <c r="O47" s="8" t="s">
        <v>111</v>
      </c>
      <c r="P47" s="8" t="s">
        <v>111</v>
      </c>
      <c r="Q47" s="8" t="s">
        <v>112</v>
      </c>
      <c r="R47" s="8"/>
      <c r="S47" s="8" t="s">
        <v>113</v>
      </c>
      <c r="T47" s="8" t="s">
        <v>114</v>
      </c>
    </row>
  </sheetData>
  <mergeCells count="2">
    <mergeCell ref="A1:T1"/>
    <mergeCell ref="A2:T2"/>
  </mergeCells>
  <conditionalFormatting sqref="Q5:Q147">
    <cfRule type="cellIs" dxfId="352" priority="1" stopIfTrue="1" operator="equal">
      <formula>"Pass"</formula>
    </cfRule>
    <cfRule type="cellIs" dxfId="351" priority="2" stopIfTrue="1" operator="equal">
      <formula>"Fail"</formula>
    </cfRule>
    <cfRule type="cellIs" dxfId="350" priority="3" stopIfTrue="1" operator="equal">
      <formula>"Blocked"</formula>
    </cfRule>
    <cfRule type="cellIs" dxfId="349" priority="4" stopIfTrue="1" operator="equal">
      <formula>"In Progress"</formula>
    </cfRule>
    <cfRule type="cellIs" dxfId="348" priority="5" stopIfTrue="1" operator="equal">
      <formula>"Not Started"</formula>
    </cfRule>
    <cfRule type="cellIs" dxfId="347" priority="6" stopIfTrue="1" operator="equal">
      <formula>"N/A"</formula>
    </cfRule>
    <cfRule type="cellIs" dxfId="346" priority="7" stopIfTrue="1" operator="equal">
      <formula>"Ready"</formula>
    </cfRule>
    <cfRule type="cellIs" dxfId="345" priority="8" stopIfTrue="1" operator="equal">
      <formula>"Not Ready"</formula>
    </cfRule>
  </conditionalFormatting>
  <dataValidations count="1">
    <dataValidation type="list" allowBlank="1" showInputMessage="1" showErrorMessage="1" errorTitle="Invalid selection" error="Select a value from the dropdown list." sqref="Q5:Q147" xr:uid="{B206150B-2EA5-4468-95E9-AA1B4C397385}">
      <formula1>"Not Started,In Progress,Pass,Fail,Blocked,N/A"</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D4E90-ECA1-47EF-A3C9-BB4CB5096C0B}">
  <dimension ref="A1:I30"/>
  <sheetViews>
    <sheetView showGridLines="0" zoomScale="80" zoomScaleNormal="80" workbookViewId="0">
      <pane ySplit="5" topLeftCell="A6" activePane="bottomLeft" state="frozenSplit"/>
      <selection pane="bottomLeft"/>
    </sheetView>
  </sheetViews>
  <sheetFormatPr defaultRowHeight="14.4" x14ac:dyDescent="0.3"/>
  <cols>
    <col min="1" max="1" width="16.77734375" customWidth="1"/>
    <col min="2" max="2" width="24.77734375" customWidth="1"/>
    <col min="3" max="3" width="52.77734375" customWidth="1"/>
    <col min="4" max="4" width="38.77734375" customWidth="1"/>
    <col min="5" max="5" width="25.77734375" customWidth="1"/>
    <col min="6" max="6" width="20.77734375" customWidth="1"/>
    <col min="7" max="7" width="14.77734375" customWidth="1"/>
    <col min="8" max="8" width="16.77734375" customWidth="1"/>
    <col min="9" max="9" width="35.77734375" customWidth="1"/>
  </cols>
  <sheetData>
    <row r="1" spans="1:9" ht="30" customHeight="1" x14ac:dyDescent="0.3">
      <c r="A1" s="1" t="s">
        <v>0</v>
      </c>
      <c r="B1" s="1"/>
      <c r="C1" s="1"/>
      <c r="D1" s="1"/>
      <c r="E1" s="1"/>
      <c r="F1" s="1"/>
      <c r="G1" s="1"/>
      <c r="H1" s="1"/>
      <c r="I1" s="1"/>
    </row>
    <row r="2" spans="1:9" ht="28.05" customHeight="1" x14ac:dyDescent="0.3">
      <c r="A2" s="2" t="s">
        <v>1</v>
      </c>
      <c r="B2" s="2"/>
      <c r="C2" s="2"/>
      <c r="D2" s="2"/>
      <c r="E2" s="2"/>
      <c r="F2" s="2"/>
      <c r="G2" s="2"/>
      <c r="H2" s="2"/>
      <c r="I2" s="2"/>
    </row>
    <row r="4" spans="1:9" x14ac:dyDescent="0.3">
      <c r="A4" s="3" t="s">
        <v>2</v>
      </c>
      <c r="B4" s="3"/>
      <c r="C4" s="3"/>
      <c r="D4" s="3"/>
      <c r="E4" s="3"/>
      <c r="F4" s="3"/>
      <c r="G4" s="3"/>
      <c r="H4" s="3"/>
      <c r="I4" s="3"/>
    </row>
    <row r="5" spans="1:9" x14ac:dyDescent="0.3">
      <c r="A5" s="6" t="s">
        <v>3</v>
      </c>
      <c r="B5" s="6" t="s">
        <v>4</v>
      </c>
      <c r="C5" s="6" t="s">
        <v>5</v>
      </c>
      <c r="D5" s="6" t="s">
        <v>6</v>
      </c>
      <c r="E5" s="6" t="s">
        <v>7</v>
      </c>
      <c r="F5" s="4"/>
      <c r="G5" s="4"/>
      <c r="H5" s="4"/>
      <c r="I5" s="4"/>
    </row>
    <row r="6" spans="1:9" ht="43.2" x14ac:dyDescent="0.3">
      <c r="A6" s="4" t="s">
        <v>8</v>
      </c>
      <c r="B6" s="4" t="s">
        <v>9</v>
      </c>
      <c r="C6" s="4" t="s">
        <v>10</v>
      </c>
      <c r="D6" s="4"/>
      <c r="E6" s="4"/>
      <c r="F6" s="4"/>
      <c r="G6" s="4"/>
      <c r="H6" s="4"/>
      <c r="I6" s="4"/>
    </row>
    <row r="7" spans="1:9" x14ac:dyDescent="0.3">
      <c r="A7" s="4" t="s">
        <v>11</v>
      </c>
      <c r="B7" s="4" t="s">
        <v>9</v>
      </c>
      <c r="C7" s="4" t="s">
        <v>10</v>
      </c>
      <c r="D7" s="4"/>
      <c r="E7" s="4"/>
      <c r="F7" s="4"/>
      <c r="G7" s="4"/>
      <c r="H7" s="4"/>
      <c r="I7" s="4"/>
    </row>
    <row r="8" spans="1:9" x14ac:dyDescent="0.3">
      <c r="A8" s="4" t="s">
        <v>12</v>
      </c>
      <c r="B8" s="4" t="s">
        <v>9</v>
      </c>
      <c r="C8" s="4" t="s">
        <v>10</v>
      </c>
      <c r="D8" s="4"/>
      <c r="E8" s="4"/>
      <c r="F8" s="4"/>
      <c r="G8" s="4"/>
      <c r="H8" s="4"/>
      <c r="I8" s="4"/>
    </row>
    <row r="9" spans="1:9" x14ac:dyDescent="0.3">
      <c r="A9" s="4" t="s">
        <v>13</v>
      </c>
      <c r="B9" s="4" t="s">
        <v>9</v>
      </c>
      <c r="C9" s="4" t="s">
        <v>10</v>
      </c>
      <c r="D9" s="4"/>
      <c r="E9" s="4"/>
      <c r="F9" s="4"/>
      <c r="G9" s="4"/>
      <c r="H9" s="4"/>
      <c r="I9" s="4"/>
    </row>
    <row r="10" spans="1:9" x14ac:dyDescent="0.3">
      <c r="A10" s="4" t="s">
        <v>14</v>
      </c>
      <c r="B10" s="4" t="s">
        <v>9</v>
      </c>
      <c r="C10" s="4" t="s">
        <v>10</v>
      </c>
      <c r="D10" s="4"/>
      <c r="E10" s="4"/>
      <c r="F10" s="4"/>
      <c r="G10" s="4"/>
      <c r="H10" s="4"/>
      <c r="I10" s="4"/>
    </row>
    <row r="11" spans="1:9" x14ac:dyDescent="0.3">
      <c r="A11" s="4" t="s">
        <v>15</v>
      </c>
      <c r="B11" s="4" t="s">
        <v>9</v>
      </c>
      <c r="C11" s="4" t="s">
        <v>10</v>
      </c>
      <c r="D11" s="4"/>
      <c r="E11" s="4"/>
      <c r="F11" s="4"/>
      <c r="G11" s="4"/>
      <c r="H11" s="4"/>
      <c r="I11" s="4"/>
    </row>
    <row r="12" spans="1:9" x14ac:dyDescent="0.3">
      <c r="A12" s="4" t="s">
        <v>16</v>
      </c>
      <c r="B12" s="4" t="s">
        <v>9</v>
      </c>
      <c r="C12" s="4" t="s">
        <v>10</v>
      </c>
      <c r="D12" s="4"/>
      <c r="E12" s="4"/>
      <c r="F12" s="4"/>
      <c r="G12" s="4"/>
      <c r="H12" s="4"/>
      <c r="I12" s="4"/>
    </row>
    <row r="13" spans="1:9" x14ac:dyDescent="0.3">
      <c r="A13" s="4"/>
      <c r="B13" s="4"/>
      <c r="C13" s="4"/>
      <c r="D13" s="4"/>
      <c r="E13" s="4"/>
      <c r="F13" s="4"/>
      <c r="G13" s="4"/>
      <c r="H13" s="4"/>
      <c r="I13" s="4"/>
    </row>
    <row r="14" spans="1:9" x14ac:dyDescent="0.3">
      <c r="A14" s="4"/>
      <c r="B14" s="4"/>
      <c r="C14" s="4"/>
      <c r="D14" s="4"/>
      <c r="E14" s="4"/>
      <c r="F14" s="4"/>
      <c r="G14" s="4"/>
      <c r="H14" s="4"/>
      <c r="I14" s="4"/>
    </row>
    <row r="15" spans="1:9" x14ac:dyDescent="0.3">
      <c r="A15" s="5" t="s">
        <v>17</v>
      </c>
      <c r="B15" s="5"/>
      <c r="C15" s="5"/>
      <c r="D15" s="5"/>
      <c r="E15" s="5"/>
      <c r="F15" s="5"/>
      <c r="G15" s="5"/>
      <c r="H15" s="5"/>
      <c r="I15" s="5"/>
    </row>
    <row r="16" spans="1:9" x14ac:dyDescent="0.3">
      <c r="A16" s="6" t="s">
        <v>18</v>
      </c>
      <c r="B16" s="6" t="s">
        <v>19</v>
      </c>
      <c r="C16" s="6" t="s">
        <v>20</v>
      </c>
      <c r="D16" s="6" t="s">
        <v>21</v>
      </c>
      <c r="E16" s="6" t="s">
        <v>22</v>
      </c>
      <c r="F16" s="6" t="s">
        <v>23</v>
      </c>
      <c r="G16" s="6" t="s">
        <v>24</v>
      </c>
      <c r="H16" s="6" t="s">
        <v>25</v>
      </c>
      <c r="I16" s="6" t="s">
        <v>7</v>
      </c>
    </row>
    <row r="17" spans="1:9" ht="28.8" x14ac:dyDescent="0.3">
      <c r="A17" s="4" t="s">
        <v>26</v>
      </c>
      <c r="B17" s="4" t="s">
        <v>27</v>
      </c>
      <c r="C17" s="4" t="s">
        <v>28</v>
      </c>
      <c r="D17" s="4" t="s">
        <v>29</v>
      </c>
      <c r="E17" s="4" t="s">
        <v>8</v>
      </c>
      <c r="F17" s="4" t="s">
        <v>9</v>
      </c>
      <c r="G17" s="4"/>
      <c r="H17" s="4" t="s">
        <v>30</v>
      </c>
      <c r="I17" s="4"/>
    </row>
    <row r="18" spans="1:9" ht="28.8" x14ac:dyDescent="0.3">
      <c r="A18" s="4" t="s">
        <v>31</v>
      </c>
      <c r="B18" s="4" t="s">
        <v>32</v>
      </c>
      <c r="C18" s="4" t="s">
        <v>33</v>
      </c>
      <c r="D18" s="4" t="s">
        <v>34</v>
      </c>
      <c r="E18" s="4" t="s">
        <v>35</v>
      </c>
      <c r="F18" s="4" t="s">
        <v>9</v>
      </c>
      <c r="G18" s="4"/>
      <c r="H18" s="4" t="s">
        <v>30</v>
      </c>
      <c r="I18" s="4"/>
    </row>
    <row r="19" spans="1:9" ht="28.8" x14ac:dyDescent="0.3">
      <c r="A19" s="4" t="s">
        <v>36</v>
      </c>
      <c r="B19" s="4" t="s">
        <v>37</v>
      </c>
      <c r="C19" s="4" t="s">
        <v>38</v>
      </c>
      <c r="D19" s="4" t="s">
        <v>39</v>
      </c>
      <c r="E19" s="4" t="s">
        <v>40</v>
      </c>
      <c r="F19" s="4" t="s">
        <v>9</v>
      </c>
      <c r="G19" s="4"/>
      <c r="H19" s="4" t="s">
        <v>30</v>
      </c>
      <c r="I19" s="4"/>
    </row>
    <row r="20" spans="1:9" ht="28.8" x14ac:dyDescent="0.3">
      <c r="A20" s="4" t="s">
        <v>41</v>
      </c>
      <c r="B20" s="4" t="s">
        <v>42</v>
      </c>
      <c r="C20" s="4" t="s">
        <v>43</v>
      </c>
      <c r="D20" s="4" t="s">
        <v>44</v>
      </c>
      <c r="E20" s="4" t="s">
        <v>45</v>
      </c>
      <c r="F20" s="4" t="s">
        <v>9</v>
      </c>
      <c r="G20" s="4"/>
      <c r="H20" s="4" t="s">
        <v>30</v>
      </c>
      <c r="I20" s="4"/>
    </row>
    <row r="21" spans="1:9" ht="28.8" x14ac:dyDescent="0.3">
      <c r="A21" s="4" t="s">
        <v>46</v>
      </c>
      <c r="B21" s="4" t="s">
        <v>47</v>
      </c>
      <c r="C21" s="4" t="s">
        <v>48</v>
      </c>
      <c r="D21" s="4" t="s">
        <v>49</v>
      </c>
      <c r="E21" s="4" t="s">
        <v>50</v>
      </c>
      <c r="F21" s="4" t="s">
        <v>9</v>
      </c>
      <c r="G21" s="4"/>
      <c r="H21" s="4" t="s">
        <v>30</v>
      </c>
      <c r="I21" s="4"/>
    </row>
    <row r="22" spans="1:9" ht="28.8" x14ac:dyDescent="0.3">
      <c r="A22" s="4" t="s">
        <v>51</v>
      </c>
      <c r="B22" s="4" t="s">
        <v>52</v>
      </c>
      <c r="C22" s="4" t="s">
        <v>53</v>
      </c>
      <c r="D22" s="4" t="s">
        <v>54</v>
      </c>
      <c r="E22" s="4" t="s">
        <v>55</v>
      </c>
      <c r="F22" s="4" t="s">
        <v>9</v>
      </c>
      <c r="G22" s="4"/>
      <c r="H22" s="4" t="s">
        <v>30</v>
      </c>
      <c r="I22" s="4"/>
    </row>
    <row r="23" spans="1:9" ht="28.8" x14ac:dyDescent="0.3">
      <c r="A23" s="4" t="s">
        <v>56</v>
      </c>
      <c r="B23" s="4" t="s">
        <v>57</v>
      </c>
      <c r="C23" s="4" t="s">
        <v>58</v>
      </c>
      <c r="D23" s="4" t="s">
        <v>59</v>
      </c>
      <c r="E23" s="4" t="s">
        <v>11</v>
      </c>
      <c r="F23" s="4" t="s">
        <v>9</v>
      </c>
      <c r="G23" s="4"/>
      <c r="H23" s="4" t="s">
        <v>30</v>
      </c>
      <c r="I23" s="4"/>
    </row>
    <row r="24" spans="1:9" ht="28.8" x14ac:dyDescent="0.3">
      <c r="A24" s="4" t="s">
        <v>60</v>
      </c>
      <c r="B24" s="4" t="s">
        <v>61</v>
      </c>
      <c r="C24" s="4" t="s">
        <v>62</v>
      </c>
      <c r="D24" s="4" t="s">
        <v>63</v>
      </c>
      <c r="E24" s="4" t="s">
        <v>12</v>
      </c>
      <c r="F24" s="4" t="s">
        <v>9</v>
      </c>
      <c r="G24" s="4"/>
      <c r="H24" s="4" t="s">
        <v>30</v>
      </c>
      <c r="I24" s="4"/>
    </row>
    <row r="25" spans="1:9" ht="28.8" x14ac:dyDescent="0.3">
      <c r="A25" s="4" t="s">
        <v>64</v>
      </c>
      <c r="B25" s="4" t="s">
        <v>65</v>
      </c>
      <c r="C25" s="4" t="s">
        <v>66</v>
      </c>
      <c r="D25" s="4" t="s">
        <v>67</v>
      </c>
      <c r="E25" s="4" t="s">
        <v>11</v>
      </c>
      <c r="F25" s="4" t="s">
        <v>9</v>
      </c>
      <c r="G25" s="4"/>
      <c r="H25" s="4" t="s">
        <v>30</v>
      </c>
      <c r="I25" s="4"/>
    </row>
    <row r="26" spans="1:9" ht="28.8" x14ac:dyDescent="0.3">
      <c r="A26" s="4" t="s">
        <v>68</v>
      </c>
      <c r="B26" s="4" t="s">
        <v>69</v>
      </c>
      <c r="C26" s="4" t="s">
        <v>70</v>
      </c>
      <c r="D26" s="4" t="s">
        <v>71</v>
      </c>
      <c r="E26" s="4" t="s">
        <v>13</v>
      </c>
      <c r="F26" s="4" t="s">
        <v>9</v>
      </c>
      <c r="G26" s="4"/>
      <c r="H26" s="4" t="s">
        <v>30</v>
      </c>
      <c r="I26" s="4"/>
    </row>
    <row r="27" spans="1:9" ht="28.8" x14ac:dyDescent="0.3">
      <c r="A27" s="4" t="s">
        <v>72</v>
      </c>
      <c r="B27" s="4" t="s">
        <v>73</v>
      </c>
      <c r="C27" s="4" t="s">
        <v>74</v>
      </c>
      <c r="D27" s="4" t="s">
        <v>75</v>
      </c>
      <c r="E27" s="4" t="s">
        <v>76</v>
      </c>
      <c r="F27" s="4" t="s">
        <v>9</v>
      </c>
      <c r="G27" s="4"/>
      <c r="H27" s="4" t="s">
        <v>30</v>
      </c>
      <c r="I27" s="4"/>
    </row>
    <row r="28" spans="1:9" ht="28.8" x14ac:dyDescent="0.3">
      <c r="A28" s="4" t="s">
        <v>77</v>
      </c>
      <c r="B28" s="4" t="s">
        <v>78</v>
      </c>
      <c r="C28" s="4" t="s">
        <v>79</v>
      </c>
      <c r="D28" s="4" t="s">
        <v>80</v>
      </c>
      <c r="E28" s="4" t="s">
        <v>15</v>
      </c>
      <c r="F28" s="4" t="s">
        <v>9</v>
      </c>
      <c r="G28" s="4"/>
      <c r="H28" s="4" t="s">
        <v>30</v>
      </c>
      <c r="I28" s="4"/>
    </row>
    <row r="29" spans="1:9" ht="28.8" x14ac:dyDescent="0.3">
      <c r="A29" s="4" t="s">
        <v>81</v>
      </c>
      <c r="B29" s="4" t="s">
        <v>82</v>
      </c>
      <c r="C29" s="4" t="s">
        <v>83</v>
      </c>
      <c r="D29" s="4" t="s">
        <v>84</v>
      </c>
      <c r="E29" s="4" t="s">
        <v>16</v>
      </c>
      <c r="F29" s="4" t="s">
        <v>9</v>
      </c>
      <c r="G29" s="4"/>
      <c r="H29" s="4" t="s">
        <v>30</v>
      </c>
      <c r="I29" s="4"/>
    </row>
    <row r="30" spans="1:9" ht="28.8" x14ac:dyDescent="0.3">
      <c r="A30" s="4" t="s">
        <v>85</v>
      </c>
      <c r="B30" s="4" t="s">
        <v>86</v>
      </c>
      <c r="C30" s="4" t="s">
        <v>87</v>
      </c>
      <c r="D30" s="4" t="s">
        <v>88</v>
      </c>
      <c r="E30" s="4" t="s">
        <v>11</v>
      </c>
      <c r="F30" s="4" t="s">
        <v>9</v>
      </c>
      <c r="G30" s="4"/>
      <c r="H30" s="4" t="s">
        <v>30</v>
      </c>
      <c r="I30" s="4"/>
    </row>
  </sheetData>
  <mergeCells count="4">
    <mergeCell ref="A1:I1"/>
    <mergeCell ref="A2:I2"/>
    <mergeCell ref="A4:I4"/>
    <mergeCell ref="A15:I15"/>
  </mergeCells>
  <conditionalFormatting sqref="C6:C112">
    <cfRule type="cellIs" dxfId="384" priority="1" stopIfTrue="1" operator="equal">
      <formula>"Pass"</formula>
    </cfRule>
    <cfRule type="cellIs" dxfId="383" priority="2" stopIfTrue="1" operator="equal">
      <formula>"Fail"</formula>
    </cfRule>
    <cfRule type="cellIs" dxfId="382" priority="3" stopIfTrue="1" operator="equal">
      <formula>"Blocked"</formula>
    </cfRule>
    <cfRule type="cellIs" dxfId="381" priority="4" stopIfTrue="1" operator="equal">
      <formula>"In Progress"</formula>
    </cfRule>
    <cfRule type="cellIs" dxfId="380" priority="5" stopIfTrue="1" operator="equal">
      <formula>"Not Started"</formula>
    </cfRule>
    <cfRule type="cellIs" dxfId="379" priority="6" stopIfTrue="1" operator="equal">
      <formula>"N/A"</formula>
    </cfRule>
    <cfRule type="cellIs" dxfId="378" priority="7" stopIfTrue="1" operator="equal">
      <formula>"Ready"</formula>
    </cfRule>
    <cfRule type="cellIs" dxfId="377" priority="8" stopIfTrue="1" operator="equal">
      <formula>"Not Ready"</formula>
    </cfRule>
  </conditionalFormatting>
  <conditionalFormatting sqref="H17:H130">
    <cfRule type="cellIs" dxfId="376" priority="9" stopIfTrue="1" operator="equal">
      <formula>"Pass"</formula>
    </cfRule>
    <cfRule type="cellIs" dxfId="375" priority="10" stopIfTrue="1" operator="equal">
      <formula>"Fail"</formula>
    </cfRule>
    <cfRule type="cellIs" dxfId="374" priority="11" stopIfTrue="1" operator="equal">
      <formula>"Blocked"</formula>
    </cfRule>
    <cfRule type="cellIs" dxfId="373" priority="12" stopIfTrue="1" operator="equal">
      <formula>"In Progress"</formula>
    </cfRule>
    <cfRule type="cellIs" dxfId="372" priority="13" stopIfTrue="1" operator="equal">
      <formula>"Not Started"</formula>
    </cfRule>
    <cfRule type="cellIs" dxfId="371" priority="14" stopIfTrue="1" operator="equal">
      <formula>"N/A"</formula>
    </cfRule>
    <cfRule type="cellIs" dxfId="370" priority="15" stopIfTrue="1" operator="equal">
      <formula>"Ready"</formula>
    </cfRule>
    <cfRule type="cellIs" dxfId="369" priority="16" stopIfTrue="1" operator="equal">
      <formula>"Not Ready"</formula>
    </cfRule>
  </conditionalFormatting>
  <dataValidations count="2">
    <dataValidation type="list" allowBlank="1" showInputMessage="1" showErrorMessage="1" errorTitle="Invalid selection" error="Select a value from the dropdown list." sqref="C6:C112" xr:uid="{162C0C14-7A08-464D-A45C-33A9A817AFD4}">
      <formula1>"Pending,Approved,Rejected,Blocked"</formula1>
    </dataValidation>
    <dataValidation type="list" allowBlank="1" showInputMessage="1" showErrorMessage="1" errorTitle="Invalid selection" error="Select a value from the dropdown list." sqref="H17:H130" xr:uid="{9F595FB3-FD1C-4D0F-9FE0-F9237FD40699}">
      <formula1>"Open,In Progress,Resolved,Blocked,N/A"</formula1>
    </dataValidation>
  </dataValidation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Instructions &amp; Legend</vt:lpstr>
      <vt:lpstr>Test Summary Dashboard</vt:lpstr>
      <vt:lpstr>Activity Coverage Matrix</vt:lpstr>
      <vt:lpstr>Test Case Master</vt:lpstr>
      <vt:lpstr>Parameter Mapping &amp; Validation</vt:lpstr>
      <vt:lpstr>Audience &amp; Profile Validation</vt:lpstr>
      <vt:lpstr>Rendering &amp; SPA Validation</vt:lpstr>
      <vt:lpstr>Reporting &amp; A4T Validation</vt:lpstr>
      <vt:lpstr>Consent &amp; Identity Validation</vt:lpstr>
      <vt:lpstr>Browser &amp; Regression Matrix</vt:lpstr>
      <vt:lpstr>Evidence &amp; Defect Log</vt:lpstr>
      <vt:lpstr>Production Smoke &amp; Monitoring</vt:lpstr>
      <vt:lpstr>Sign-Off &amp; Open 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Rajavel T</dc:creator>
  <cp:lastModifiedBy>Rajavel T</cp:lastModifiedBy>
  <dcterms:created xsi:type="dcterms:W3CDTF">2026-07-31T21:32:29Z</dcterms:created>
  <dcterms:modified xsi:type="dcterms:W3CDTF">2026-07-31T21:33:35Z</dcterms:modified>
</cp:coreProperties>
</file>